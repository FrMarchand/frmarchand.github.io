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\Desktop\frmarchand.github.io\excelgravity\download\"/>
    </mc:Choice>
  </mc:AlternateContent>
  <xr:revisionPtr revIDLastSave="0" documentId="13_ncr:1_{980778D5-DA62-4D1E-970F-B40BF3B06DC2}" xr6:coauthVersionLast="43" xr6:coauthVersionMax="43" xr10:uidLastSave="{00000000-0000-0000-0000-000000000000}"/>
  <bookViews>
    <workbookView xWindow="-108" yWindow="-108" windowWidth="23256" windowHeight="12576" tabRatio="699" firstSheet="1" activeTab="1" xr2:uid="{00000000-000D-0000-FFFF-FFFF00000000}"/>
  </bookViews>
  <sheets>
    <sheet name="Feuil1" sheetId="2" r:id="rId1"/>
    <sheet name="Visualisation" sheetId="3" r:id="rId2"/>
    <sheet name="Valeurs Initiales" sheetId="5" r:id="rId3"/>
    <sheet name="Calculs 3D" sheetId="9" r:id="rId4"/>
    <sheet name="Simulation n-body" sheetId="12" r:id="rId5"/>
    <sheet name="Planètes" sheetId="10" r:id="rId6"/>
    <sheet name="Situations" sheetId="11" r:id="rId7"/>
  </sheets>
  <definedNames>
    <definedName name="AccData">'Simulation n-body'!$I$16:$K$25</definedName>
    <definedName name="AccInit">'Simulation n-body'!$I$4:$K$13</definedName>
    <definedName name="AnimationStatus">'Calculs 3D'!$O$13</definedName>
    <definedName name="AutoFocus">'Calculs 3D'!$O$9</definedName>
    <definedName name="BaseTemps">'Valeurs Initiales'!$D$14</definedName>
    <definedName name="Body10Actif">'Valeurs Initiales'!$D$12</definedName>
    <definedName name="Body1Actif">'Valeurs Initiales'!$D$3</definedName>
    <definedName name="Body2Actif">'Valeurs Initiales'!$D$4</definedName>
    <definedName name="Body3Actif">'Valeurs Initiales'!$D$5</definedName>
    <definedName name="Body4Actif">'Valeurs Initiales'!$D$6</definedName>
    <definedName name="Body5Actif">'Valeurs Initiales'!$D$7</definedName>
    <definedName name="Body6Actif">'Valeurs Initiales'!$D$8</definedName>
    <definedName name="Body7Actif">'Valeurs Initiales'!$D$9</definedName>
    <definedName name="Body8Actif">'Valeurs Initiales'!$D$10</definedName>
    <definedName name="Body9Actif">'Valeurs Initiales'!$D$11</definedName>
    <definedName name="DataSet">'Valeurs Initiales'!$D$3:$O$12</definedName>
    <definedName name="DefaultZoom">'Calculs 3D'!$O$15</definedName>
    <definedName name="Ecran">'Calculs 3D'!$O$4</definedName>
    <definedName name="EcranMax">'Calculs 3D'!$O$5</definedName>
    <definedName name="Frame">'Calculs 3D'!$O$11</definedName>
    <definedName name="Lignes">'Calculs 3D'!$O$14</definedName>
    <definedName name="MaxFrame">'Calculs 3D'!$O$12</definedName>
    <definedName name="OffsetX">'Calculs 3D'!$C$20</definedName>
    <definedName name="OffsetY">'Calculs 3D'!$D$20</definedName>
    <definedName name="OffsetZ">'Calculs 3D'!$E$20</definedName>
    <definedName name="PlanetScale">'Calculs 3D'!$O$10</definedName>
    <definedName name="RatioAarseth">'Valeurs Initiales'!$D$15</definedName>
    <definedName name="SimCalc">'Simulation n-body'!$C$28:$H$37</definedName>
    <definedName name="SimData">'Simulation n-body'!$C$16:$H$25</definedName>
    <definedName name="SimInit">'Simulation n-body'!$C$4:$H$13</definedName>
    <definedName name="SimReInit">'Calculs 3D'!$O$6</definedName>
    <definedName name="Situation1">Situations!$C$5:$N$14</definedName>
    <definedName name="Situation2">Situations!$C$19:$N$28</definedName>
    <definedName name="Situation3">Situations!$C$33:$N$42</definedName>
    <definedName name="Situation4">Situations!$C$47:$N$56</definedName>
    <definedName name="SituationAlea">Situations!$Q$5:$AB$14</definedName>
    <definedName name="Target">'Calculs 3D'!$O$7</definedName>
    <definedName name="ZoomFactor">'Calculs 3D'!$O$8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14" i="11" l="1"/>
  <c r="AB13" i="11"/>
  <c r="AB12" i="11"/>
  <c r="AB11" i="11"/>
  <c r="AB10" i="11"/>
  <c r="AB9" i="11"/>
  <c r="AB8" i="11"/>
  <c r="AB7" i="11"/>
  <c r="AB6" i="11"/>
  <c r="AB5" i="11"/>
  <c r="AA14" i="11"/>
  <c r="AA13" i="11"/>
  <c r="AA12" i="11"/>
  <c r="AA11" i="11"/>
  <c r="AA10" i="11"/>
  <c r="AA9" i="11"/>
  <c r="AA8" i="11"/>
  <c r="AA7" i="11"/>
  <c r="AA6" i="11"/>
  <c r="AA5" i="11"/>
  <c r="Z14" i="11"/>
  <c r="Z13" i="11"/>
  <c r="Z12" i="11"/>
  <c r="Z11" i="11"/>
  <c r="Z10" i="11"/>
  <c r="Z9" i="11"/>
  <c r="Z8" i="11"/>
  <c r="Z7" i="11"/>
  <c r="Z6" i="11"/>
  <c r="Z5" i="11"/>
  <c r="Y14" i="11"/>
  <c r="Y13" i="11"/>
  <c r="Y12" i="11"/>
  <c r="Y11" i="11"/>
  <c r="Y10" i="11"/>
  <c r="Y9" i="11"/>
  <c r="Y8" i="11"/>
  <c r="Y7" i="11"/>
  <c r="Y6" i="11"/>
  <c r="Y5" i="11"/>
  <c r="X14" i="11"/>
  <c r="X13" i="11"/>
  <c r="X12" i="11"/>
  <c r="X11" i="11"/>
  <c r="X10" i="11"/>
  <c r="X9" i="11"/>
  <c r="X8" i="11"/>
  <c r="X7" i="11"/>
  <c r="X6" i="11"/>
  <c r="X5" i="11"/>
  <c r="W5" i="11"/>
  <c r="W14" i="11"/>
  <c r="W13" i="11"/>
  <c r="W12" i="11"/>
  <c r="W11" i="11"/>
  <c r="W10" i="11"/>
  <c r="W9" i="11"/>
  <c r="W8" i="11"/>
  <c r="W7" i="11"/>
  <c r="W6" i="11"/>
  <c r="V14" i="11"/>
  <c r="V13" i="11"/>
  <c r="V12" i="11"/>
  <c r="V11" i="11"/>
  <c r="V10" i="11"/>
  <c r="V9" i="11"/>
  <c r="V8" i="11"/>
  <c r="V7" i="11"/>
  <c r="V6" i="11"/>
  <c r="V5" i="11"/>
  <c r="U14" i="11"/>
  <c r="U13" i="11"/>
  <c r="U12" i="11"/>
  <c r="U11" i="11"/>
  <c r="U10" i="11"/>
  <c r="U9" i="11"/>
  <c r="U8" i="11"/>
  <c r="U7" i="11"/>
  <c r="U6" i="11"/>
  <c r="U5" i="11"/>
  <c r="T14" i="11"/>
  <c r="T13" i="11"/>
  <c r="T12" i="11"/>
  <c r="T11" i="11"/>
  <c r="T10" i="11"/>
  <c r="T9" i="11"/>
  <c r="T8" i="11"/>
  <c r="T7" i="11"/>
  <c r="T6" i="11"/>
  <c r="T5" i="11"/>
  <c r="S14" i="11"/>
  <c r="S13" i="11"/>
  <c r="S12" i="11"/>
  <c r="S11" i="11"/>
  <c r="S10" i="11"/>
  <c r="S9" i="11"/>
  <c r="S8" i="11"/>
  <c r="S7" i="11"/>
  <c r="S6" i="11"/>
  <c r="S5" i="11"/>
  <c r="R14" i="11"/>
  <c r="R13" i="11"/>
  <c r="R12" i="11"/>
  <c r="R11" i="11"/>
  <c r="R10" i="11"/>
  <c r="R9" i="11"/>
  <c r="R8" i="11"/>
  <c r="R7" i="11"/>
  <c r="R6" i="11"/>
  <c r="R5" i="11"/>
  <c r="P3" i="5"/>
  <c r="Q3" i="5" s="1"/>
  <c r="P4" i="5"/>
  <c r="Q4" i="5" s="1"/>
  <c r="P5" i="5"/>
  <c r="Q5" i="5" s="1"/>
  <c r="D15" i="5"/>
  <c r="D14" i="5"/>
  <c r="K5" i="12"/>
  <c r="K6" i="12"/>
  <c r="K7" i="12"/>
  <c r="K8" i="12"/>
  <c r="K9" i="12"/>
  <c r="K10" i="12"/>
  <c r="K11" i="12"/>
  <c r="K12" i="12"/>
  <c r="K13" i="12"/>
  <c r="J5" i="12"/>
  <c r="J6" i="12"/>
  <c r="J7" i="12"/>
  <c r="J8" i="12"/>
  <c r="J9" i="12"/>
  <c r="J10" i="12"/>
  <c r="J11" i="12"/>
  <c r="J12" i="12"/>
  <c r="J13" i="12"/>
  <c r="K4" i="12"/>
  <c r="J4" i="12"/>
  <c r="I8" i="12"/>
  <c r="I5" i="12"/>
  <c r="I6" i="12"/>
  <c r="I7" i="12"/>
  <c r="I9" i="12"/>
  <c r="I10" i="12"/>
  <c r="I11" i="12"/>
  <c r="I12" i="12"/>
  <c r="I13" i="12"/>
  <c r="I4" i="12"/>
  <c r="T13" i="5"/>
  <c r="T12" i="5"/>
  <c r="T11" i="5"/>
  <c r="T10" i="5"/>
  <c r="T9" i="5"/>
  <c r="T8" i="5"/>
  <c r="T7" i="5"/>
  <c r="T6" i="5"/>
  <c r="T5" i="5"/>
  <c r="T4" i="5"/>
  <c r="O5" i="9"/>
  <c r="C4" i="12" l="1"/>
  <c r="O9" i="9" l="1" a="1"/>
  <c r="O9" i="9" s="1"/>
  <c r="D9" i="12"/>
  <c r="C6" i="9"/>
  <c r="E15" i="9"/>
  <c r="D15" i="9"/>
  <c r="C15" i="9"/>
  <c r="E14" i="9"/>
  <c r="D14" i="9"/>
  <c r="C14" i="9"/>
  <c r="E13" i="9"/>
  <c r="D13" i="9"/>
  <c r="C13" i="9"/>
  <c r="E12" i="9"/>
  <c r="D12" i="9"/>
  <c r="C12" i="9"/>
  <c r="E11" i="9"/>
  <c r="D11" i="9"/>
  <c r="C11" i="9"/>
  <c r="E10" i="9"/>
  <c r="D10" i="9"/>
  <c r="C10" i="9"/>
  <c r="E9" i="9"/>
  <c r="D9" i="9"/>
  <c r="C9" i="9"/>
  <c r="E8" i="9"/>
  <c r="D8" i="9"/>
  <c r="C8" i="9"/>
  <c r="E7" i="9"/>
  <c r="D7" i="9"/>
  <c r="C7" i="9"/>
  <c r="E6" i="9"/>
  <c r="D6" i="9"/>
  <c r="D12" i="12"/>
  <c r="H13" i="12"/>
  <c r="G13" i="12"/>
  <c r="F13" i="12"/>
  <c r="E13" i="12"/>
  <c r="D13" i="12"/>
  <c r="C13" i="12"/>
  <c r="H12" i="12"/>
  <c r="G12" i="12"/>
  <c r="F12" i="12"/>
  <c r="E12" i="12"/>
  <c r="C12" i="12"/>
  <c r="H11" i="12"/>
  <c r="G11" i="12"/>
  <c r="F11" i="12"/>
  <c r="E11" i="12"/>
  <c r="D11" i="12"/>
  <c r="C11" i="12"/>
  <c r="H10" i="12"/>
  <c r="G10" i="12"/>
  <c r="F10" i="12"/>
  <c r="E10" i="12"/>
  <c r="D10" i="12"/>
  <c r="C10" i="12"/>
  <c r="H9" i="12"/>
  <c r="G9" i="12"/>
  <c r="F9" i="12"/>
  <c r="E9" i="12"/>
  <c r="C9" i="12"/>
  <c r="H8" i="12"/>
  <c r="G8" i="12"/>
  <c r="F8" i="12"/>
  <c r="E8" i="12"/>
  <c r="D8" i="12"/>
  <c r="C8" i="12"/>
  <c r="H7" i="12"/>
  <c r="G7" i="12"/>
  <c r="F7" i="12"/>
  <c r="E7" i="12"/>
  <c r="D7" i="12"/>
  <c r="C7" i="12"/>
  <c r="H6" i="12"/>
  <c r="G6" i="12"/>
  <c r="F6" i="12"/>
  <c r="E6" i="12"/>
  <c r="D6" i="12"/>
  <c r="C6" i="12"/>
  <c r="H5" i="12"/>
  <c r="G5" i="12"/>
  <c r="F5" i="12"/>
  <c r="E5" i="12"/>
  <c r="D5" i="12"/>
  <c r="C5" i="12"/>
  <c r="H4" i="12"/>
  <c r="G4" i="12"/>
  <c r="F4" i="12"/>
  <c r="E4" i="12"/>
  <c r="D4" i="12"/>
  <c r="C20" i="9" l="1"/>
  <c r="H6" i="9" s="1"/>
  <c r="R5" i="9" s="1"/>
  <c r="D20" i="9"/>
  <c r="H16" i="9" l="1"/>
  <c r="E31" i="9"/>
  <c r="D24" i="9"/>
  <c r="E28" i="9" s="1"/>
  <c r="C31" i="9" s="1"/>
  <c r="D23" i="9"/>
  <c r="C28" i="9" l="1"/>
  <c r="C27" i="9"/>
  <c r="E32" i="9" s="1"/>
  <c r="E27" i="9"/>
  <c r="D31" i="9" s="1"/>
  <c r="C32" i="9" l="1"/>
  <c r="K5" i="9"/>
  <c r="D32" i="9"/>
  <c r="L5" i="9" l="1"/>
  <c r="R5" i="5"/>
  <c r="J4" i="10" s="1"/>
  <c r="R6" i="5"/>
  <c r="L4" i="10" s="1"/>
  <c r="R7" i="5"/>
  <c r="N4" i="10" s="1"/>
  <c r="R8" i="5"/>
  <c r="P4" i="10" s="1"/>
  <c r="R9" i="5"/>
  <c r="R4" i="10" s="1"/>
  <c r="R10" i="5"/>
  <c r="T4" i="10" s="1"/>
  <c r="R11" i="5"/>
  <c r="V4" i="10" s="1"/>
  <c r="R12" i="5"/>
  <c r="X4" i="10" s="1"/>
  <c r="R3" i="5"/>
  <c r="F4" i="10" s="1"/>
  <c r="R4" i="5"/>
  <c r="H4" i="10" s="1"/>
  <c r="P6" i="5"/>
  <c r="Q6" i="5" s="1"/>
  <c r="P7" i="5"/>
  <c r="Q7" i="5" s="1"/>
  <c r="P8" i="5"/>
  <c r="Q8" i="5" s="1"/>
  <c r="P9" i="5"/>
  <c r="Q9" i="5" s="1"/>
  <c r="P10" i="5"/>
  <c r="Q10" i="5" s="1"/>
  <c r="P11" i="5"/>
  <c r="Q11" i="5" s="1"/>
  <c r="P12" i="5"/>
  <c r="Q12" i="5" s="1"/>
  <c r="AJ32" i="12" l="1"/>
  <c r="AK35" i="12"/>
  <c r="AK31" i="12"/>
  <c r="AJ31" i="12"/>
  <c r="AL34" i="12"/>
  <c r="AL30" i="12"/>
  <c r="AL29" i="12"/>
  <c r="AJ37" i="12"/>
  <c r="AK29" i="12"/>
  <c r="AL31" i="12"/>
  <c r="AJ30" i="12"/>
  <c r="AK34" i="12"/>
  <c r="AK30" i="12"/>
  <c r="AJ29" i="12"/>
  <c r="AL33" i="12"/>
  <c r="AJ28" i="12"/>
  <c r="AK33" i="12"/>
  <c r="AJ35" i="12"/>
  <c r="AL32" i="12"/>
  <c r="AL28" i="12"/>
  <c r="AJ34" i="12"/>
  <c r="AL37" i="12"/>
  <c r="AK37" i="12"/>
  <c r="AK32" i="12"/>
  <c r="AK28" i="12"/>
  <c r="AJ33" i="12"/>
  <c r="AL35" i="12"/>
  <c r="AG33" i="12"/>
  <c r="AI36" i="12"/>
  <c r="AI31" i="12"/>
  <c r="AG32" i="12"/>
  <c r="AH36" i="12"/>
  <c r="AH31" i="12"/>
  <c r="AH30" i="12"/>
  <c r="AG29" i="12"/>
  <c r="AI29" i="12"/>
  <c r="AG31" i="12"/>
  <c r="AI34" i="12"/>
  <c r="AI30" i="12"/>
  <c r="AG30" i="12"/>
  <c r="AH34" i="12"/>
  <c r="AI33" i="12"/>
  <c r="AI37" i="12"/>
  <c r="AH28" i="12"/>
  <c r="AG37" i="12"/>
  <c r="AG28" i="12"/>
  <c r="AH37" i="12"/>
  <c r="AH33" i="12"/>
  <c r="AH29" i="12"/>
  <c r="AG36" i="12"/>
  <c r="AI32" i="12"/>
  <c r="AI28" i="12"/>
  <c r="AG34" i="12"/>
  <c r="AH32" i="12"/>
  <c r="AD35" i="12"/>
  <c r="AE37" i="12"/>
  <c r="AE32" i="12"/>
  <c r="AE28" i="12"/>
  <c r="AD33" i="12"/>
  <c r="AF36" i="12"/>
  <c r="AF31" i="12"/>
  <c r="AF30" i="12"/>
  <c r="AE30" i="12"/>
  <c r="AF32" i="12"/>
  <c r="AD32" i="12"/>
  <c r="AE36" i="12"/>
  <c r="AE31" i="12"/>
  <c r="AD31" i="12"/>
  <c r="AF35" i="12"/>
  <c r="AD30" i="12"/>
  <c r="AF37" i="12"/>
  <c r="AE35" i="12"/>
  <c r="AD29" i="12"/>
  <c r="AF33" i="12"/>
  <c r="AF29" i="12"/>
  <c r="AD37" i="12"/>
  <c r="AD28" i="12"/>
  <c r="AE33" i="12"/>
  <c r="AE29" i="12"/>
  <c r="AD36" i="12"/>
  <c r="AF28" i="12"/>
  <c r="AA36" i="12"/>
  <c r="AB34" i="12"/>
  <c r="AB29" i="12"/>
  <c r="AA35" i="12"/>
  <c r="AC37" i="12"/>
  <c r="AC32" i="12"/>
  <c r="AC28" i="12"/>
  <c r="AC31" i="12"/>
  <c r="AA31" i="12"/>
  <c r="AB31" i="12"/>
  <c r="AC29" i="12"/>
  <c r="AA34" i="12"/>
  <c r="AB37" i="12"/>
  <c r="AB32" i="12"/>
  <c r="AB28" i="12"/>
  <c r="AA32" i="12"/>
  <c r="AC36" i="12"/>
  <c r="AB36" i="12"/>
  <c r="AC34" i="12"/>
  <c r="AA30" i="12"/>
  <c r="AC35" i="12"/>
  <c r="AC30" i="12"/>
  <c r="AA29" i="12"/>
  <c r="AB35" i="12"/>
  <c r="AB30" i="12"/>
  <c r="AA37" i="12"/>
  <c r="AA28" i="12"/>
  <c r="Y28" i="12"/>
  <c r="X29" i="12"/>
  <c r="Z34" i="12"/>
  <c r="Z29" i="12"/>
  <c r="X37" i="12"/>
  <c r="X28" i="12"/>
  <c r="Y34" i="12"/>
  <c r="Y29" i="12"/>
  <c r="Y33" i="12"/>
  <c r="Z31" i="12"/>
  <c r="X36" i="12"/>
  <c r="Z28" i="12"/>
  <c r="Z33" i="12"/>
  <c r="X35" i="12"/>
  <c r="Z37" i="12"/>
  <c r="Y37" i="12"/>
  <c r="X34" i="12"/>
  <c r="Z36" i="12"/>
  <c r="Y35" i="12"/>
  <c r="X33" i="12"/>
  <c r="Y36" i="12"/>
  <c r="Y31" i="12"/>
  <c r="X31" i="12"/>
  <c r="Z35" i="12"/>
  <c r="Z30" i="12"/>
  <c r="X30" i="12"/>
  <c r="Y30" i="12"/>
  <c r="AM31" i="12"/>
  <c r="AO34" i="12"/>
  <c r="AO30" i="12"/>
  <c r="AM30" i="12"/>
  <c r="AN34" i="12"/>
  <c r="AN30" i="12"/>
  <c r="AN29" i="12"/>
  <c r="AO36" i="12"/>
  <c r="AO28" i="12"/>
  <c r="AM29" i="12"/>
  <c r="AO33" i="12"/>
  <c r="AO29" i="12"/>
  <c r="AM36" i="12"/>
  <c r="AM28" i="12"/>
  <c r="AN33" i="12"/>
  <c r="AM35" i="12"/>
  <c r="AO32" i="12"/>
  <c r="AN31" i="12"/>
  <c r="AM34" i="12"/>
  <c r="AN36" i="12"/>
  <c r="AN32" i="12"/>
  <c r="AN28" i="12"/>
  <c r="AM33" i="12"/>
  <c r="AO35" i="12"/>
  <c r="AO31" i="12"/>
  <c r="AM32" i="12"/>
  <c r="AN35" i="12"/>
  <c r="U32" i="12"/>
  <c r="V37" i="12"/>
  <c r="V36" i="12"/>
  <c r="U35" i="12"/>
  <c r="W33" i="12"/>
  <c r="V30" i="12"/>
  <c r="U29" i="12"/>
  <c r="W32" i="12"/>
  <c r="U37" i="12"/>
  <c r="W35" i="12"/>
  <c r="V34" i="12"/>
  <c r="U33" i="12"/>
  <c r="W29" i="12"/>
  <c r="V28" i="12"/>
  <c r="V32" i="12"/>
  <c r="W36" i="12"/>
  <c r="V35" i="12"/>
  <c r="U34" i="12"/>
  <c r="W30" i="12"/>
  <c r="V29" i="12"/>
  <c r="U28" i="12"/>
  <c r="W37" i="12"/>
  <c r="U36" i="12"/>
  <c r="W34" i="12"/>
  <c r="V33" i="12"/>
  <c r="U30" i="12"/>
  <c r="W28" i="12"/>
  <c r="O31" i="12"/>
  <c r="P28" i="12"/>
  <c r="Q36" i="12"/>
  <c r="P35" i="12"/>
  <c r="O34" i="12"/>
  <c r="Q31" i="12"/>
  <c r="Q28" i="12"/>
  <c r="P32" i="12"/>
  <c r="Q37" i="12"/>
  <c r="O36" i="12"/>
  <c r="Q34" i="12"/>
  <c r="P33" i="12"/>
  <c r="Q30" i="12"/>
  <c r="O32" i="12"/>
  <c r="P30" i="12"/>
  <c r="P36" i="12"/>
  <c r="O35" i="12"/>
  <c r="P31" i="12"/>
  <c r="O28" i="12"/>
  <c r="O37" i="12"/>
  <c r="Q35" i="12"/>
  <c r="P34" i="12"/>
  <c r="O33" i="12"/>
  <c r="O30" i="12"/>
  <c r="Q32" i="12"/>
  <c r="P37" i="12"/>
  <c r="Q33" i="12"/>
  <c r="S35" i="12"/>
  <c r="T36" i="12"/>
  <c r="R35" i="12"/>
  <c r="T33" i="12"/>
  <c r="S31" i="12"/>
  <c r="R29" i="12"/>
  <c r="R33" i="12"/>
  <c r="T32" i="12"/>
  <c r="S36" i="12"/>
  <c r="S33" i="12"/>
  <c r="R31" i="12"/>
  <c r="R32" i="12"/>
  <c r="R37" i="12"/>
  <c r="T35" i="12"/>
  <c r="R34" i="12"/>
  <c r="T31" i="12"/>
  <c r="S29" i="12"/>
  <c r="T28" i="12"/>
  <c r="S32" i="12"/>
  <c r="S37" i="12"/>
  <c r="R36" i="12"/>
  <c r="S34" i="12"/>
  <c r="T29" i="12"/>
  <c r="S28" i="12"/>
  <c r="T37" i="12"/>
  <c r="T34" i="12"/>
  <c r="R28" i="12"/>
  <c r="M32" i="12"/>
  <c r="M34" i="12"/>
  <c r="N36" i="12"/>
  <c r="M35" i="12"/>
  <c r="N33" i="12"/>
  <c r="M31" i="12"/>
  <c r="L30" i="12"/>
  <c r="L32" i="12"/>
  <c r="L37" i="12"/>
  <c r="M29" i="12"/>
  <c r="N37" i="12"/>
  <c r="M36" i="12"/>
  <c r="L35" i="12"/>
  <c r="M33" i="12"/>
  <c r="L31" i="12"/>
  <c r="N29" i="12"/>
  <c r="N32" i="12"/>
  <c r="L29" i="12"/>
  <c r="N35" i="12"/>
  <c r="L34" i="12"/>
  <c r="N31" i="12"/>
  <c r="M30" i="12"/>
  <c r="M37" i="12"/>
  <c r="L36" i="12"/>
  <c r="N34" i="12"/>
  <c r="L33" i="12"/>
  <c r="N30" i="12"/>
  <c r="H47" i="9"/>
  <c r="K34" i="12" l="1"/>
  <c r="H34" i="12" s="1"/>
  <c r="K33" i="12"/>
  <c r="H33" i="12" s="1"/>
  <c r="J33" i="12"/>
  <c r="D33" i="12" s="1"/>
  <c r="J34" i="12"/>
  <c r="G34" i="12" s="1"/>
  <c r="I37" i="12"/>
  <c r="C37" i="12" s="1"/>
  <c r="I35" i="12"/>
  <c r="C35" i="12" s="1"/>
  <c r="K35" i="12"/>
  <c r="H35" i="12" s="1"/>
  <c r="I36" i="12"/>
  <c r="F36" i="12" s="1"/>
  <c r="I34" i="12"/>
  <c r="C34" i="12" s="1"/>
  <c r="J36" i="12"/>
  <c r="D36" i="12" s="1"/>
  <c r="J35" i="12"/>
  <c r="D35" i="12" s="1"/>
  <c r="I33" i="12"/>
  <c r="C33" i="12" s="1"/>
  <c r="J37" i="12"/>
  <c r="G37" i="12" s="1"/>
  <c r="K37" i="12"/>
  <c r="E37" i="12" s="1"/>
  <c r="K36" i="12"/>
  <c r="H36" i="12" s="1"/>
  <c r="K32" i="12"/>
  <c r="E32" i="12" s="1"/>
  <c r="K31" i="12"/>
  <c r="E31" i="12" s="1"/>
  <c r="J31" i="12"/>
  <c r="G31" i="12" s="1"/>
  <c r="J32" i="12"/>
  <c r="G32" i="12" s="1"/>
  <c r="I31" i="12"/>
  <c r="C31" i="12" s="1"/>
  <c r="I32" i="12"/>
  <c r="F32" i="12" s="1"/>
  <c r="I28" i="12"/>
  <c r="F28" i="12" s="1"/>
  <c r="K29" i="12"/>
  <c r="E29" i="12" s="1"/>
  <c r="I29" i="12"/>
  <c r="C29" i="12" s="1"/>
  <c r="J29" i="12"/>
  <c r="G29" i="12" s="1"/>
  <c r="K28" i="12"/>
  <c r="E28" i="12" s="1"/>
  <c r="J28" i="12"/>
  <c r="G28" i="12" s="1"/>
  <c r="J30" i="12"/>
  <c r="D30" i="12" s="1"/>
  <c r="K30" i="12"/>
  <c r="E30" i="12" s="1"/>
  <c r="I30" i="12"/>
  <c r="F30" i="12" s="1"/>
  <c r="H33" i="9"/>
  <c r="H42" i="9"/>
  <c r="H21" i="9"/>
  <c r="H39" i="9"/>
  <c r="H30" i="9"/>
  <c r="H18" i="9"/>
  <c r="H24" i="9"/>
  <c r="H27" i="9"/>
  <c r="H36" i="9"/>
  <c r="H17" i="9"/>
  <c r="E33" i="12" l="1"/>
  <c r="H32" i="12"/>
  <c r="G33" i="12"/>
  <c r="F34" i="12"/>
  <c r="E35" i="12"/>
  <c r="C32" i="12"/>
  <c r="F37" i="12"/>
  <c r="G35" i="12"/>
  <c r="H31" i="12"/>
  <c r="E36" i="12"/>
  <c r="G36" i="12"/>
  <c r="C36" i="12"/>
  <c r="F35" i="12"/>
  <c r="E34" i="12"/>
  <c r="D34" i="12"/>
  <c r="D31" i="12"/>
  <c r="F33" i="12"/>
  <c r="H37" i="12"/>
  <c r="D32" i="12"/>
  <c r="D37" i="12"/>
  <c r="H30" i="12"/>
  <c r="H28" i="12"/>
  <c r="C28" i="12"/>
  <c r="G30" i="12"/>
  <c r="C30" i="12"/>
  <c r="D28" i="12"/>
  <c r="F31" i="12"/>
  <c r="D29" i="12"/>
  <c r="H29" i="12"/>
  <c r="F29" i="12"/>
  <c r="I47" i="9"/>
  <c r="E20" i="9"/>
  <c r="I24" i="9" l="1"/>
  <c r="I21" i="9"/>
  <c r="I27" i="9"/>
  <c r="I33" i="9"/>
  <c r="I30" i="9"/>
  <c r="I36" i="9"/>
  <c r="I39" i="9"/>
  <c r="I42" i="9"/>
  <c r="I18" i="9"/>
  <c r="J9" i="9"/>
  <c r="J47" i="9"/>
  <c r="J43" i="9" s="1"/>
  <c r="I10" i="9"/>
  <c r="S9" i="9" s="1"/>
  <c r="F6" i="10"/>
  <c r="X39" i="10"/>
  <c r="X73" i="10"/>
  <c r="X106" i="10"/>
  <c r="X140" i="10"/>
  <c r="X173" i="10"/>
  <c r="X207" i="10"/>
  <c r="X240" i="10"/>
  <c r="X274" i="10"/>
  <c r="Y21" i="10"/>
  <c r="Y59" i="10"/>
  <c r="Y101" i="10"/>
  <c r="Y147" i="10"/>
  <c r="Y193" i="10"/>
  <c r="Y239" i="10"/>
  <c r="Y285" i="10"/>
  <c r="X61" i="10"/>
  <c r="X128" i="10"/>
  <c r="X199" i="10"/>
  <c r="X271" i="10"/>
  <c r="Y54" i="10"/>
  <c r="Y127" i="10"/>
  <c r="Y200" i="10"/>
  <c r="Y272" i="10"/>
  <c r="Y149" i="10"/>
  <c r="Y275" i="10"/>
  <c r="X118" i="10"/>
  <c r="X243" i="10"/>
  <c r="Y79" i="10"/>
  <c r="Y207" i="10"/>
  <c r="X46" i="10"/>
  <c r="X180" i="10"/>
  <c r="Y26" i="10"/>
  <c r="Y152" i="10"/>
  <c r="Y276" i="10"/>
  <c r="Y128" i="10"/>
  <c r="X252" i="10"/>
  <c r="X157" i="10"/>
  <c r="X12" i="10"/>
  <c r="X45" i="10"/>
  <c r="X79" i="10"/>
  <c r="X112" i="10"/>
  <c r="X146" i="10"/>
  <c r="X179" i="10"/>
  <c r="X213" i="10"/>
  <c r="X246" i="10"/>
  <c r="X280" i="10"/>
  <c r="Y28" i="10"/>
  <c r="Y65" i="10"/>
  <c r="Y109" i="10"/>
  <c r="Y155" i="10"/>
  <c r="Y201" i="10"/>
  <c r="Y248" i="10"/>
  <c r="X7" i="10"/>
  <c r="X74" i="10"/>
  <c r="X143" i="10"/>
  <c r="X210" i="10"/>
  <c r="X283" i="10"/>
  <c r="Y68" i="10"/>
  <c r="Y140" i="10"/>
  <c r="Y213" i="10"/>
  <c r="Y286" i="10"/>
  <c r="Y176" i="10"/>
  <c r="X13" i="10"/>
  <c r="X141" i="10"/>
  <c r="X266" i="10"/>
  <c r="Y102" i="10"/>
  <c r="Y230" i="10"/>
  <c r="X72" i="10"/>
  <c r="X206" i="10"/>
  <c r="Y50" i="10"/>
  <c r="Y175" i="10"/>
  <c r="Y43" i="10"/>
  <c r="Y220" i="10"/>
  <c r="Y87" i="10"/>
  <c r="X285" i="10"/>
  <c r="X18" i="10"/>
  <c r="X52" i="10"/>
  <c r="X85" i="10"/>
  <c r="X119" i="10"/>
  <c r="X152" i="10"/>
  <c r="X186" i="10"/>
  <c r="X219" i="10"/>
  <c r="X253" i="10"/>
  <c r="X286" i="10"/>
  <c r="Y34" i="10"/>
  <c r="Y74" i="10"/>
  <c r="Y118" i="10"/>
  <c r="Y164" i="10"/>
  <c r="Y210" i="10"/>
  <c r="Y256" i="10"/>
  <c r="X17" i="10"/>
  <c r="X86" i="10"/>
  <c r="X153" i="10"/>
  <c r="X224" i="10"/>
  <c r="Y8" i="10"/>
  <c r="Y83" i="10"/>
  <c r="Y154" i="10"/>
  <c r="Y226" i="10"/>
  <c r="Y67" i="10"/>
  <c r="Y197" i="10"/>
  <c r="X36" i="10"/>
  <c r="X162" i="10"/>
  <c r="X289" i="10"/>
  <c r="Y125" i="10"/>
  <c r="Y251" i="10"/>
  <c r="X97" i="10"/>
  <c r="X231" i="10"/>
  <c r="Y73" i="10"/>
  <c r="Y198" i="10"/>
  <c r="X8" i="10"/>
  <c r="X41" i="10"/>
  <c r="X75" i="10"/>
  <c r="X108" i="10"/>
  <c r="X142" i="10"/>
  <c r="X175" i="10"/>
  <c r="X209" i="10"/>
  <c r="X242" i="10"/>
  <c r="X276" i="10"/>
  <c r="Y23" i="10"/>
  <c r="Y61" i="10"/>
  <c r="Y105" i="10"/>
  <c r="Y151" i="10"/>
  <c r="Y195" i="10"/>
  <c r="Y241" i="10"/>
  <c r="Y287" i="10"/>
  <c r="X65" i="10"/>
  <c r="X132" i="10"/>
  <c r="X201" i="10"/>
  <c r="X273" i="10"/>
  <c r="Y94" i="10"/>
  <c r="Y202" i="10"/>
  <c r="Y160" i="10"/>
  <c r="X126" i="10"/>
  <c r="Y150" i="10"/>
  <c r="X122" i="10"/>
  <c r="Y158" i="10"/>
  <c r="X56" i="10"/>
  <c r="X123" i="10"/>
  <c r="X190" i="10"/>
  <c r="X257" i="10"/>
  <c r="Y40" i="10"/>
  <c r="Y124" i="10"/>
  <c r="Y216" i="10"/>
  <c r="X25" i="10"/>
  <c r="X164" i="10"/>
  <c r="Y20" i="10"/>
  <c r="Y163" i="10"/>
  <c r="Y86" i="10"/>
  <c r="X51" i="10"/>
  <c r="Y142" i="10"/>
  <c r="Y169" i="10"/>
  <c r="Y98" i="10"/>
  <c r="X96" i="10"/>
  <c r="X196" i="10"/>
  <c r="X263" i="10"/>
  <c r="Y88" i="10"/>
  <c r="Y234" i="10"/>
  <c r="Y219" i="10"/>
  <c r="X68" i="10"/>
  <c r="X169" i="10"/>
  <c r="X270" i="10"/>
  <c r="Y53" i="10"/>
  <c r="Y187" i="10"/>
  <c r="X120" i="10"/>
  <c r="Y45" i="10"/>
  <c r="Y134" i="10"/>
  <c r="X229" i="10"/>
  <c r="X28" i="10"/>
  <c r="Y135" i="10"/>
  <c r="X24" i="10"/>
  <c r="X125" i="10"/>
  <c r="X226" i="10"/>
  <c r="Y82" i="10"/>
  <c r="Y218" i="10"/>
  <c r="X99" i="10"/>
  <c r="Y60" i="10"/>
  <c r="Y24" i="10"/>
  <c r="Y284" i="10"/>
  <c r="X47" i="10"/>
  <c r="X282" i="10"/>
  <c r="Y113" i="10"/>
  <c r="Y204" i="10"/>
  <c r="X11" i="10"/>
  <c r="X216" i="10"/>
  <c r="Y75" i="10"/>
  <c r="Y183" i="10"/>
  <c r="X275" i="10"/>
  <c r="X80" i="10"/>
  <c r="Y58" i="10"/>
  <c r="Y191" i="10"/>
  <c r="X31" i="10"/>
  <c r="X64" i="10"/>
  <c r="X98" i="10"/>
  <c r="X131" i="10"/>
  <c r="X165" i="10"/>
  <c r="X198" i="10"/>
  <c r="X232" i="10"/>
  <c r="X265" i="10"/>
  <c r="Y13" i="10"/>
  <c r="Y48" i="10"/>
  <c r="Y90" i="10"/>
  <c r="Y136" i="10"/>
  <c r="Y180" i="10"/>
  <c r="Y227" i="10"/>
  <c r="Y273" i="10"/>
  <c r="X42" i="10"/>
  <c r="X111" i="10"/>
  <c r="X183" i="10"/>
  <c r="X250" i="10"/>
  <c r="Y37" i="10"/>
  <c r="Y108" i="10"/>
  <c r="Y179" i="10"/>
  <c r="Y255" i="10"/>
  <c r="Y120" i="10"/>
  <c r="Y243" i="10"/>
  <c r="X84" i="10"/>
  <c r="X212" i="10"/>
  <c r="Y47" i="10"/>
  <c r="Y173" i="10"/>
  <c r="X9" i="10"/>
  <c r="X149" i="10"/>
  <c r="X277" i="10"/>
  <c r="Y121" i="10"/>
  <c r="Y242" i="10"/>
  <c r="Y259" i="10"/>
  <c r="X155" i="10"/>
  <c r="X19" i="10"/>
  <c r="Y253" i="10"/>
  <c r="X37" i="10"/>
  <c r="X70" i="10"/>
  <c r="X104" i="10"/>
  <c r="X138" i="10"/>
  <c r="X171" i="10"/>
  <c r="X205" i="10"/>
  <c r="X238" i="10"/>
  <c r="X272" i="10"/>
  <c r="Y19" i="10"/>
  <c r="Y57" i="10"/>
  <c r="Y99" i="10"/>
  <c r="Y145" i="10"/>
  <c r="Y189" i="10"/>
  <c r="Y235" i="10"/>
  <c r="Y283" i="10"/>
  <c r="X57" i="10"/>
  <c r="X124" i="10"/>
  <c r="X193" i="10"/>
  <c r="X264" i="10"/>
  <c r="Y52" i="10"/>
  <c r="Y123" i="10"/>
  <c r="Y194" i="10"/>
  <c r="Y270" i="10"/>
  <c r="Y141" i="10"/>
  <c r="Y266" i="10"/>
  <c r="X107" i="10"/>
  <c r="X235" i="10"/>
  <c r="Y70" i="10"/>
  <c r="Y196" i="10"/>
  <c r="X38" i="10"/>
  <c r="X172" i="10"/>
  <c r="Y18" i="10"/>
  <c r="Y144" i="10"/>
  <c r="Y267" i="10"/>
  <c r="Y95" i="10"/>
  <c r="X281" i="10"/>
  <c r="X189" i="10"/>
  <c r="X10" i="10"/>
  <c r="X43" i="10"/>
  <c r="X77" i="10"/>
  <c r="X110" i="10"/>
  <c r="X144" i="10"/>
  <c r="X177" i="10"/>
  <c r="X211" i="10"/>
  <c r="X244" i="10"/>
  <c r="X278" i="10"/>
  <c r="Y25" i="10"/>
  <c r="Y63" i="10"/>
  <c r="Y107" i="10"/>
  <c r="Y153" i="10"/>
  <c r="Y199" i="10"/>
  <c r="Y245" i="10"/>
  <c r="X6" i="10"/>
  <c r="X69" i="10"/>
  <c r="X136" i="10"/>
  <c r="X208" i="10"/>
  <c r="X279" i="10"/>
  <c r="Y62" i="10"/>
  <c r="Y138" i="10"/>
  <c r="Y209" i="10"/>
  <c r="Y280" i="10"/>
  <c r="Y168" i="10"/>
  <c r="Y289" i="10"/>
  <c r="X134" i="10"/>
  <c r="X260" i="10"/>
  <c r="Y96" i="10"/>
  <c r="Y221" i="10"/>
  <c r="X63" i="10"/>
  <c r="X197" i="10"/>
  <c r="Y41" i="10"/>
  <c r="Y167" i="10"/>
  <c r="Y290" i="10"/>
  <c r="X33" i="10"/>
  <c r="X66" i="10"/>
  <c r="X100" i="10"/>
  <c r="X133" i="10"/>
  <c r="X167" i="10"/>
  <c r="X200" i="10"/>
  <c r="X234" i="10"/>
  <c r="X267" i="10"/>
  <c r="Y15" i="10"/>
  <c r="Y51" i="10"/>
  <c r="Y92" i="10"/>
  <c r="Y139" i="10"/>
  <c r="Y185" i="10"/>
  <c r="Y231" i="10"/>
  <c r="Y277" i="10"/>
  <c r="X48" i="10"/>
  <c r="X116" i="10"/>
  <c r="X185" i="10"/>
  <c r="X256" i="10"/>
  <c r="Y77" i="10"/>
  <c r="Y148" i="10"/>
  <c r="Y55" i="10"/>
  <c r="X92" i="10"/>
  <c r="Y56" i="10"/>
  <c r="X88" i="10"/>
  <c r="Y66" i="10"/>
  <c r="X22" i="10"/>
  <c r="X89" i="10"/>
  <c r="X156" i="10"/>
  <c r="X223" i="10"/>
  <c r="X290" i="10"/>
  <c r="Y80" i="10"/>
  <c r="Y170" i="10"/>
  <c r="Y262" i="10"/>
  <c r="X95" i="10"/>
  <c r="X233" i="10"/>
  <c r="Y91" i="10"/>
  <c r="Y238" i="10"/>
  <c r="Y212" i="10"/>
  <c r="X178" i="10"/>
  <c r="Y16" i="10"/>
  <c r="Y265" i="10"/>
  <c r="X113" i="10"/>
  <c r="X245" i="10"/>
  <c r="Y89" i="10"/>
  <c r="Y211" i="10"/>
  <c r="X30" i="10"/>
  <c r="Y215" i="10"/>
  <c r="X29" i="10"/>
  <c r="X62" i="10"/>
  <c r="X129" i="10"/>
  <c r="X163" i="10"/>
  <c r="X230" i="10"/>
  <c r="Y11" i="10"/>
  <c r="Y46" i="10"/>
  <c r="Y132" i="10"/>
  <c r="Y178" i="10"/>
  <c r="Y224" i="10"/>
  <c r="Y271" i="10"/>
  <c r="X40" i="10"/>
  <c r="X109" i="10"/>
  <c r="X176" i="10"/>
  <c r="X248" i="10"/>
  <c r="Y35" i="10"/>
  <c r="Y106" i="10"/>
  <c r="Y177" i="10"/>
  <c r="Y249" i="10"/>
  <c r="Y111" i="10"/>
  <c r="Y237" i="10"/>
  <c r="X76" i="10"/>
  <c r="X204" i="10"/>
  <c r="Y39" i="10"/>
  <c r="Y165" i="10"/>
  <c r="Y288" i="10"/>
  <c r="X139" i="10"/>
  <c r="X268" i="10"/>
  <c r="Y112" i="10"/>
  <c r="Y240" i="10"/>
  <c r="X187" i="10"/>
  <c r="X55" i="10"/>
  <c r="X35" i="10"/>
  <c r="X102" i="10"/>
  <c r="X135" i="10"/>
  <c r="X202" i="10"/>
  <c r="X236" i="10"/>
  <c r="Y17" i="10"/>
  <c r="Y97" i="10"/>
  <c r="Y143" i="10"/>
  <c r="Y233" i="10"/>
  <c r="Y279" i="10"/>
  <c r="X53" i="10"/>
  <c r="X191" i="10"/>
  <c r="X258" i="10"/>
  <c r="Y117" i="10"/>
  <c r="Y190" i="10"/>
  <c r="Y263" i="10"/>
  <c r="Y260" i="10"/>
  <c r="X101" i="10"/>
  <c r="Y64" i="10"/>
  <c r="Y188" i="10"/>
  <c r="X166" i="10"/>
  <c r="Y12" i="10"/>
  <c r="Y261" i="10"/>
  <c r="X58" i="10"/>
  <c r="X91" i="10"/>
  <c r="X158" i="10"/>
  <c r="X192" i="10"/>
  <c r="X259" i="10"/>
  <c r="Y7" i="10"/>
  <c r="Y42" i="10"/>
  <c r="Y126" i="10"/>
  <c r="Y172" i="10"/>
  <c r="Y264" i="10"/>
  <c r="X32" i="10"/>
  <c r="X168" i="10"/>
  <c r="X237" i="10"/>
  <c r="Y131" i="10"/>
  <c r="Y278" i="10"/>
  <c r="Y281" i="10"/>
  <c r="Y274" i="10"/>
  <c r="Y33" i="10"/>
  <c r="X14" i="10"/>
  <c r="X81" i="10"/>
  <c r="X114" i="10"/>
  <c r="X148" i="10"/>
  <c r="X182" i="10"/>
  <c r="X215" i="10"/>
  <c r="X249" i="10"/>
  <c r="Y30" i="10"/>
  <c r="Y69" i="10"/>
  <c r="Y157" i="10"/>
  <c r="Y250" i="10"/>
  <c r="X78" i="10"/>
  <c r="X145" i="10"/>
  <c r="X287" i="10"/>
  <c r="Y146" i="10"/>
  <c r="Y217" i="10"/>
  <c r="Y36" i="10"/>
  <c r="X23" i="10"/>
  <c r="X147" i="10"/>
  <c r="Y110" i="10"/>
  <c r="Y236" i="10"/>
  <c r="X214" i="10"/>
  <c r="Y184" i="10"/>
  <c r="Y22" i="10"/>
  <c r="Y119" i="10"/>
  <c r="X87" i="10"/>
  <c r="X221" i="10"/>
  <c r="Y76" i="10"/>
  <c r="Y258" i="10"/>
  <c r="X227" i="10"/>
  <c r="Y232" i="10"/>
  <c r="X170" i="10"/>
  <c r="X105" i="10"/>
  <c r="Y186" i="10"/>
  <c r="X26" i="10"/>
  <c r="X161" i="10"/>
  <c r="Y9" i="10"/>
  <c r="Y174" i="10"/>
  <c r="X103" i="10"/>
  <c r="Y100" i="10"/>
  <c r="Y229" i="10"/>
  <c r="Y156" i="10"/>
  <c r="Y104" i="10"/>
  <c r="X83" i="10"/>
  <c r="X217" i="10"/>
  <c r="Y72" i="10"/>
  <c r="Y254" i="10"/>
  <c r="X218" i="10"/>
  <c r="Y252" i="10"/>
  <c r="Y192" i="10"/>
  <c r="X54" i="10"/>
  <c r="X188" i="10"/>
  <c r="Y38" i="10"/>
  <c r="Y214" i="10"/>
  <c r="X160" i="10"/>
  <c r="Y161" i="10"/>
  <c r="X44" i="10"/>
  <c r="Y257" i="10"/>
  <c r="Y205" i="10"/>
  <c r="Y129" i="10"/>
  <c r="X127" i="10"/>
  <c r="X261" i="10"/>
  <c r="Y130" i="10"/>
  <c r="X34" i="10"/>
  <c r="Y29" i="10"/>
  <c r="Y103" i="10"/>
  <c r="Y31" i="10"/>
  <c r="X262" i="10"/>
  <c r="X50" i="10"/>
  <c r="X184" i="10"/>
  <c r="Y32" i="10"/>
  <c r="Y208" i="10"/>
  <c r="X151" i="10"/>
  <c r="Y223" i="10"/>
  <c r="X222" i="10"/>
  <c r="X20" i="10"/>
  <c r="X154" i="10"/>
  <c r="X288" i="10"/>
  <c r="Y166" i="10"/>
  <c r="X90" i="10"/>
  <c r="Y85" i="10"/>
  <c r="Y206" i="10"/>
  <c r="Y133" i="10"/>
  <c r="Y81" i="10"/>
  <c r="Y182" i="10"/>
  <c r="X94" i="10"/>
  <c r="X228" i="10"/>
  <c r="Y84" i="10"/>
  <c r="Y268" i="10"/>
  <c r="X241" i="10"/>
  <c r="Y246" i="10"/>
  <c r="X195" i="10"/>
  <c r="X130" i="10"/>
  <c r="X16" i="10"/>
  <c r="X150" i="10"/>
  <c r="X284" i="10"/>
  <c r="Y162" i="10"/>
  <c r="X82" i="10"/>
  <c r="Y114" i="10"/>
  <c r="Y244" i="10"/>
  <c r="X254" i="10"/>
  <c r="X121" i="10"/>
  <c r="X255" i="10"/>
  <c r="Y122" i="10"/>
  <c r="X21" i="10"/>
  <c r="Y14" i="10"/>
  <c r="Y78" i="10"/>
  <c r="Y10" i="10"/>
  <c r="X239" i="10"/>
  <c r="X59" i="10"/>
  <c r="X60" i="10"/>
  <c r="X194" i="10"/>
  <c r="Y44" i="10"/>
  <c r="Y222" i="10"/>
  <c r="X174" i="10"/>
  <c r="Y171" i="10"/>
  <c r="X67" i="10"/>
  <c r="Y282" i="10"/>
  <c r="Y228" i="10"/>
  <c r="X117" i="10"/>
  <c r="X251" i="10"/>
  <c r="Y116" i="10"/>
  <c r="X15" i="10"/>
  <c r="Y6" i="10"/>
  <c r="X220" i="10"/>
  <c r="V16" i="10"/>
  <c r="V33" i="10"/>
  <c r="V50" i="10"/>
  <c r="V66" i="10"/>
  <c r="V83" i="10"/>
  <c r="V100" i="10"/>
  <c r="V117" i="10"/>
  <c r="V133" i="10"/>
  <c r="V150" i="10"/>
  <c r="V167" i="10"/>
  <c r="V184" i="10"/>
  <c r="V200" i="10"/>
  <c r="V217" i="10"/>
  <c r="V234" i="10"/>
  <c r="V251" i="10"/>
  <c r="V267" i="10"/>
  <c r="V284" i="10"/>
  <c r="W43" i="10"/>
  <c r="W110" i="10"/>
  <c r="W177" i="10"/>
  <c r="W244" i="10"/>
  <c r="W61" i="10"/>
  <c r="W245" i="10"/>
  <c r="W167" i="10"/>
  <c r="W15" i="10"/>
  <c r="W229" i="10"/>
  <c r="W158" i="10"/>
  <c r="W46" i="10"/>
  <c r="W113" i="10"/>
  <c r="W180" i="10"/>
  <c r="W248" i="10"/>
  <c r="W40" i="10"/>
  <c r="W250" i="10"/>
  <c r="W163" i="10"/>
  <c r="W257" i="10"/>
  <c r="W199" i="10"/>
  <c r="W188" i="10"/>
  <c r="W111" i="10"/>
  <c r="W142" i="10"/>
  <c r="W76" i="10"/>
  <c r="W160" i="10"/>
  <c r="W260" i="10"/>
  <c r="W132" i="10"/>
  <c r="W154" i="10"/>
  <c r="W55" i="10"/>
  <c r="W189" i="10"/>
  <c r="W65" i="10"/>
  <c r="W179" i="10"/>
  <c r="V63" i="10"/>
  <c r="V97" i="10"/>
  <c r="V130" i="10"/>
  <c r="V164" i="10"/>
  <c r="V197" i="10"/>
  <c r="V239" i="10"/>
  <c r="V273" i="10"/>
  <c r="W64" i="10"/>
  <c r="W198" i="10"/>
  <c r="W141" i="10"/>
  <c r="W196" i="10"/>
  <c r="W24" i="10"/>
  <c r="W67" i="10"/>
  <c r="W201" i="10"/>
  <c r="W99" i="10"/>
  <c r="V7" i="10"/>
  <c r="V23" i="10"/>
  <c r="V40" i="10"/>
  <c r="V57" i="10"/>
  <c r="V74" i="10"/>
  <c r="V90" i="10"/>
  <c r="V107" i="10"/>
  <c r="V124" i="10"/>
  <c r="V141" i="10"/>
  <c r="V157" i="10"/>
  <c r="V174" i="10"/>
  <c r="V191" i="10"/>
  <c r="V208" i="10"/>
  <c r="V224" i="10"/>
  <c r="V241" i="10"/>
  <c r="V258" i="10"/>
  <c r="V275" i="10"/>
  <c r="V6" i="10"/>
  <c r="W73" i="10"/>
  <c r="W140" i="10"/>
  <c r="W223" i="10"/>
  <c r="W16" i="10"/>
  <c r="W50" i="10"/>
  <c r="W193" i="10"/>
  <c r="W37" i="10"/>
  <c r="W155" i="10"/>
  <c r="W20" i="10"/>
  <c r="V42" i="10"/>
  <c r="V101" i="10"/>
  <c r="V172" i="10"/>
  <c r="V231" i="10"/>
  <c r="W31" i="10"/>
  <c r="W78" i="10"/>
  <c r="W128" i="10"/>
  <c r="W151" i="10"/>
  <c r="W129" i="10"/>
  <c r="V22" i="10"/>
  <c r="V39" i="10"/>
  <c r="V56" i="10"/>
  <c r="V73" i="10"/>
  <c r="V89" i="10"/>
  <c r="V106" i="10"/>
  <c r="V123" i="10"/>
  <c r="V140" i="10"/>
  <c r="V156" i="10"/>
  <c r="V173" i="10"/>
  <c r="V190" i="10"/>
  <c r="V207" i="10"/>
  <c r="V223" i="10"/>
  <c r="V240" i="10"/>
  <c r="V257" i="10"/>
  <c r="V274" i="10"/>
  <c r="V290" i="10"/>
  <c r="W68" i="10"/>
  <c r="W135" i="10"/>
  <c r="W202" i="10"/>
  <c r="W270" i="10"/>
  <c r="W153" i="10"/>
  <c r="W58" i="10"/>
  <c r="W209" i="10"/>
  <c r="W103" i="10"/>
  <c r="W41" i="10"/>
  <c r="W72" i="10"/>
  <c r="W166" i="10"/>
  <c r="V17" i="10"/>
  <c r="V72" i="10"/>
  <c r="V134" i="10"/>
  <c r="V201" i="10"/>
  <c r="V268" i="10"/>
  <c r="W165" i="10"/>
  <c r="W121" i="10"/>
  <c r="W17" i="10"/>
  <c r="W11" i="10"/>
  <c r="V12" i="10"/>
  <c r="V29" i="10"/>
  <c r="V45" i="10"/>
  <c r="V62" i="10"/>
  <c r="V79" i="10"/>
  <c r="V96" i="10"/>
  <c r="V112" i="10"/>
  <c r="V129" i="10"/>
  <c r="V146" i="10"/>
  <c r="V163" i="10"/>
  <c r="V179" i="10"/>
  <c r="V196" i="10"/>
  <c r="V213" i="10"/>
  <c r="V230" i="10"/>
  <c r="V246" i="10"/>
  <c r="V263" i="10"/>
  <c r="V280" i="10"/>
  <c r="W26" i="10"/>
  <c r="W94" i="10"/>
  <c r="W161" i="10"/>
  <c r="W228" i="10"/>
  <c r="W19" i="10"/>
  <c r="W212" i="10"/>
  <c r="W108" i="10"/>
  <c r="W263" i="10"/>
  <c r="W162" i="10"/>
  <c r="W117" i="10"/>
  <c r="W30" i="10"/>
  <c r="W97" i="10"/>
  <c r="W164" i="10"/>
  <c r="W231" i="10"/>
  <c r="W7" i="10"/>
  <c r="W208" i="10"/>
  <c r="W112" i="10"/>
  <c r="W207" i="10"/>
  <c r="W170" i="10"/>
  <c r="W104" i="10"/>
  <c r="W69" i="10"/>
  <c r="W91" i="10"/>
  <c r="W42" i="10"/>
  <c r="W143" i="10"/>
  <c r="W227" i="10"/>
  <c r="W74" i="10"/>
  <c r="W87" i="10"/>
  <c r="W38" i="10"/>
  <c r="W172" i="10"/>
  <c r="W23" i="10"/>
  <c r="W146" i="10"/>
  <c r="V59" i="10"/>
  <c r="V92" i="10"/>
  <c r="V126" i="10"/>
  <c r="V160" i="10"/>
  <c r="V193" i="10"/>
  <c r="V227" i="10"/>
  <c r="V260" i="10"/>
  <c r="W14" i="10"/>
  <c r="W148" i="10"/>
  <c r="W282" i="10"/>
  <c r="W175" i="10"/>
  <c r="W254" i="10"/>
  <c r="W51" i="10"/>
  <c r="W185" i="10"/>
  <c r="W48" i="10"/>
  <c r="W171" i="10"/>
  <c r="V19" i="10"/>
  <c r="V36" i="10"/>
  <c r="V53" i="10"/>
  <c r="V69" i="10"/>
  <c r="V86" i="10"/>
  <c r="V103" i="10"/>
  <c r="V120" i="10"/>
  <c r="V136" i="10"/>
  <c r="V153" i="10"/>
  <c r="V170" i="10"/>
  <c r="V187" i="10"/>
  <c r="V204" i="10"/>
  <c r="V220" i="10"/>
  <c r="V237" i="10"/>
  <c r="V254" i="10"/>
  <c r="V271" i="10"/>
  <c r="V287" i="10"/>
  <c r="W56" i="10"/>
  <c r="W123" i="10"/>
  <c r="W190" i="10"/>
  <c r="W107" i="10"/>
  <c r="W145" i="10"/>
  <c r="W126" i="10"/>
  <c r="W191" i="10"/>
  <c r="W88" i="10"/>
  <c r="W116" i="10"/>
  <c r="V30" i="10"/>
  <c r="V88" i="10"/>
  <c r="V151" i="10"/>
  <c r="V218" i="10"/>
  <c r="V281" i="10"/>
  <c r="W232" i="10"/>
  <c r="W238" i="10"/>
  <c r="W101" i="10"/>
  <c r="W216" i="10"/>
  <c r="V18" i="10"/>
  <c r="V35" i="10"/>
  <c r="V52" i="10"/>
  <c r="V68" i="10"/>
  <c r="V85" i="10"/>
  <c r="V102" i="10"/>
  <c r="V119" i="10"/>
  <c r="V135" i="10"/>
  <c r="V152" i="10"/>
  <c r="V169" i="10"/>
  <c r="V186" i="10"/>
  <c r="V202" i="10"/>
  <c r="V219" i="10"/>
  <c r="V236" i="10"/>
  <c r="V253" i="10"/>
  <c r="V270" i="10"/>
  <c r="V286" i="10"/>
  <c r="W52" i="10"/>
  <c r="W119" i="10"/>
  <c r="W186" i="10"/>
  <c r="W253" i="10"/>
  <c r="V20" i="10"/>
  <c r="V54" i="10"/>
  <c r="V87" i="10"/>
  <c r="V121" i="10"/>
  <c r="V154" i="10"/>
  <c r="V188" i="10"/>
  <c r="V221" i="10"/>
  <c r="V255" i="10"/>
  <c r="V288" i="10"/>
  <c r="W127" i="10"/>
  <c r="W261" i="10"/>
  <c r="W29" i="10"/>
  <c r="W86" i="10"/>
  <c r="W242" i="10"/>
  <c r="W130" i="10"/>
  <c r="W264" i="10"/>
  <c r="W283" i="10"/>
  <c r="W290" i="10"/>
  <c r="W221" i="10"/>
  <c r="W9" i="10"/>
  <c r="W176" i="10"/>
  <c r="W241" i="10"/>
  <c r="W105" i="10"/>
  <c r="W233" i="10"/>
  <c r="V76" i="10"/>
  <c r="V143" i="10"/>
  <c r="V210" i="10"/>
  <c r="V277" i="10"/>
  <c r="W215" i="10"/>
  <c r="W28" i="10"/>
  <c r="W118" i="10"/>
  <c r="W258" i="10"/>
  <c r="V28" i="10"/>
  <c r="V61" i="10"/>
  <c r="V95" i="10"/>
  <c r="V128" i="10"/>
  <c r="V162" i="10"/>
  <c r="V195" i="10"/>
  <c r="V229" i="10"/>
  <c r="V262" i="10"/>
  <c r="W22" i="10"/>
  <c r="W156" i="10"/>
  <c r="W150" i="10"/>
  <c r="W243" i="10"/>
  <c r="W206" i="10"/>
  <c r="V51" i="10"/>
  <c r="V189" i="10"/>
  <c r="W114" i="10"/>
  <c r="W75" i="10"/>
  <c r="V10" i="10"/>
  <c r="V43" i="10"/>
  <c r="V77" i="10"/>
  <c r="V110" i="10"/>
  <c r="V144" i="10"/>
  <c r="V177" i="10"/>
  <c r="V211" i="10"/>
  <c r="V244" i="10"/>
  <c r="V278" i="10"/>
  <c r="W85" i="10"/>
  <c r="W219" i="10"/>
  <c r="W90" i="10"/>
  <c r="W100" i="10"/>
  <c r="W276" i="10"/>
  <c r="W271" i="10"/>
  <c r="W139" i="10"/>
  <c r="W259" i="10"/>
  <c r="V55" i="10"/>
  <c r="V155" i="10"/>
  <c r="V235" i="10"/>
  <c r="W98" i="10"/>
  <c r="W267" i="10"/>
  <c r="W168" i="10"/>
  <c r="W230" i="10"/>
  <c r="V8" i="10"/>
  <c r="V75" i="10"/>
  <c r="V108" i="10"/>
  <c r="V175" i="10"/>
  <c r="V242" i="10"/>
  <c r="W77" i="10"/>
  <c r="W174" i="10"/>
  <c r="W234" i="10"/>
  <c r="W80" i="10"/>
  <c r="W149" i="10"/>
  <c r="W70" i="10"/>
  <c r="W109" i="10"/>
  <c r="W133" i="10"/>
  <c r="V46" i="10"/>
  <c r="V113" i="10"/>
  <c r="V256" i="10"/>
  <c r="W33" i="10"/>
  <c r="W268" i="10"/>
  <c r="V48" i="10"/>
  <c r="V116" i="10"/>
  <c r="V183" i="10"/>
  <c r="V216" i="10"/>
  <c r="V283" i="10"/>
  <c r="W274" i="10"/>
  <c r="W284" i="10"/>
  <c r="V139" i="10"/>
  <c r="W96" i="10"/>
  <c r="V31" i="10"/>
  <c r="V64" i="10"/>
  <c r="V131" i="10"/>
  <c r="V198" i="10"/>
  <c r="V265" i="10"/>
  <c r="W169" i="10"/>
  <c r="W53" i="10"/>
  <c r="W246" i="10"/>
  <c r="W21" i="10"/>
  <c r="V38" i="10"/>
  <c r="V222" i="10"/>
  <c r="W183" i="10"/>
  <c r="W8" i="10"/>
  <c r="V37" i="10"/>
  <c r="V70" i="10"/>
  <c r="V138" i="10"/>
  <c r="V171" i="10"/>
  <c r="V205" i="10"/>
  <c r="V238" i="10"/>
  <c r="W60" i="10"/>
  <c r="W194" i="10"/>
  <c r="W192" i="10"/>
  <c r="W63" i="10"/>
  <c r="W197" i="10"/>
  <c r="W82" i="10"/>
  <c r="W237" i="10"/>
  <c r="W204" i="10"/>
  <c r="W277" i="10"/>
  <c r="W272" i="10"/>
  <c r="V34" i="10"/>
  <c r="V176" i="10"/>
  <c r="V243" i="10"/>
  <c r="W220" i="10"/>
  <c r="W200" i="10"/>
  <c r="W252" i="10"/>
  <c r="V11" i="10"/>
  <c r="V44" i="10"/>
  <c r="V111" i="10"/>
  <c r="V145" i="10"/>
  <c r="V178" i="10"/>
  <c r="V245" i="10"/>
  <c r="V279" i="10"/>
  <c r="W240" i="10"/>
  <c r="W226" i="10"/>
  <c r="V13" i="10"/>
  <c r="V122" i="10"/>
  <c r="W262" i="10"/>
  <c r="W218" i="10"/>
  <c r="V60" i="10"/>
  <c r="V94" i="10"/>
  <c r="V127" i="10"/>
  <c r="V161" i="10"/>
  <c r="V228" i="10"/>
  <c r="V261" i="10"/>
  <c r="W18" i="10"/>
  <c r="W286" i="10"/>
  <c r="W224" i="10"/>
  <c r="W184" i="10"/>
  <c r="W217" i="10"/>
  <c r="W289" i="10"/>
  <c r="V105" i="10"/>
  <c r="V185" i="10"/>
  <c r="W36" i="10"/>
  <c r="W157" i="10"/>
  <c r="V24" i="10"/>
  <c r="V58" i="10"/>
  <c r="V91" i="10"/>
  <c r="V125" i="10"/>
  <c r="V192" i="10"/>
  <c r="V226" i="10"/>
  <c r="V259" i="10"/>
  <c r="W10" i="10"/>
  <c r="W144" i="10"/>
  <c r="W278" i="10"/>
  <c r="W79" i="10"/>
  <c r="W13" i="10"/>
  <c r="W147" i="10"/>
  <c r="W45" i="10"/>
  <c r="W288" i="10"/>
  <c r="W210" i="10"/>
  <c r="W122" i="10"/>
  <c r="V80" i="10"/>
  <c r="V214" i="10"/>
  <c r="W265" i="10"/>
  <c r="W134" i="10"/>
  <c r="V32" i="10"/>
  <c r="V99" i="10"/>
  <c r="V166" i="10"/>
  <c r="V233" i="10"/>
  <c r="W39" i="10"/>
  <c r="W251" i="10"/>
  <c r="W273" i="10"/>
  <c r="V206" i="10"/>
  <c r="W34" i="10"/>
  <c r="V47" i="10"/>
  <c r="V114" i="10"/>
  <c r="V182" i="10"/>
  <c r="V249" i="10"/>
  <c r="W102" i="10"/>
  <c r="W187" i="10"/>
  <c r="W44" i="10"/>
  <c r="W222" i="10"/>
  <c r="V84" i="10"/>
  <c r="V252" i="10"/>
  <c r="W178" i="10"/>
  <c r="V41" i="10"/>
  <c r="V142" i="10"/>
  <c r="V209" i="10"/>
  <c r="V276" i="10"/>
  <c r="W211" i="10"/>
  <c r="W66" i="10"/>
  <c r="W214" i="10"/>
  <c r="W280" i="10"/>
  <c r="W287" i="10"/>
  <c r="W6" i="10"/>
  <c r="W256" i="10"/>
  <c r="V180" i="10"/>
  <c r="W131" i="10"/>
  <c r="W255" i="10"/>
  <c r="V15" i="10"/>
  <c r="V82" i="10"/>
  <c r="V149" i="10"/>
  <c r="V250" i="10"/>
  <c r="W106" i="10"/>
  <c r="W59" i="10"/>
  <c r="V21" i="10"/>
  <c r="V264" i="10"/>
  <c r="W285" i="10"/>
  <c r="V98" i="10"/>
  <c r="V165" i="10"/>
  <c r="V232" i="10"/>
  <c r="W35" i="10"/>
  <c r="W279" i="10"/>
  <c r="W195" i="10"/>
  <c r="W62" i="10"/>
  <c r="V118" i="10"/>
  <c r="W47" i="10"/>
  <c r="W84" i="10"/>
  <c r="V104" i="10"/>
  <c r="V272" i="10"/>
  <c r="W124" i="10"/>
  <c r="W12" i="10"/>
  <c r="W213" i="10"/>
  <c r="W92" i="10"/>
  <c r="W239" i="10"/>
  <c r="V109" i="10"/>
  <c r="W81" i="10"/>
  <c r="V78" i="10"/>
  <c r="V212" i="10"/>
  <c r="W89" i="10"/>
  <c r="W205" i="10"/>
  <c r="V248" i="10"/>
  <c r="V26" i="10"/>
  <c r="V194" i="10"/>
  <c r="W152" i="10"/>
  <c r="W136" i="10"/>
  <c r="V25" i="10"/>
  <c r="V285" i="10"/>
  <c r="W125" i="10"/>
  <c r="V158" i="10"/>
  <c r="W120" i="10"/>
  <c r="W281" i="10"/>
  <c r="W57" i="10"/>
  <c r="W25" i="10"/>
  <c r="W275" i="10"/>
  <c r="W266" i="10"/>
  <c r="V147" i="10"/>
  <c r="V289" i="10"/>
  <c r="W95" i="10"/>
  <c r="W54" i="10"/>
  <c r="V65" i="10"/>
  <c r="V132" i="10"/>
  <c r="V199" i="10"/>
  <c r="V266" i="10"/>
  <c r="W173" i="10"/>
  <c r="W32" i="10"/>
  <c r="V67" i="10"/>
  <c r="W182" i="10"/>
  <c r="V14" i="10"/>
  <c r="V81" i="10"/>
  <c r="V148" i="10"/>
  <c r="V215" i="10"/>
  <c r="V282" i="10"/>
  <c r="W236" i="10"/>
  <c r="W138" i="10"/>
  <c r="W83" i="10"/>
  <c r="V9" i="10"/>
  <c r="V168" i="10"/>
  <c r="W249" i="10"/>
  <c r="W235" i="10"/>
  <c r="T37" i="10"/>
  <c r="T70" i="10"/>
  <c r="T104" i="10"/>
  <c r="T138" i="10"/>
  <c r="T171" i="10"/>
  <c r="T205" i="10"/>
  <c r="T238" i="10"/>
  <c r="T272" i="10"/>
  <c r="U19" i="10"/>
  <c r="U53" i="10"/>
  <c r="U86" i="10"/>
  <c r="U120" i="10"/>
  <c r="U153" i="10"/>
  <c r="U187" i="10"/>
  <c r="U220" i="10"/>
  <c r="U254" i="10"/>
  <c r="U287" i="10"/>
  <c r="U50" i="10"/>
  <c r="U87" i="10"/>
  <c r="U121" i="10"/>
  <c r="U154" i="10"/>
  <c r="U188" i="10"/>
  <c r="U226" i="10"/>
  <c r="U259" i="10"/>
  <c r="T7" i="10"/>
  <c r="T40" i="10"/>
  <c r="T74" i="10"/>
  <c r="T107" i="10"/>
  <c r="T141" i="10"/>
  <c r="T174" i="10"/>
  <c r="T208" i="10"/>
  <c r="T241" i="10"/>
  <c r="T275" i="10"/>
  <c r="U52" i="10"/>
  <c r="T210" i="10"/>
  <c r="T277" i="10"/>
  <c r="T18" i="10"/>
  <c r="T52" i="10"/>
  <c r="T85" i="10"/>
  <c r="T119" i="10"/>
  <c r="T152" i="10"/>
  <c r="T186" i="10"/>
  <c r="T219" i="10"/>
  <c r="T253" i="10"/>
  <c r="T286" i="10"/>
  <c r="U34" i="10"/>
  <c r="U67" i="10"/>
  <c r="U101" i="10"/>
  <c r="U134" i="10"/>
  <c r="U168" i="10"/>
  <c r="U201" i="10"/>
  <c r="U235" i="10"/>
  <c r="U268" i="10"/>
  <c r="U26" i="10"/>
  <c r="U68" i="10"/>
  <c r="U102" i="10"/>
  <c r="U135" i="10"/>
  <c r="U169" i="10"/>
  <c r="U205" i="10"/>
  <c r="U240" i="10"/>
  <c r="U274" i="10"/>
  <c r="T21" i="10"/>
  <c r="T55" i="10"/>
  <c r="T88" i="10"/>
  <c r="T122" i="10"/>
  <c r="T155" i="10"/>
  <c r="T189" i="10"/>
  <c r="T222" i="10"/>
  <c r="T256" i="10"/>
  <c r="T289" i="10"/>
  <c r="T14" i="10"/>
  <c r="T64" i="10"/>
  <c r="T131" i="10"/>
  <c r="T198" i="10"/>
  <c r="T265" i="10"/>
  <c r="U38" i="10"/>
  <c r="U105" i="10"/>
  <c r="U172" i="10"/>
  <c r="U239" i="10"/>
  <c r="U43" i="10"/>
  <c r="U106" i="10"/>
  <c r="U173" i="10"/>
  <c r="U244" i="10"/>
  <c r="T25" i="10"/>
  <c r="T92" i="10"/>
  <c r="T168" i="10"/>
  <c r="T285" i="10"/>
  <c r="T33" i="10"/>
  <c r="T66" i="10"/>
  <c r="T100" i="10"/>
  <c r="T133" i="10"/>
  <c r="T167" i="10"/>
  <c r="T200" i="10"/>
  <c r="T234" i="10"/>
  <c r="T267" i="10"/>
  <c r="U15" i="10"/>
  <c r="U48" i="10"/>
  <c r="U82" i="10"/>
  <c r="U116" i="10"/>
  <c r="U149" i="10"/>
  <c r="U183" i="10"/>
  <c r="U216" i="10"/>
  <c r="U250" i="10"/>
  <c r="U283" i="10"/>
  <c r="U45" i="10"/>
  <c r="U83" i="10"/>
  <c r="U117" i="10"/>
  <c r="U150" i="10"/>
  <c r="U184" i="10"/>
  <c r="U221" i="10"/>
  <c r="U255" i="10"/>
  <c r="U288" i="10"/>
  <c r="T36" i="10"/>
  <c r="T69" i="10"/>
  <c r="T103" i="10"/>
  <c r="T136" i="10"/>
  <c r="T170" i="10"/>
  <c r="T204" i="10"/>
  <c r="T237" i="10"/>
  <c r="T271" i="10"/>
  <c r="U35" i="10"/>
  <c r="T73" i="10"/>
  <c r="T140" i="10"/>
  <c r="T207" i="10"/>
  <c r="T274" i="10"/>
  <c r="U63" i="10"/>
  <c r="U130" i="10"/>
  <c r="U197" i="10"/>
  <c r="U264" i="10"/>
  <c r="U54" i="10"/>
  <c r="U131" i="10"/>
  <c r="U198" i="10"/>
  <c r="U270" i="10"/>
  <c r="T51" i="10"/>
  <c r="T118" i="10"/>
  <c r="T218" i="10"/>
  <c r="T20" i="10"/>
  <c r="T87" i="10"/>
  <c r="T154" i="10"/>
  <c r="T221" i="10"/>
  <c r="T288" i="10"/>
  <c r="U69" i="10"/>
  <c r="U136" i="10"/>
  <c r="U204" i="10"/>
  <c r="U271" i="10"/>
  <c r="U70" i="10"/>
  <c r="U138" i="10"/>
  <c r="U207" i="10"/>
  <c r="U276" i="10"/>
  <c r="T57" i="10"/>
  <c r="T124" i="10"/>
  <c r="T191" i="10"/>
  <c r="T258" i="10"/>
  <c r="T176" i="10"/>
  <c r="U60" i="10"/>
  <c r="T68" i="10"/>
  <c r="T135" i="10"/>
  <c r="T202" i="10"/>
  <c r="T270" i="10"/>
  <c r="U51" i="10"/>
  <c r="U118" i="10"/>
  <c r="U185" i="10"/>
  <c r="U252" i="10"/>
  <c r="U47" i="10"/>
  <c r="U119" i="10"/>
  <c r="U186" i="10"/>
  <c r="U257" i="10"/>
  <c r="T38" i="10"/>
  <c r="T105" i="10"/>
  <c r="T172" i="10"/>
  <c r="T239" i="10"/>
  <c r="U37" i="10"/>
  <c r="T98" i="10"/>
  <c r="T232" i="10"/>
  <c r="U72" i="10"/>
  <c r="U206" i="10"/>
  <c r="U73" i="10"/>
  <c r="U209" i="10"/>
  <c r="T59" i="10"/>
  <c r="T227" i="10"/>
  <c r="T50" i="10"/>
  <c r="T117" i="10"/>
  <c r="T184" i="10"/>
  <c r="T251" i="10"/>
  <c r="U32" i="10"/>
  <c r="U99" i="10"/>
  <c r="U166" i="10"/>
  <c r="U233" i="10"/>
  <c r="U24" i="10"/>
  <c r="U100" i="10"/>
  <c r="U167" i="10"/>
  <c r="U238" i="10"/>
  <c r="T19" i="10"/>
  <c r="T86" i="10"/>
  <c r="T153" i="10"/>
  <c r="T220" i="10"/>
  <c r="T287" i="10"/>
  <c r="T106" i="10"/>
  <c r="T240" i="10"/>
  <c r="U97" i="10"/>
  <c r="U231" i="10"/>
  <c r="U98" i="10"/>
  <c r="U236" i="10"/>
  <c r="T84" i="10"/>
  <c r="U8" i="10"/>
  <c r="T45" i="10"/>
  <c r="T112" i="10"/>
  <c r="T179" i="10"/>
  <c r="T246" i="10"/>
  <c r="U28" i="10"/>
  <c r="U95" i="10"/>
  <c r="U162" i="10"/>
  <c r="U229" i="10"/>
  <c r="U18" i="10"/>
  <c r="U96" i="10"/>
  <c r="U163" i="10"/>
  <c r="U234" i="10"/>
  <c r="T15" i="10"/>
  <c r="T82" i="10"/>
  <c r="T149" i="10"/>
  <c r="T216" i="10"/>
  <c r="T283" i="10"/>
  <c r="T235" i="10"/>
  <c r="T26" i="10"/>
  <c r="T94" i="10"/>
  <c r="T161" i="10"/>
  <c r="T228" i="10"/>
  <c r="U9" i="10"/>
  <c r="U76" i="10"/>
  <c r="U143" i="10"/>
  <c r="U243" i="10"/>
  <c r="U277" i="10"/>
  <c r="U39" i="10"/>
  <c r="U77" i="10"/>
  <c r="U110" i="10"/>
  <c r="U144" i="10"/>
  <c r="U177" i="10"/>
  <c r="U215" i="10"/>
  <c r="U249" i="10"/>
  <c r="U282" i="10"/>
  <c r="T63" i="10"/>
  <c r="T97" i="10"/>
  <c r="T164" i="10"/>
  <c r="T231" i="10"/>
  <c r="U14" i="10"/>
  <c r="T81" i="10"/>
  <c r="T215" i="10"/>
  <c r="T282" i="10"/>
  <c r="U122" i="10"/>
  <c r="U256" i="10"/>
  <c r="U123" i="10"/>
  <c r="U261" i="10"/>
  <c r="T109" i="10"/>
  <c r="T8" i="10"/>
  <c r="T75" i="10"/>
  <c r="T142" i="10"/>
  <c r="T29" i="10"/>
  <c r="T62" i="10"/>
  <c r="T96" i="10"/>
  <c r="T129" i="10"/>
  <c r="T163" i="10"/>
  <c r="T196" i="10"/>
  <c r="T230" i="10"/>
  <c r="T263" i="10"/>
  <c r="U11" i="10"/>
  <c r="U44" i="10"/>
  <c r="U78" i="10"/>
  <c r="U111" i="10"/>
  <c r="U145" i="10"/>
  <c r="U178" i="10"/>
  <c r="U212" i="10"/>
  <c r="U245" i="10"/>
  <c r="U279" i="10"/>
  <c r="U41" i="10"/>
  <c r="U79" i="10"/>
  <c r="U112" i="10"/>
  <c r="U146" i="10"/>
  <c r="U179" i="10"/>
  <c r="U217" i="10"/>
  <c r="U251" i="10"/>
  <c r="U284" i="10"/>
  <c r="T32" i="10"/>
  <c r="T65" i="10"/>
  <c r="T99" i="10"/>
  <c r="T132" i="10"/>
  <c r="T166" i="10"/>
  <c r="T199" i="10"/>
  <c r="T233" i="10"/>
  <c r="T266" i="10"/>
  <c r="U16" i="10"/>
  <c r="T201" i="10"/>
  <c r="T268" i="10"/>
  <c r="T10" i="10"/>
  <c r="T43" i="10"/>
  <c r="T77" i="10"/>
  <c r="T110" i="10"/>
  <c r="T144" i="10"/>
  <c r="T177" i="10"/>
  <c r="T211" i="10"/>
  <c r="T244" i="10"/>
  <c r="T278" i="10"/>
  <c r="U25" i="10"/>
  <c r="U59" i="10"/>
  <c r="U92" i="10"/>
  <c r="U126" i="10"/>
  <c r="U160" i="10"/>
  <c r="U193" i="10"/>
  <c r="U227" i="10"/>
  <c r="U260" i="10"/>
  <c r="U10" i="10"/>
  <c r="U58" i="10"/>
  <c r="U94" i="10"/>
  <c r="U127" i="10"/>
  <c r="U161" i="10"/>
  <c r="U194" i="10"/>
  <c r="U232" i="10"/>
  <c r="U265" i="10"/>
  <c r="T13" i="10"/>
  <c r="T46" i="10"/>
  <c r="T80" i="10"/>
  <c r="T113" i="10"/>
  <c r="T147" i="10"/>
  <c r="T180" i="10"/>
  <c r="T214" i="10"/>
  <c r="T248" i="10"/>
  <c r="T281" i="10"/>
  <c r="U211" i="10"/>
  <c r="T47" i="10"/>
  <c r="T114" i="10"/>
  <c r="T182" i="10"/>
  <c r="T249" i="10"/>
  <c r="U30" i="10"/>
  <c r="U88" i="10"/>
  <c r="U155" i="10"/>
  <c r="U222" i="10"/>
  <c r="U22" i="10"/>
  <c r="U89" i="10"/>
  <c r="U156" i="10"/>
  <c r="U228" i="10"/>
  <c r="T9" i="10"/>
  <c r="T76" i="10"/>
  <c r="T143" i="10"/>
  <c r="T260" i="10"/>
  <c r="T24" i="10"/>
  <c r="T58" i="10"/>
  <c r="T91" i="10"/>
  <c r="T125" i="10"/>
  <c r="T158" i="10"/>
  <c r="T192" i="10"/>
  <c r="T226" i="10"/>
  <c r="T259" i="10"/>
  <c r="U7" i="10"/>
  <c r="U40" i="10"/>
  <c r="U74" i="10"/>
  <c r="U107" i="10"/>
  <c r="U141" i="10"/>
  <c r="U174" i="10"/>
  <c r="U208" i="10"/>
  <c r="U241" i="10"/>
  <c r="U275" i="10"/>
  <c r="U33" i="10"/>
  <c r="U75" i="10"/>
  <c r="U108" i="10"/>
  <c r="U142" i="10"/>
  <c r="U175" i="10"/>
  <c r="U213" i="10"/>
  <c r="U246" i="10"/>
  <c r="U280" i="10"/>
  <c r="T28" i="10"/>
  <c r="T61" i="10"/>
  <c r="T95" i="10"/>
  <c r="T128" i="10"/>
  <c r="T162" i="10"/>
  <c r="T195" i="10"/>
  <c r="T229" i="10"/>
  <c r="T262" i="10"/>
  <c r="U12" i="10"/>
  <c r="T56" i="10"/>
  <c r="T123" i="10"/>
  <c r="T190" i="10"/>
  <c r="T257" i="10"/>
  <c r="U46" i="10"/>
  <c r="U113" i="10"/>
  <c r="U180" i="10"/>
  <c r="U248" i="10"/>
  <c r="U31" i="10"/>
  <c r="U114" i="10"/>
  <c r="U182" i="10"/>
  <c r="U253" i="10"/>
  <c r="T34" i="10"/>
  <c r="T101" i="10"/>
  <c r="T185" i="10"/>
  <c r="T54" i="10"/>
  <c r="T121" i="10"/>
  <c r="T188" i="10"/>
  <c r="T255" i="10"/>
  <c r="U36" i="10"/>
  <c r="U103" i="10"/>
  <c r="U170" i="10"/>
  <c r="U237" i="10"/>
  <c r="U29" i="10"/>
  <c r="U104" i="10"/>
  <c r="U171" i="10"/>
  <c r="U242" i="10"/>
  <c r="T23" i="10"/>
  <c r="T90" i="10"/>
  <c r="T157" i="10"/>
  <c r="T224" i="10"/>
  <c r="T6" i="10"/>
  <c r="T243" i="10"/>
  <c r="T35" i="10"/>
  <c r="T102" i="10"/>
  <c r="T169" i="10"/>
  <c r="T236" i="10"/>
  <c r="U17" i="10"/>
  <c r="U84" i="10"/>
  <c r="U151" i="10"/>
  <c r="U218" i="10"/>
  <c r="U285" i="10"/>
  <c r="U85" i="10"/>
  <c r="U152" i="10"/>
  <c r="U223" i="10"/>
  <c r="U290" i="10"/>
  <c r="T72" i="10"/>
  <c r="T139" i="10"/>
  <c r="T206" i="10"/>
  <c r="T273" i="10"/>
  <c r="T31" i="10"/>
  <c r="T165" i="10"/>
  <c r="U13" i="10"/>
  <c r="U139" i="10"/>
  <c r="U273" i="10"/>
  <c r="U140" i="10"/>
  <c r="U278" i="10"/>
  <c r="T126" i="10"/>
  <c r="T16" i="10"/>
  <c r="T83" i="10"/>
  <c r="T150" i="10"/>
  <c r="T217" i="10"/>
  <c r="T284" i="10"/>
  <c r="U65" i="10"/>
  <c r="U132" i="10"/>
  <c r="U199" i="10"/>
  <c r="U266" i="10"/>
  <c r="U66" i="10"/>
  <c r="U133" i="10"/>
  <c r="U202" i="10"/>
  <c r="U272" i="10"/>
  <c r="T53" i="10"/>
  <c r="T120" i="10"/>
  <c r="T187" i="10"/>
  <c r="T254" i="10"/>
  <c r="T39" i="10"/>
  <c r="T173" i="10"/>
  <c r="U21" i="10"/>
  <c r="U164" i="10"/>
  <c r="U289" i="10"/>
  <c r="U165" i="10"/>
  <c r="T17" i="10"/>
  <c r="T160" i="10"/>
  <c r="T12" i="10"/>
  <c r="T79" i="10"/>
  <c r="T146" i="10"/>
  <c r="T213" i="10"/>
  <c r="T280" i="10"/>
  <c r="U61" i="10"/>
  <c r="U128" i="10"/>
  <c r="U195" i="10"/>
  <c r="U262" i="10"/>
  <c r="U62" i="10"/>
  <c r="U129" i="10"/>
  <c r="U196" i="10"/>
  <c r="U267" i="10"/>
  <c r="T48" i="10"/>
  <c r="T116" i="10"/>
  <c r="T183" i="10"/>
  <c r="T250" i="10"/>
  <c r="T151" i="10"/>
  <c r="U20" i="10"/>
  <c r="T60" i="10"/>
  <c r="T127" i="10"/>
  <c r="T194" i="10"/>
  <c r="T261" i="10"/>
  <c r="U42" i="10"/>
  <c r="U109" i="10"/>
  <c r="U176" i="10"/>
  <c r="U210" i="10"/>
  <c r="T30" i="10"/>
  <c r="T130" i="10"/>
  <c r="T197" i="10"/>
  <c r="T264" i="10"/>
  <c r="T22" i="10"/>
  <c r="T148" i="10"/>
  <c r="U55" i="10"/>
  <c r="U189" i="10"/>
  <c r="U64" i="10"/>
  <c r="U190" i="10"/>
  <c r="T42" i="10"/>
  <c r="T193" i="10"/>
  <c r="T41" i="10"/>
  <c r="T108" i="10"/>
  <c r="T175" i="10"/>
  <c r="U23" i="10"/>
  <c r="U157" i="10"/>
  <c r="U6" i="10"/>
  <c r="U158" i="10"/>
  <c r="T11" i="10"/>
  <c r="T145" i="10"/>
  <c r="T279" i="10"/>
  <c r="T223" i="10"/>
  <c r="U214" i="10"/>
  <c r="U219" i="10"/>
  <c r="T252" i="10"/>
  <c r="T242" i="10"/>
  <c r="U91" i="10"/>
  <c r="T78" i="10"/>
  <c r="T89" i="10"/>
  <c r="U81" i="10"/>
  <c r="T209" i="10"/>
  <c r="U191" i="10"/>
  <c r="T44" i="10"/>
  <c r="U200" i="10"/>
  <c r="U281" i="10"/>
  <c r="T276" i="10"/>
  <c r="U124" i="10"/>
  <c r="U258" i="10"/>
  <c r="U125" i="10"/>
  <c r="U263" i="10"/>
  <c r="T111" i="10"/>
  <c r="T245" i="10"/>
  <c r="T156" i="10"/>
  <c r="U147" i="10"/>
  <c r="U148" i="10"/>
  <c r="T134" i="10"/>
  <c r="U90" i="10"/>
  <c r="U224" i="10"/>
  <c r="U230" i="10"/>
  <c r="T212" i="10"/>
  <c r="U80" i="10"/>
  <c r="T67" i="10"/>
  <c r="U57" i="10"/>
  <c r="U56" i="10"/>
  <c r="U192" i="10"/>
  <c r="T178" i="10"/>
  <c r="T290" i="10"/>
  <c r="U286" i="10"/>
  <c r="R20" i="10"/>
  <c r="R63" i="10"/>
  <c r="R101" i="10"/>
  <c r="R136" i="10"/>
  <c r="R175" i="10"/>
  <c r="R214" i="10"/>
  <c r="R248" i="10"/>
  <c r="R289" i="10"/>
  <c r="S21" i="10"/>
  <c r="S38" i="10"/>
  <c r="S55" i="10"/>
  <c r="S72" i="10"/>
  <c r="S88" i="10"/>
  <c r="S105" i="10"/>
  <c r="S122" i="10"/>
  <c r="S139" i="10"/>
  <c r="S155" i="10"/>
  <c r="S172" i="10"/>
  <c r="S189" i="10"/>
  <c r="S206" i="10"/>
  <c r="S222" i="10"/>
  <c r="S239" i="10"/>
  <c r="S256" i="10"/>
  <c r="S273" i="10"/>
  <c r="S289" i="10"/>
  <c r="R47" i="10"/>
  <c r="R81" i="10"/>
  <c r="R119" i="10"/>
  <c r="R157" i="10"/>
  <c r="R193" i="10"/>
  <c r="R232" i="10"/>
  <c r="R265" i="10"/>
  <c r="R28" i="10"/>
  <c r="R187" i="10"/>
  <c r="S6" i="10"/>
  <c r="R53" i="10"/>
  <c r="R90" i="10"/>
  <c r="R126" i="10"/>
  <c r="R161" i="10"/>
  <c r="R198" i="10"/>
  <c r="R237" i="10"/>
  <c r="R279" i="10"/>
  <c r="S16" i="10"/>
  <c r="S33" i="10"/>
  <c r="S50" i="10"/>
  <c r="S66" i="10"/>
  <c r="S83" i="10"/>
  <c r="S100" i="10"/>
  <c r="S117" i="10"/>
  <c r="S133" i="10"/>
  <c r="S150" i="10"/>
  <c r="S167" i="10"/>
  <c r="S184" i="10"/>
  <c r="S200" i="10"/>
  <c r="S217" i="10"/>
  <c r="S234" i="10"/>
  <c r="S251" i="10"/>
  <c r="S267" i="10"/>
  <c r="S284" i="10"/>
  <c r="R34" i="10"/>
  <c r="R70" i="10"/>
  <c r="R106" i="10"/>
  <c r="R144" i="10"/>
  <c r="R180" i="10"/>
  <c r="R221" i="10"/>
  <c r="R255" i="10"/>
  <c r="R9" i="10"/>
  <c r="R138" i="10"/>
  <c r="R276" i="10"/>
  <c r="R51" i="10"/>
  <c r="R88" i="10"/>
  <c r="R124" i="10"/>
  <c r="R158" i="10"/>
  <c r="R196" i="10"/>
  <c r="R235" i="10"/>
  <c r="R277" i="10"/>
  <c r="S15" i="10"/>
  <c r="S32" i="10"/>
  <c r="S48" i="10"/>
  <c r="S65" i="10"/>
  <c r="S82" i="10"/>
  <c r="S99" i="10"/>
  <c r="S116" i="10"/>
  <c r="S132" i="10"/>
  <c r="S149" i="10"/>
  <c r="S166" i="10"/>
  <c r="S183" i="10"/>
  <c r="S199" i="10"/>
  <c r="S216" i="10"/>
  <c r="S233" i="10"/>
  <c r="S250" i="10"/>
  <c r="S266" i="10"/>
  <c r="S283" i="10"/>
  <c r="R32" i="10"/>
  <c r="R68" i="10"/>
  <c r="R104" i="10"/>
  <c r="R142" i="10"/>
  <c r="R178" i="10"/>
  <c r="R219" i="10"/>
  <c r="R253" i="10"/>
  <c r="R7" i="10"/>
  <c r="R118" i="10"/>
  <c r="R271" i="10"/>
  <c r="R48" i="10"/>
  <c r="R84" i="10"/>
  <c r="R122" i="10"/>
  <c r="R156" i="10"/>
  <c r="R194" i="10"/>
  <c r="R233" i="10"/>
  <c r="R275" i="10"/>
  <c r="S14" i="10"/>
  <c r="S31" i="10"/>
  <c r="S47" i="10"/>
  <c r="S64" i="10"/>
  <c r="S81" i="10"/>
  <c r="S98" i="10"/>
  <c r="S114" i="10"/>
  <c r="S131" i="10"/>
  <c r="S148" i="10"/>
  <c r="S165" i="10"/>
  <c r="S182" i="10"/>
  <c r="S198" i="10"/>
  <c r="S215" i="10"/>
  <c r="S232" i="10"/>
  <c r="S249" i="10"/>
  <c r="S265" i="10"/>
  <c r="S282" i="10"/>
  <c r="R30" i="10"/>
  <c r="R66" i="10"/>
  <c r="R102" i="10"/>
  <c r="R140" i="10"/>
  <c r="R176" i="10"/>
  <c r="R217" i="10"/>
  <c r="R251" i="10"/>
  <c r="R290" i="10"/>
  <c r="R112" i="10"/>
  <c r="R270" i="10"/>
  <c r="S177" i="10"/>
  <c r="S228" i="10"/>
  <c r="S261" i="10"/>
  <c r="R17" i="10"/>
  <c r="R94" i="10"/>
  <c r="R129" i="10"/>
  <c r="R209" i="10"/>
  <c r="R282" i="10"/>
  <c r="R206" i="10"/>
  <c r="R44" i="10"/>
  <c r="R120" i="10"/>
  <c r="R192" i="10"/>
  <c r="R273" i="10"/>
  <c r="S30" i="10"/>
  <c r="S63" i="10"/>
  <c r="S97" i="10"/>
  <c r="S130" i="10"/>
  <c r="S164" i="10"/>
  <c r="S197" i="10"/>
  <c r="S248" i="10"/>
  <c r="S281" i="10"/>
  <c r="R64" i="10"/>
  <c r="R135" i="10"/>
  <c r="R215" i="10"/>
  <c r="R288" i="10"/>
  <c r="R266" i="10"/>
  <c r="R69" i="10"/>
  <c r="R143" i="10"/>
  <c r="R220" i="10"/>
  <c r="S8" i="10"/>
  <c r="S41" i="10"/>
  <c r="S75" i="10"/>
  <c r="S108" i="10"/>
  <c r="S142" i="10"/>
  <c r="S175" i="10"/>
  <c r="S209" i="10"/>
  <c r="S242" i="10"/>
  <c r="S276" i="10"/>
  <c r="R54" i="10"/>
  <c r="R125" i="10"/>
  <c r="R204" i="10"/>
  <c r="R274" i="10"/>
  <c r="R201" i="10"/>
  <c r="R67" i="10"/>
  <c r="R141" i="10"/>
  <c r="R218" i="10"/>
  <c r="S7" i="10"/>
  <c r="S40" i="10"/>
  <c r="S74" i="10"/>
  <c r="S107" i="10"/>
  <c r="S141" i="10"/>
  <c r="S174" i="10"/>
  <c r="S208" i="10"/>
  <c r="S241" i="10"/>
  <c r="S275" i="10"/>
  <c r="R52" i="10"/>
  <c r="R123" i="10"/>
  <c r="R199" i="10"/>
  <c r="R272" i="10"/>
  <c r="R200" i="10"/>
  <c r="R65" i="10"/>
  <c r="R139" i="10"/>
  <c r="R216" i="10"/>
  <c r="R6" i="10"/>
  <c r="S39" i="10"/>
  <c r="S73" i="10"/>
  <c r="S106" i="10"/>
  <c r="S140" i="10"/>
  <c r="S173" i="10"/>
  <c r="S207" i="10"/>
  <c r="S240" i="10"/>
  <c r="S274" i="10"/>
  <c r="R50" i="10"/>
  <c r="R121" i="10"/>
  <c r="R197" i="10"/>
  <c r="R267" i="10"/>
  <c r="R195" i="10"/>
  <c r="R8" i="10"/>
  <c r="R55" i="10"/>
  <c r="R92" i="10"/>
  <c r="R128" i="10"/>
  <c r="R165" i="10"/>
  <c r="R205" i="10"/>
  <c r="R239" i="10"/>
  <c r="R281" i="10"/>
  <c r="S17" i="10"/>
  <c r="S34" i="10"/>
  <c r="S51" i="10"/>
  <c r="S67" i="10"/>
  <c r="S84" i="10"/>
  <c r="S101" i="10"/>
  <c r="S118" i="10"/>
  <c r="S134" i="10"/>
  <c r="S151" i="10"/>
  <c r="S168" i="10"/>
  <c r="S185" i="10"/>
  <c r="S201" i="10"/>
  <c r="S218" i="10"/>
  <c r="S235" i="10"/>
  <c r="S252" i="10"/>
  <c r="S268" i="10"/>
  <c r="S285" i="10"/>
  <c r="R36" i="10"/>
  <c r="R73" i="10"/>
  <c r="R108" i="10"/>
  <c r="R146" i="10"/>
  <c r="R183" i="10"/>
  <c r="R223" i="10"/>
  <c r="R257" i="10"/>
  <c r="R13" i="10"/>
  <c r="R151" i="10"/>
  <c r="R280" i="10"/>
  <c r="R42" i="10"/>
  <c r="R80" i="10"/>
  <c r="R116" i="10"/>
  <c r="R152" i="10"/>
  <c r="R190" i="10"/>
  <c r="R229" i="10"/>
  <c r="R268" i="10"/>
  <c r="S12" i="10"/>
  <c r="S29" i="10"/>
  <c r="S45" i="10"/>
  <c r="S62" i="10"/>
  <c r="S79" i="10"/>
  <c r="S96" i="10"/>
  <c r="S112" i="10"/>
  <c r="S129" i="10"/>
  <c r="S146" i="10"/>
  <c r="S163" i="10"/>
  <c r="S179" i="10"/>
  <c r="S196" i="10"/>
  <c r="S213" i="10"/>
  <c r="S230" i="10"/>
  <c r="S246" i="10"/>
  <c r="S263" i="10"/>
  <c r="S280" i="10"/>
  <c r="R21" i="10"/>
  <c r="R62" i="10"/>
  <c r="R98" i="10"/>
  <c r="R133" i="10"/>
  <c r="R172" i="10"/>
  <c r="R213" i="10"/>
  <c r="R246" i="10"/>
  <c r="R286" i="10"/>
  <c r="R85" i="10"/>
  <c r="R264" i="10"/>
  <c r="R37" i="10"/>
  <c r="R78" i="10"/>
  <c r="R113" i="10"/>
  <c r="R149" i="10"/>
  <c r="R188" i="10"/>
  <c r="R227" i="10"/>
  <c r="R262" i="10"/>
  <c r="S11" i="10"/>
  <c r="S28" i="10"/>
  <c r="S44" i="10"/>
  <c r="S61" i="10"/>
  <c r="S78" i="10"/>
  <c r="S95" i="10"/>
  <c r="S111" i="10"/>
  <c r="S128" i="10"/>
  <c r="S145" i="10"/>
  <c r="S162" i="10"/>
  <c r="S178" i="10"/>
  <c r="S195" i="10"/>
  <c r="S212" i="10"/>
  <c r="S229" i="10"/>
  <c r="S245" i="10"/>
  <c r="S262" i="10"/>
  <c r="S279" i="10"/>
  <c r="R19" i="10"/>
  <c r="R60" i="10"/>
  <c r="R96" i="10"/>
  <c r="R131" i="10"/>
  <c r="R170" i="10"/>
  <c r="R211" i="10"/>
  <c r="R244" i="10"/>
  <c r="R284" i="10"/>
  <c r="R72" i="10"/>
  <c r="R258" i="10"/>
  <c r="R35" i="10"/>
  <c r="R76" i="10"/>
  <c r="R111" i="10"/>
  <c r="R147" i="10"/>
  <c r="R186" i="10"/>
  <c r="R224" i="10"/>
  <c r="R260" i="10"/>
  <c r="S10" i="10"/>
  <c r="S26" i="10"/>
  <c r="S43" i="10"/>
  <c r="S60" i="10"/>
  <c r="S77" i="10"/>
  <c r="S94" i="10"/>
  <c r="S110" i="10"/>
  <c r="S127" i="10"/>
  <c r="S144" i="10"/>
  <c r="S161" i="10"/>
  <c r="S194" i="10"/>
  <c r="S211" i="10"/>
  <c r="S244" i="10"/>
  <c r="S278" i="10"/>
  <c r="R58" i="10"/>
  <c r="R168" i="10"/>
  <c r="R242" i="10"/>
  <c r="R46" i="10"/>
  <c r="R82" i="10"/>
  <c r="R154" i="10"/>
  <c r="R231" i="10"/>
  <c r="S13" i="10"/>
  <c r="S46" i="10"/>
  <c r="S80" i="10"/>
  <c r="S113" i="10"/>
  <c r="S147" i="10"/>
  <c r="S180" i="10"/>
  <c r="S214" i="10"/>
  <c r="S231" i="10"/>
  <c r="S264" i="10"/>
  <c r="R23" i="10"/>
  <c r="R100" i="10"/>
  <c r="R174" i="10"/>
  <c r="R249" i="10"/>
  <c r="R87" i="10"/>
  <c r="R29" i="10"/>
  <c r="R107" i="10"/>
  <c r="R182" i="10"/>
  <c r="R254" i="10"/>
  <c r="S24" i="10"/>
  <c r="S58" i="10"/>
  <c r="S91" i="10"/>
  <c r="S125" i="10"/>
  <c r="S158" i="10"/>
  <c r="S192" i="10"/>
  <c r="S226" i="10"/>
  <c r="S259" i="10"/>
  <c r="R12" i="10"/>
  <c r="R89" i="10"/>
  <c r="R164" i="10"/>
  <c r="R238" i="10"/>
  <c r="R40" i="10"/>
  <c r="R24" i="10"/>
  <c r="R105" i="10"/>
  <c r="R179" i="10"/>
  <c r="R252" i="10"/>
  <c r="S23" i="10"/>
  <c r="S57" i="10"/>
  <c r="S90" i="10"/>
  <c r="S124" i="10"/>
  <c r="S157" i="10"/>
  <c r="S191" i="10"/>
  <c r="S224" i="10"/>
  <c r="S258" i="10"/>
  <c r="R10" i="10"/>
  <c r="R86" i="10"/>
  <c r="R162" i="10"/>
  <c r="R236" i="10"/>
  <c r="R38" i="10"/>
  <c r="R22" i="10"/>
  <c r="R103" i="10"/>
  <c r="R177" i="10"/>
  <c r="R250" i="10"/>
  <c r="S22" i="10"/>
  <c r="S56" i="10"/>
  <c r="S89" i="10"/>
  <c r="S123" i="10"/>
  <c r="S156" i="10"/>
  <c r="S190" i="10"/>
  <c r="S223" i="10"/>
  <c r="S257" i="10"/>
  <c r="S290" i="10"/>
  <c r="R83" i="10"/>
  <c r="R160" i="10"/>
  <c r="R234" i="10"/>
  <c r="R31" i="10"/>
  <c r="R33" i="10"/>
  <c r="R74" i="10"/>
  <c r="R109" i="10"/>
  <c r="R145" i="10"/>
  <c r="R184" i="10"/>
  <c r="R222" i="10"/>
  <c r="R256" i="10"/>
  <c r="S9" i="10"/>
  <c r="S25" i="10"/>
  <c r="S42" i="10"/>
  <c r="S59" i="10"/>
  <c r="S76" i="10"/>
  <c r="S92" i="10"/>
  <c r="S109" i="10"/>
  <c r="S126" i="10"/>
  <c r="S143" i="10"/>
  <c r="S160" i="10"/>
  <c r="S176" i="10"/>
  <c r="S193" i="10"/>
  <c r="S210" i="10"/>
  <c r="S227" i="10"/>
  <c r="S243" i="10"/>
  <c r="S260" i="10"/>
  <c r="S277" i="10"/>
  <c r="R15" i="10"/>
  <c r="R56" i="10"/>
  <c r="R91" i="10"/>
  <c r="R127" i="10"/>
  <c r="R166" i="10"/>
  <c r="R207" i="10"/>
  <c r="R240" i="10"/>
  <c r="R278" i="10"/>
  <c r="R45" i="10"/>
  <c r="R202" i="10"/>
  <c r="R18" i="10"/>
  <c r="R61" i="10"/>
  <c r="R99" i="10"/>
  <c r="R134" i="10"/>
  <c r="R173" i="10"/>
  <c r="R212" i="10"/>
  <c r="R245" i="10"/>
  <c r="R287" i="10"/>
  <c r="S20" i="10"/>
  <c r="S37" i="10"/>
  <c r="S54" i="10"/>
  <c r="S70" i="10"/>
  <c r="S87" i="10"/>
  <c r="S104" i="10"/>
  <c r="S121" i="10"/>
  <c r="S138" i="10"/>
  <c r="S154" i="10"/>
  <c r="S171" i="10"/>
  <c r="S188" i="10"/>
  <c r="S205" i="10"/>
  <c r="S221" i="10"/>
  <c r="S238" i="10"/>
  <c r="S255" i="10"/>
  <c r="S272" i="10"/>
  <c r="S288" i="10"/>
  <c r="R43" i="10"/>
  <c r="R117" i="10"/>
  <c r="R263" i="10"/>
  <c r="R59" i="10"/>
  <c r="R210" i="10"/>
  <c r="S36" i="10"/>
  <c r="S103" i="10"/>
  <c r="S170" i="10"/>
  <c r="S237" i="10"/>
  <c r="R41" i="10"/>
  <c r="R189" i="10"/>
  <c r="R163" i="10"/>
  <c r="R130" i="10"/>
  <c r="R283" i="10"/>
  <c r="S68" i="10"/>
  <c r="S135" i="10"/>
  <c r="S202" i="10"/>
  <c r="S270" i="10"/>
  <c r="R110" i="10"/>
  <c r="R259" i="10"/>
  <c r="R79" i="10"/>
  <c r="R230" i="10"/>
  <c r="R16" i="10"/>
  <c r="R171" i="10"/>
  <c r="S19" i="10"/>
  <c r="S86" i="10"/>
  <c r="S153" i="10"/>
  <c r="S220" i="10"/>
  <c r="S287" i="10"/>
  <c r="R150" i="10"/>
  <c r="R25" i="10"/>
  <c r="R95" i="10"/>
  <c r="R241" i="10"/>
  <c r="S52" i="10"/>
  <c r="S119" i="10"/>
  <c r="S186" i="10"/>
  <c r="S253" i="10"/>
  <c r="R75" i="10"/>
  <c r="R226" i="10"/>
  <c r="R191" i="10"/>
  <c r="R169" i="10"/>
  <c r="R132" i="10"/>
  <c r="R285" i="10"/>
  <c r="S69" i="10"/>
  <c r="S136" i="10"/>
  <c r="S204" i="10"/>
  <c r="S271" i="10"/>
  <c r="R114" i="10"/>
  <c r="R261" i="10"/>
  <c r="R57" i="10"/>
  <c r="R208" i="10"/>
  <c r="S35" i="10"/>
  <c r="S102" i="10"/>
  <c r="S169" i="10"/>
  <c r="S236" i="10"/>
  <c r="R39" i="10"/>
  <c r="R185" i="10"/>
  <c r="R153" i="10"/>
  <c r="R155" i="10"/>
  <c r="R26" i="10"/>
  <c r="R97" i="10"/>
  <c r="R243" i="10"/>
  <c r="S53" i="10"/>
  <c r="S120" i="10"/>
  <c r="S187" i="10"/>
  <c r="S254" i="10"/>
  <c r="R77" i="10"/>
  <c r="R228" i="10"/>
  <c r="R11" i="10"/>
  <c r="R167" i="10"/>
  <c r="S18" i="10"/>
  <c r="S85" i="10"/>
  <c r="S152" i="10"/>
  <c r="S219" i="10"/>
  <c r="S286" i="10"/>
  <c r="R148" i="10"/>
  <c r="R14" i="10"/>
  <c r="Q37" i="10"/>
  <c r="P10" i="10"/>
  <c r="P55" i="10"/>
  <c r="P91" i="10"/>
  <c r="P125" i="10"/>
  <c r="P158" i="10"/>
  <c r="P192" i="10"/>
  <c r="P226" i="10"/>
  <c r="P259" i="10"/>
  <c r="P7" i="10"/>
  <c r="Q51" i="10"/>
  <c r="Q88" i="10"/>
  <c r="Q122" i="10"/>
  <c r="Q155" i="10"/>
  <c r="Q189" i="10"/>
  <c r="Q222" i="10"/>
  <c r="Q256" i="10"/>
  <c r="Q289" i="10"/>
  <c r="P47" i="10"/>
  <c r="P86" i="10"/>
  <c r="P120" i="10"/>
  <c r="P153" i="10"/>
  <c r="P187" i="10"/>
  <c r="P220" i="10"/>
  <c r="P254" i="10"/>
  <c r="P287" i="10"/>
  <c r="Q138" i="10"/>
  <c r="Q272" i="10"/>
  <c r="Q177" i="10"/>
  <c r="Q133" i="10"/>
  <c r="Q267" i="10"/>
  <c r="Q63" i="10"/>
  <c r="Q198" i="10"/>
  <c r="Q169" i="10"/>
  <c r="Q35" i="10"/>
  <c r="Q7" i="10"/>
  <c r="P52" i="10"/>
  <c r="P89" i="10"/>
  <c r="P123" i="10"/>
  <c r="P156" i="10"/>
  <c r="P190" i="10"/>
  <c r="P223" i="10"/>
  <c r="P257" i="10"/>
  <c r="P290" i="10"/>
  <c r="P48" i="10"/>
  <c r="Q86" i="10"/>
  <c r="Q120" i="10"/>
  <c r="Q153" i="10"/>
  <c r="Q187" i="10"/>
  <c r="Q220" i="10"/>
  <c r="Q254" i="10"/>
  <c r="Q287" i="10"/>
  <c r="Q44" i="10"/>
  <c r="P84" i="10"/>
  <c r="P118" i="10"/>
  <c r="P151" i="10"/>
  <c r="P185" i="10"/>
  <c r="P218" i="10"/>
  <c r="P252" i="10"/>
  <c r="P285" i="10"/>
  <c r="Q129" i="10"/>
  <c r="Q263" i="10"/>
  <c r="Q144" i="10"/>
  <c r="Q125" i="10"/>
  <c r="Q259" i="10"/>
  <c r="P53" i="10"/>
  <c r="Q190" i="10"/>
  <c r="Q135" i="10"/>
  <c r="Q33" i="10"/>
  <c r="Q66" i="10"/>
  <c r="Q48" i="10"/>
  <c r="P87" i="10"/>
  <c r="P121" i="10"/>
  <c r="P154" i="10"/>
  <c r="P188" i="10"/>
  <c r="P221" i="10"/>
  <c r="P255" i="10"/>
  <c r="P288" i="10"/>
  <c r="P45" i="10"/>
  <c r="Q84" i="10"/>
  <c r="Q118" i="10"/>
  <c r="Q151" i="10"/>
  <c r="Q185" i="10"/>
  <c r="Q218" i="10"/>
  <c r="Q252" i="10"/>
  <c r="Q285" i="10"/>
  <c r="P42" i="10"/>
  <c r="P82" i="10"/>
  <c r="P116" i="10"/>
  <c r="P149" i="10"/>
  <c r="P183" i="10"/>
  <c r="P216" i="10"/>
  <c r="P250" i="10"/>
  <c r="P283" i="10"/>
  <c r="Q121" i="10"/>
  <c r="Q255" i="10"/>
  <c r="Q110" i="10"/>
  <c r="Q117" i="10"/>
  <c r="Q251" i="10"/>
  <c r="P41" i="10"/>
  <c r="Q182" i="10"/>
  <c r="Q102" i="10"/>
  <c r="Q14" i="10"/>
  <c r="Q47" i="10"/>
  <c r="Q23" i="10"/>
  <c r="P68" i="10"/>
  <c r="P102" i="10"/>
  <c r="P135" i="10"/>
  <c r="P169" i="10"/>
  <c r="P202" i="10"/>
  <c r="P236" i="10"/>
  <c r="P270" i="10"/>
  <c r="P20" i="10"/>
  <c r="P65" i="10"/>
  <c r="Q99" i="10"/>
  <c r="Q132" i="10"/>
  <c r="Q166" i="10"/>
  <c r="Q199" i="10"/>
  <c r="Q233" i="10"/>
  <c r="Q266" i="10"/>
  <c r="P17" i="10"/>
  <c r="Q61" i="10"/>
  <c r="P97" i="10"/>
  <c r="P130" i="10"/>
  <c r="P164" i="10"/>
  <c r="P197" i="10"/>
  <c r="P231" i="10"/>
  <c r="P264" i="10"/>
  <c r="Q38" i="10"/>
  <c r="Q179" i="10"/>
  <c r="Q85" i="10"/>
  <c r="P33" i="10"/>
  <c r="Q175" i="10"/>
  <c r="Q127" i="10"/>
  <c r="Q106" i="10"/>
  <c r="Q240" i="10"/>
  <c r="Q54" i="10"/>
  <c r="P75" i="10"/>
  <c r="P142" i="10"/>
  <c r="P209" i="10"/>
  <c r="P276" i="10"/>
  <c r="Q72" i="10"/>
  <c r="Q139" i="10"/>
  <c r="Q206" i="10"/>
  <c r="Q273" i="10"/>
  <c r="P69" i="10"/>
  <c r="P136" i="10"/>
  <c r="P204" i="10"/>
  <c r="P271" i="10"/>
  <c r="Q205" i="10"/>
  <c r="P66" i="10"/>
  <c r="Q228" i="10"/>
  <c r="Q265" i="10"/>
  <c r="Q52" i="10"/>
  <c r="P73" i="10"/>
  <c r="P140" i="10"/>
  <c r="P207" i="10"/>
  <c r="P274" i="10"/>
  <c r="Q69" i="10"/>
  <c r="Q136" i="10"/>
  <c r="Q204" i="10"/>
  <c r="Q271" i="10"/>
  <c r="P67" i="10"/>
  <c r="P134" i="10"/>
  <c r="P201" i="10"/>
  <c r="P268" i="10"/>
  <c r="Q196" i="10"/>
  <c r="Q55" i="10"/>
  <c r="Q194" i="10"/>
  <c r="Q257" i="10"/>
  <c r="Q50" i="10"/>
  <c r="P70" i="10"/>
  <c r="P138" i="10"/>
  <c r="P205" i="10"/>
  <c r="P272" i="10"/>
  <c r="Q67" i="10"/>
  <c r="Q134" i="10"/>
  <c r="Q201" i="10"/>
  <c r="Q268" i="10"/>
  <c r="P64" i="10"/>
  <c r="P132" i="10"/>
  <c r="P199" i="10"/>
  <c r="P266" i="10"/>
  <c r="Q188" i="10"/>
  <c r="P44" i="10"/>
  <c r="Q161" i="10"/>
  <c r="Q249" i="10"/>
  <c r="Q31" i="10"/>
  <c r="P46" i="10"/>
  <c r="P119" i="10"/>
  <c r="P186" i="10"/>
  <c r="P253" i="10"/>
  <c r="Q42" i="10"/>
  <c r="Q116" i="10"/>
  <c r="Q183" i="10"/>
  <c r="Q250" i="10"/>
  <c r="P39" i="10"/>
  <c r="P113" i="10"/>
  <c r="P180" i="10"/>
  <c r="P248" i="10"/>
  <c r="Q112" i="10"/>
  <c r="Q77" i="10"/>
  <c r="Q242" i="10"/>
  <c r="Q173" i="10"/>
  <c r="Q45" i="10"/>
  <c r="Q65" i="10"/>
  <c r="P133" i="10"/>
  <c r="P200" i="10"/>
  <c r="P267" i="10"/>
  <c r="P62" i="10"/>
  <c r="Q130" i="10"/>
  <c r="Q197" i="10"/>
  <c r="Q264" i="10"/>
  <c r="P59" i="10"/>
  <c r="P128" i="10"/>
  <c r="P195" i="10"/>
  <c r="P262" i="10"/>
  <c r="Q171" i="10"/>
  <c r="Q21" i="10"/>
  <c r="Q94" i="10"/>
  <c r="Q232" i="10"/>
  <c r="Q43" i="10"/>
  <c r="P63" i="10"/>
  <c r="P131" i="10"/>
  <c r="P198" i="10"/>
  <c r="P265" i="10"/>
  <c r="Q59" i="10"/>
  <c r="Q128" i="10"/>
  <c r="Q195" i="10"/>
  <c r="Q262" i="10"/>
  <c r="P56" i="10"/>
  <c r="P126" i="10"/>
  <c r="P193" i="10"/>
  <c r="P260" i="10"/>
  <c r="Q163" i="10"/>
  <c r="P11" i="10"/>
  <c r="Q46" i="10"/>
  <c r="Q223" i="10"/>
  <c r="Q41" i="10"/>
  <c r="P60" i="10"/>
  <c r="P129" i="10"/>
  <c r="P196" i="10"/>
  <c r="P263" i="10"/>
  <c r="P57" i="10"/>
  <c r="Q126" i="10"/>
  <c r="Q193" i="10"/>
  <c r="Q260" i="10"/>
  <c r="Q53" i="10"/>
  <c r="P124" i="10"/>
  <c r="P191" i="10"/>
  <c r="P258" i="10"/>
  <c r="Q154" i="10"/>
  <c r="Q261" i="10"/>
  <c r="Q284" i="10"/>
  <c r="Q215" i="10"/>
  <c r="Q29" i="10"/>
  <c r="Q62" i="10"/>
  <c r="P43" i="10"/>
  <c r="P83" i="10"/>
  <c r="P117" i="10"/>
  <c r="P150" i="10"/>
  <c r="P184" i="10"/>
  <c r="P217" i="10"/>
  <c r="P251" i="10"/>
  <c r="P284" i="10"/>
  <c r="P40" i="10"/>
  <c r="Q80" i="10"/>
  <c r="Q113" i="10"/>
  <c r="Q147" i="10"/>
  <c r="Q180" i="10"/>
  <c r="Q214" i="10"/>
  <c r="Q248" i="10"/>
  <c r="Q281" i="10"/>
  <c r="Q36" i="10"/>
  <c r="P78" i="10"/>
  <c r="P111" i="10"/>
  <c r="P145" i="10"/>
  <c r="P178" i="10"/>
  <c r="P212" i="10"/>
  <c r="P245" i="10"/>
  <c r="P279" i="10"/>
  <c r="Q104" i="10"/>
  <c r="Q238" i="10"/>
  <c r="P24" i="10"/>
  <c r="Q100" i="10"/>
  <c r="Q234" i="10"/>
  <c r="P19" i="10"/>
  <c r="Q165" i="10"/>
  <c r="P36" i="10"/>
  <c r="Q26" i="10"/>
  <c r="Q60" i="10"/>
  <c r="Q40" i="10"/>
  <c r="P81" i="10"/>
  <c r="P114" i="10"/>
  <c r="P148" i="10"/>
  <c r="P182" i="10"/>
  <c r="P215" i="10"/>
  <c r="P249" i="10"/>
  <c r="P282" i="10"/>
  <c r="P37" i="10"/>
  <c r="Q78" i="10"/>
  <c r="Q111" i="10"/>
  <c r="Q145" i="10"/>
  <c r="Q178" i="10"/>
  <c r="Q212" i="10"/>
  <c r="Q245" i="10"/>
  <c r="Q279" i="10"/>
  <c r="P34" i="10"/>
  <c r="P76" i="10"/>
  <c r="P109" i="10"/>
  <c r="P143" i="10"/>
  <c r="P176" i="10"/>
  <c r="P210" i="10"/>
  <c r="P243" i="10"/>
  <c r="P277" i="10"/>
  <c r="Q96" i="10"/>
  <c r="Q230" i="10"/>
  <c r="Q270" i="10"/>
  <c r="Q91" i="10"/>
  <c r="Q226" i="10"/>
  <c r="P8" i="10"/>
  <c r="Q156" i="10"/>
  <c r="Q290" i="10"/>
  <c r="Q24" i="10"/>
  <c r="Q58" i="10"/>
  <c r="P38" i="10"/>
  <c r="P79" i="10"/>
  <c r="P112" i="10"/>
  <c r="P146" i="10"/>
  <c r="P179" i="10"/>
  <c r="P213" i="10"/>
  <c r="P246" i="10"/>
  <c r="P280" i="10"/>
  <c r="Q34" i="10"/>
  <c r="Q76" i="10"/>
  <c r="Q109" i="10"/>
  <c r="Q143" i="10"/>
  <c r="Q176" i="10"/>
  <c r="Q210" i="10"/>
  <c r="Q243" i="10"/>
  <c r="Q277" i="10"/>
  <c r="P31" i="10"/>
  <c r="P74" i="10"/>
  <c r="P107" i="10"/>
  <c r="P141" i="10"/>
  <c r="P174" i="10"/>
  <c r="P208" i="10"/>
  <c r="P241" i="10"/>
  <c r="P275" i="10"/>
  <c r="Q87" i="10"/>
  <c r="Q221" i="10"/>
  <c r="Q236" i="10"/>
  <c r="Q83" i="10"/>
  <c r="Q217" i="10"/>
  <c r="Q278" i="10"/>
  <c r="Q148" i="10"/>
  <c r="Q282" i="10"/>
  <c r="Q286" i="10"/>
  <c r="Q39" i="10"/>
  <c r="P13" i="10"/>
  <c r="Q57" i="10"/>
  <c r="P94" i="10"/>
  <c r="P127" i="10"/>
  <c r="P161" i="10"/>
  <c r="P194" i="10"/>
  <c r="P228" i="10"/>
  <c r="P261" i="10"/>
  <c r="Q9" i="10"/>
  <c r="P54" i="10"/>
  <c r="Q90" i="10"/>
  <c r="Q124" i="10"/>
  <c r="Q157" i="10"/>
  <c r="Q191" i="10"/>
  <c r="Q224" i="10"/>
  <c r="Q258" i="10"/>
  <c r="Q6" i="10"/>
  <c r="P51" i="10"/>
  <c r="P88" i="10"/>
  <c r="P122" i="10"/>
  <c r="P155" i="10"/>
  <c r="P189" i="10"/>
  <c r="P222" i="10"/>
  <c r="P256" i="10"/>
  <c r="P289" i="10"/>
  <c r="Q146" i="10"/>
  <c r="Q280" i="10"/>
  <c r="Q211" i="10"/>
  <c r="Q142" i="10"/>
  <c r="Q276" i="10"/>
  <c r="Q73" i="10"/>
  <c r="Q207" i="10"/>
  <c r="Q20" i="10"/>
  <c r="Q32" i="10"/>
  <c r="P108" i="10"/>
  <c r="P175" i="10"/>
  <c r="P242" i="10"/>
  <c r="P29" i="10"/>
  <c r="Q105" i="10"/>
  <c r="Q172" i="10"/>
  <c r="Q239" i="10"/>
  <c r="P25" i="10"/>
  <c r="P103" i="10"/>
  <c r="P170" i="10"/>
  <c r="P237" i="10"/>
  <c r="Q70" i="10"/>
  <c r="Q186" i="10"/>
  <c r="Q200" i="10"/>
  <c r="Q131" i="10"/>
  <c r="Q18" i="10"/>
  <c r="P30" i="10"/>
  <c r="P106" i="10"/>
  <c r="P173" i="10"/>
  <c r="P240" i="10"/>
  <c r="Q25" i="10"/>
  <c r="Q103" i="10"/>
  <c r="Q170" i="10"/>
  <c r="Q237" i="10"/>
  <c r="P22" i="10"/>
  <c r="P101" i="10"/>
  <c r="P168" i="10"/>
  <c r="P235" i="10"/>
  <c r="P61" i="10"/>
  <c r="Q152" i="10"/>
  <c r="Q192" i="10"/>
  <c r="Q123" i="10"/>
  <c r="Q16" i="10"/>
  <c r="P26" i="10"/>
  <c r="P104" i="10"/>
  <c r="P171" i="10"/>
  <c r="P238" i="10"/>
  <c r="P23" i="10"/>
  <c r="Q101" i="10"/>
  <c r="Q168" i="10"/>
  <c r="Q235" i="10"/>
  <c r="Q19" i="10"/>
  <c r="P99" i="10"/>
  <c r="P166" i="10"/>
  <c r="P233" i="10"/>
  <c r="P50" i="10"/>
  <c r="Q119" i="10"/>
  <c r="Q184" i="10"/>
  <c r="Q114" i="10"/>
  <c r="Q202" i="10"/>
  <c r="Q64" i="10"/>
  <c r="P85" i="10"/>
  <c r="P152" i="10"/>
  <c r="P219" i="10"/>
  <c r="P286" i="10"/>
  <c r="Q82" i="10"/>
  <c r="Q149" i="10"/>
  <c r="Q216" i="10"/>
  <c r="Q283" i="10"/>
  <c r="P80" i="10"/>
  <c r="P147" i="10"/>
  <c r="P214" i="10"/>
  <c r="P281" i="10"/>
  <c r="Q246" i="10"/>
  <c r="Q108" i="10"/>
  <c r="Q30" i="10"/>
  <c r="Q68" i="10"/>
  <c r="Q12" i="10"/>
  <c r="P21" i="10"/>
  <c r="P100" i="10"/>
  <c r="P167" i="10"/>
  <c r="P234" i="10"/>
  <c r="Q17" i="10"/>
  <c r="Q97" i="10"/>
  <c r="Q164" i="10"/>
  <c r="Q231" i="10"/>
  <c r="P14" i="10"/>
  <c r="P95" i="10"/>
  <c r="P162" i="10"/>
  <c r="P229" i="10"/>
  <c r="P28" i="10"/>
  <c r="P58" i="10"/>
  <c r="Q167" i="10"/>
  <c r="Q98" i="10"/>
  <c r="Q10" i="10"/>
  <c r="P18" i="10"/>
  <c r="P98" i="10"/>
  <c r="P165" i="10"/>
  <c r="P232" i="10"/>
  <c r="P15" i="10"/>
  <c r="Q95" i="10"/>
  <c r="Q162" i="10"/>
  <c r="Q229" i="10"/>
  <c r="Q11" i="10"/>
  <c r="P92" i="10"/>
  <c r="P160" i="10"/>
  <c r="P227" i="10"/>
  <c r="P16" i="10"/>
  <c r="Q13" i="10"/>
  <c r="Q158" i="10"/>
  <c r="Q89" i="10"/>
  <c r="Q8" i="10"/>
  <c r="Q15" i="10"/>
  <c r="P96" i="10"/>
  <c r="P163" i="10"/>
  <c r="P230" i="10"/>
  <c r="P12" i="10"/>
  <c r="Q92" i="10"/>
  <c r="Q160" i="10"/>
  <c r="Q227" i="10"/>
  <c r="P9" i="10"/>
  <c r="P90" i="10"/>
  <c r="P157" i="10"/>
  <c r="P224" i="10"/>
  <c r="P6" i="10"/>
  <c r="Q288" i="10"/>
  <c r="Q150" i="10"/>
  <c r="Q81" i="10"/>
  <c r="P35" i="10"/>
  <c r="P177" i="10"/>
  <c r="P32" i="10"/>
  <c r="Q174" i="10"/>
  <c r="Q28" i="10"/>
  <c r="P172" i="10"/>
  <c r="Q79" i="10"/>
  <c r="Q209" i="10"/>
  <c r="Q22" i="10"/>
  <c r="P244" i="10"/>
  <c r="P105" i="10"/>
  <c r="Q219" i="10"/>
  <c r="Q244" i="10"/>
  <c r="Q74" i="10"/>
  <c r="P72" i="10"/>
  <c r="Q213" i="10"/>
  <c r="Q56" i="10"/>
  <c r="P144" i="10"/>
  <c r="P278" i="10"/>
  <c r="Q141" i="10"/>
  <c r="Q275" i="10"/>
  <c r="P139" i="10"/>
  <c r="P273" i="10"/>
  <c r="Q75" i="10"/>
  <c r="Q274" i="10"/>
  <c r="P110" i="10"/>
  <c r="Q107" i="10"/>
  <c r="Q241" i="10"/>
  <c r="P239" i="10"/>
  <c r="Q140" i="10"/>
  <c r="P77" i="10"/>
  <c r="P211" i="10"/>
  <c r="Q208" i="10"/>
  <c r="P206" i="10"/>
  <c r="Q253" i="10"/>
  <c r="L189" i="10"/>
  <c r="M207" i="10"/>
  <c r="L234" i="10"/>
  <c r="M34" i="10"/>
  <c r="M175" i="10"/>
  <c r="M11" i="10"/>
  <c r="M61" i="10"/>
  <c r="M110" i="10"/>
  <c r="M193" i="10"/>
  <c r="L14" i="10"/>
  <c r="M92" i="10"/>
  <c r="M166" i="10"/>
  <c r="L42" i="10"/>
  <c r="M128" i="10"/>
  <c r="I46" i="10"/>
  <c r="L161" i="10"/>
  <c r="M118" i="10"/>
  <c r="M213" i="10"/>
  <c r="L37" i="10"/>
  <c r="L172" i="10"/>
  <c r="L11" i="10"/>
  <c r="L145" i="10"/>
  <c r="M283" i="10"/>
  <c r="M80" i="10"/>
  <c r="L270" i="10"/>
  <c r="L239" i="10"/>
  <c r="L53" i="10"/>
  <c r="M208" i="10"/>
  <c r="M29" i="10"/>
  <c r="L254" i="10"/>
  <c r="L25" i="10"/>
  <c r="L90" i="10"/>
  <c r="H176" i="10"/>
  <c r="M221" i="10"/>
  <c r="L200" i="10"/>
  <c r="L15" i="10"/>
  <c r="L57" i="10"/>
  <c r="M287" i="10"/>
  <c r="L257" i="10"/>
  <c r="M164" i="10"/>
  <c r="M226" i="10"/>
  <c r="L290" i="10"/>
  <c r="L114" i="10"/>
  <c r="M265" i="10"/>
  <c r="M183" i="10"/>
  <c r="M257" i="10"/>
  <c r="L116" i="10"/>
  <c r="M153" i="10"/>
  <c r="M200" i="10"/>
  <c r="M176" i="10"/>
  <c r="L219" i="10"/>
  <c r="M18" i="10"/>
  <c r="M103" i="10"/>
  <c r="L67" i="10"/>
  <c r="M31" i="10"/>
  <c r="L241" i="10"/>
  <c r="L19" i="10"/>
  <c r="L210" i="10"/>
  <c r="H135" i="10"/>
  <c r="L95" i="10"/>
  <c r="M162" i="10"/>
  <c r="L102" i="10"/>
  <c r="M148" i="10"/>
  <c r="M69" i="10"/>
  <c r="M171" i="10"/>
  <c r="L233" i="10"/>
  <c r="L48" i="10"/>
  <c r="L147" i="10"/>
  <c r="M24" i="10"/>
  <c r="M260" i="10"/>
  <c r="M78" i="10"/>
  <c r="L17" i="10"/>
  <c r="M85" i="10"/>
  <c r="L195" i="10"/>
  <c r="L36" i="10"/>
  <c r="M187" i="10"/>
  <c r="M285" i="10"/>
  <c r="M201" i="10"/>
  <c r="M68" i="10"/>
  <c r="L154" i="10"/>
  <c r="M72" i="10"/>
  <c r="M227" i="10"/>
  <c r="L150" i="10"/>
  <c r="L158" i="10"/>
  <c r="L249" i="10"/>
  <c r="M169" i="10"/>
  <c r="L255" i="10"/>
  <c r="L162" i="10"/>
  <c r="H70" i="10"/>
  <c r="I279" i="10"/>
  <c r="J10" i="9"/>
  <c r="M246" i="10"/>
  <c r="M46" i="10"/>
  <c r="M86" i="10"/>
  <c r="M195" i="10"/>
  <c r="M232" i="10"/>
  <c r="L277" i="10"/>
  <c r="L148" i="10"/>
  <c r="L128" i="10"/>
  <c r="M199" i="10"/>
  <c r="L79" i="10"/>
  <c r="L68" i="10"/>
  <c r="M32" i="10"/>
  <c r="M172" i="10"/>
  <c r="L82" i="10"/>
  <c r="L21" i="10"/>
  <c r="M197" i="10"/>
  <c r="L218" i="10"/>
  <c r="L227" i="10"/>
  <c r="L196" i="10"/>
  <c r="M250" i="10"/>
  <c r="L168" i="10"/>
  <c r="M52" i="10"/>
  <c r="L119" i="10"/>
  <c r="M133" i="10"/>
  <c r="L100" i="10"/>
  <c r="L263" i="10"/>
  <c r="M236" i="10"/>
  <c r="M58" i="10"/>
  <c r="L94" i="10"/>
  <c r="M149" i="10"/>
  <c r="M40" i="10"/>
  <c r="L276" i="10"/>
  <c r="M111" i="10"/>
  <c r="L6" i="10"/>
  <c r="M220" i="10"/>
  <c r="L18" i="10"/>
  <c r="M23" i="10"/>
  <c r="L109" i="10"/>
  <c r="M66" i="10"/>
  <c r="M266" i="10"/>
  <c r="M230" i="10"/>
  <c r="M97" i="10"/>
  <c r="M59" i="10"/>
  <c r="H9" i="9"/>
  <c r="R8" i="9" s="1"/>
  <c r="L186" i="10"/>
  <c r="M204" i="10"/>
  <c r="L185" i="10"/>
  <c r="M271" i="10"/>
  <c r="L232" i="10"/>
  <c r="L97" i="10"/>
  <c r="M267" i="10"/>
  <c r="M90" i="10"/>
  <c r="M99" i="10"/>
  <c r="L92" i="10"/>
  <c r="L142" i="10"/>
  <c r="L121" i="10"/>
  <c r="I149" i="10"/>
  <c r="H127" i="10"/>
  <c r="I6" i="9"/>
  <c r="S5" i="9" s="1"/>
  <c r="L110" i="10"/>
  <c r="L38" i="10"/>
  <c r="L273" i="10"/>
  <c r="L118" i="10"/>
  <c r="L125" i="10"/>
  <c r="L238" i="10"/>
  <c r="L66" i="10"/>
  <c r="M209" i="10"/>
  <c r="M96" i="10"/>
  <c r="M45" i="10"/>
  <c r="M142" i="10"/>
  <c r="L45" i="10"/>
  <c r="M147" i="10"/>
  <c r="M76" i="10"/>
  <c r="L261" i="10"/>
  <c r="M146" i="10"/>
  <c r="M43" i="10"/>
  <c r="M268" i="10"/>
  <c r="L107" i="10"/>
  <c r="L177" i="10"/>
  <c r="L32" i="10"/>
  <c r="L126" i="10"/>
  <c r="L213" i="10"/>
  <c r="L43" i="10"/>
  <c r="L8" i="10"/>
  <c r="M136" i="10"/>
  <c r="M215" i="10"/>
  <c r="M158" i="10"/>
  <c r="M261" i="10"/>
  <c r="M51" i="10"/>
  <c r="L112" i="10"/>
  <c r="L44" i="10"/>
  <c r="L9" i="10"/>
  <c r="M42" i="10"/>
  <c r="M35" i="10"/>
  <c r="M12" i="10"/>
  <c r="M79" i="10"/>
  <c r="M223" i="10"/>
  <c r="M77" i="10"/>
  <c r="L214" i="10"/>
  <c r="M184" i="10"/>
  <c r="M211" i="10"/>
  <c r="M28" i="10"/>
  <c r="M194" i="10"/>
  <c r="M190" i="10"/>
  <c r="M248" i="10"/>
  <c r="L199" i="10"/>
  <c r="M60" i="10"/>
  <c r="L180" i="10"/>
  <c r="M155" i="10"/>
  <c r="L221" i="10"/>
  <c r="M237" i="10"/>
  <c r="M7" i="10"/>
  <c r="M121" i="10"/>
  <c r="L129" i="10"/>
  <c r="L86" i="10"/>
  <c r="L286" i="10"/>
  <c r="L285" i="10"/>
  <c r="M84" i="10"/>
  <c r="L74" i="10"/>
  <c r="M243" i="10"/>
  <c r="L179" i="10"/>
  <c r="L176" i="10"/>
  <c r="L30" i="10"/>
  <c r="L40" i="10"/>
  <c r="M154" i="10"/>
  <c r="L135" i="10"/>
  <c r="M290" i="10"/>
  <c r="L198" i="10"/>
  <c r="M284" i="10"/>
  <c r="M282" i="10"/>
  <c r="M258" i="10"/>
  <c r="M55" i="10"/>
  <c r="L7" i="10"/>
  <c r="L240" i="10"/>
  <c r="M63" i="10"/>
  <c r="L46" i="10"/>
  <c r="M245" i="10"/>
  <c r="M177" i="10"/>
  <c r="M126" i="10"/>
  <c r="L58" i="10"/>
  <c r="L149" i="10"/>
  <c r="L190" i="10"/>
  <c r="H131" i="10"/>
  <c r="I227" i="10"/>
  <c r="H280" i="10"/>
  <c r="H96" i="10"/>
  <c r="H254" i="10"/>
  <c r="H175" i="10"/>
  <c r="L250" i="10"/>
  <c r="M210" i="10"/>
  <c r="L139" i="10"/>
  <c r="M161" i="10"/>
  <c r="L134" i="10"/>
  <c r="M217" i="10"/>
  <c r="L133" i="10"/>
  <c r="L253" i="10"/>
  <c r="L91" i="10"/>
  <c r="L52" i="10"/>
  <c r="L223" i="10"/>
  <c r="M15" i="10"/>
  <c r="M238" i="10"/>
  <c r="L24" i="10"/>
  <c r="M33" i="10"/>
  <c r="M196" i="10"/>
  <c r="M132" i="10"/>
  <c r="M182" i="10"/>
  <c r="L124" i="10"/>
  <c r="L72" i="10"/>
  <c r="M272" i="10"/>
  <c r="L132" i="10"/>
  <c r="M152" i="10"/>
  <c r="L127" i="10"/>
  <c r="M278" i="10"/>
  <c r="M41" i="10"/>
  <c r="M180" i="10"/>
  <c r="M144" i="10"/>
  <c r="L31" i="10"/>
  <c r="M289" i="10"/>
  <c r="L222" i="10"/>
  <c r="M173" i="10"/>
  <c r="L289" i="10"/>
  <c r="L283" i="10"/>
  <c r="M156" i="10"/>
  <c r="L113" i="10"/>
  <c r="M54" i="10"/>
  <c r="M56" i="10"/>
  <c r="M275" i="10"/>
  <c r="M67" i="10"/>
  <c r="L215" i="10"/>
  <c r="M122" i="10"/>
  <c r="L70" i="10"/>
  <c r="L69" i="10"/>
  <c r="L63" i="10"/>
  <c r="L156" i="10"/>
  <c r="L288" i="10"/>
  <c r="L252" i="10"/>
  <c r="M106" i="10"/>
  <c r="M143" i="10"/>
  <c r="M117" i="10"/>
  <c r="M70" i="10"/>
  <c r="M228" i="10"/>
  <c r="L160" i="10"/>
  <c r="M94" i="10"/>
  <c r="M74" i="10"/>
  <c r="L146" i="10"/>
  <c r="M288" i="10"/>
  <c r="M107" i="10"/>
  <c r="L84" i="10"/>
  <c r="L105" i="10"/>
  <c r="M145" i="10"/>
  <c r="L217" i="10"/>
  <c r="L81" i="10"/>
  <c r="M10" i="10"/>
  <c r="M274" i="10"/>
  <c r="L194" i="10"/>
  <c r="L80" i="10"/>
  <c r="M109" i="10"/>
  <c r="M123" i="10"/>
  <c r="L138" i="10"/>
  <c r="L259" i="10"/>
  <c r="L62" i="10"/>
  <c r="L99" i="10"/>
  <c r="L29" i="10"/>
  <c r="M47" i="10"/>
  <c r="M129" i="10"/>
  <c r="M127" i="10"/>
  <c r="M240" i="10"/>
  <c r="L140" i="10"/>
  <c r="M279" i="10"/>
  <c r="L111" i="10"/>
  <c r="M263" i="10"/>
  <c r="M191" i="10"/>
  <c r="L282" i="10"/>
  <c r="M174" i="10"/>
  <c r="M21" i="10"/>
  <c r="M277" i="10"/>
  <c r="L211" i="10"/>
  <c r="L59" i="10"/>
  <c r="L202" i="10"/>
  <c r="L258" i="10"/>
  <c r="L206" i="10"/>
  <c r="M168" i="10"/>
  <c r="M36" i="10"/>
  <c r="M262" i="10"/>
  <c r="L274" i="10"/>
  <c r="L182" i="10"/>
  <c r="M91" i="10"/>
  <c r="L104" i="10"/>
  <c r="L35" i="10"/>
  <c r="L106" i="10"/>
  <c r="M141" i="10"/>
  <c r="M26" i="10"/>
  <c r="L230" i="10"/>
  <c r="L191" i="10"/>
  <c r="L47" i="10"/>
  <c r="M233" i="10"/>
  <c r="L78" i="10"/>
  <c r="L136" i="10"/>
  <c r="J142" i="10"/>
  <c r="H55" i="10"/>
  <c r="I54" i="10"/>
  <c r="H164" i="10"/>
  <c r="I14" i="10"/>
  <c r="H244" i="10"/>
  <c r="I249" i="10"/>
  <c r="I58" i="10"/>
  <c r="H195" i="10"/>
  <c r="H228" i="10"/>
  <c r="I163" i="10"/>
  <c r="H45" i="10"/>
  <c r="I267" i="10"/>
  <c r="H266" i="10"/>
  <c r="M264" i="10"/>
  <c r="L171" i="10"/>
  <c r="M241" i="10"/>
  <c r="M105" i="10"/>
  <c r="L61" i="10"/>
  <c r="L87" i="10"/>
  <c r="L216" i="10"/>
  <c r="M120" i="10"/>
  <c r="L165" i="10"/>
  <c r="L130" i="10"/>
  <c r="M95" i="10"/>
  <c r="M13" i="10"/>
  <c r="M167" i="10"/>
  <c r="M119" i="10"/>
  <c r="M178" i="10"/>
  <c r="M235" i="10"/>
  <c r="L73" i="10"/>
  <c r="M212" i="10"/>
  <c r="M139" i="10"/>
  <c r="M64" i="10"/>
  <c r="L229" i="10"/>
  <c r="L64" i="10"/>
  <c r="M16" i="10"/>
  <c r="L155" i="10"/>
  <c r="M286" i="10"/>
  <c r="M202" i="10"/>
  <c r="L65" i="10"/>
  <c r="M125" i="10"/>
  <c r="L101" i="10"/>
  <c r="M219" i="10"/>
  <c r="M179" i="10"/>
  <c r="L193" i="10"/>
  <c r="L13" i="10"/>
  <c r="L279" i="10"/>
  <c r="L55" i="10"/>
  <c r="M216" i="10"/>
  <c r="L226" i="10"/>
  <c r="M276" i="10"/>
  <c r="M188" i="10"/>
  <c r="M130" i="10"/>
  <c r="M131" i="10"/>
  <c r="L224" i="10"/>
  <c r="M165" i="10"/>
  <c r="L245" i="10"/>
  <c r="M185" i="10"/>
  <c r="M101" i="10"/>
  <c r="L83" i="10"/>
  <c r="L26" i="10"/>
  <c r="L237" i="10"/>
  <c r="L178" i="10"/>
  <c r="L51" i="10"/>
  <c r="M83" i="10"/>
  <c r="M234" i="10"/>
  <c r="M102" i="10"/>
  <c r="L123" i="10"/>
  <c r="M259" i="10"/>
  <c r="L205" i="10"/>
  <c r="M113" i="10"/>
  <c r="M14" i="10"/>
  <c r="L231" i="10"/>
  <c r="M20" i="10"/>
  <c r="L287" i="10"/>
  <c r="L220" i="10"/>
  <c r="L251" i="10"/>
  <c r="M198" i="10"/>
  <c r="M253" i="10"/>
  <c r="L39" i="10"/>
  <c r="L260" i="10"/>
  <c r="L117" i="10"/>
  <c r="L108" i="10"/>
  <c r="M249" i="10"/>
  <c r="M37" i="10"/>
  <c r="L50" i="10"/>
  <c r="L12" i="10"/>
  <c r="L262" i="10"/>
  <c r="M8" i="10"/>
  <c r="L236" i="10"/>
  <c r="L169" i="10"/>
  <c r="M251" i="10"/>
  <c r="L204" i="10"/>
  <c r="L183" i="10"/>
  <c r="L153" i="10"/>
  <c r="M73" i="10"/>
  <c r="M98" i="10"/>
  <c r="L98" i="10"/>
  <c r="L163" i="10"/>
  <c r="M75" i="10"/>
  <c r="L281" i="10"/>
  <c r="M270" i="10"/>
  <c r="M163" i="10"/>
  <c r="M65" i="10"/>
  <c r="M206" i="10"/>
  <c r="L96" i="10"/>
  <c r="M87" i="10"/>
  <c r="L188" i="10"/>
  <c r="L197" i="10"/>
  <c r="M114" i="10"/>
  <c r="L143" i="10"/>
  <c r="M157" i="10"/>
  <c r="M112" i="10"/>
  <c r="L41" i="10"/>
  <c r="L28" i="10"/>
  <c r="L22" i="10"/>
  <c r="M81" i="10"/>
  <c r="M281" i="10"/>
  <c r="M62" i="10"/>
  <c r="L209" i="10"/>
  <c r="L248" i="10"/>
  <c r="L268" i="10"/>
  <c r="L152" i="10"/>
  <c r="L228" i="10"/>
  <c r="I188" i="10"/>
  <c r="H193" i="10"/>
  <c r="H105" i="10"/>
  <c r="H278" i="10"/>
  <c r="H54" i="10"/>
  <c r="H100" i="10"/>
  <c r="I169" i="10"/>
  <c r="I102" i="10"/>
  <c r="L265" i="10"/>
  <c r="L170" i="10"/>
  <c r="L164" i="10"/>
  <c r="L23" i="10"/>
  <c r="M9" i="10"/>
  <c r="M100" i="10"/>
  <c r="M25" i="10"/>
  <c r="M189" i="10"/>
  <c r="M19" i="10"/>
  <c r="L20" i="10"/>
  <c r="M140" i="10"/>
  <c r="M229" i="10"/>
  <c r="L207" i="10"/>
  <c r="L141" i="10"/>
  <c r="M170" i="10"/>
  <c r="M222" i="10"/>
  <c r="L192" i="10"/>
  <c r="L267" i="10"/>
  <c r="L77" i="10"/>
  <c r="L175" i="10"/>
  <c r="L174" i="10"/>
  <c r="L173" i="10"/>
  <c r="L208" i="10"/>
  <c r="M254" i="10"/>
  <c r="M88" i="10"/>
  <c r="M218" i="10"/>
  <c r="M124" i="10"/>
  <c r="M116" i="10"/>
  <c r="L244" i="10"/>
  <c r="L120" i="10"/>
  <c r="M44" i="10"/>
  <c r="L246" i="10"/>
  <c r="M224" i="10"/>
  <c r="L266" i="10"/>
  <c r="L10" i="10"/>
  <c r="L33" i="10"/>
  <c r="M205" i="10"/>
  <c r="L75" i="10"/>
  <c r="M273" i="10"/>
  <c r="M82" i="10"/>
  <c r="L166" i="10"/>
  <c r="M256" i="10"/>
  <c r="M134" i="10"/>
  <c r="L278" i="10"/>
  <c r="L16" i="10"/>
  <c r="L122" i="10"/>
  <c r="M138" i="10"/>
  <c r="M252" i="10"/>
  <c r="M17" i="10"/>
  <c r="M151" i="10"/>
  <c r="M48" i="10"/>
  <c r="L271" i="10"/>
  <c r="I135" i="10"/>
  <c r="H199" i="10"/>
  <c r="I246" i="10"/>
  <c r="I259" i="10"/>
  <c r="H202" i="10"/>
  <c r="H43" i="10"/>
  <c r="I33" i="10"/>
  <c r="H58" i="10"/>
  <c r="H132" i="10"/>
  <c r="I39" i="10"/>
  <c r="H81" i="10"/>
  <c r="I47" i="10"/>
  <c r="H221" i="10"/>
  <c r="I260" i="10"/>
  <c r="I74" i="10"/>
  <c r="H64" i="10"/>
  <c r="H65" i="10"/>
  <c r="I198" i="10"/>
  <c r="I20" i="10"/>
  <c r="I73" i="10"/>
  <c r="H120" i="10"/>
  <c r="H271" i="10"/>
  <c r="I22" i="10"/>
  <c r="I19" i="10"/>
  <c r="H200" i="10"/>
  <c r="I18" i="10"/>
  <c r="H23" i="10"/>
  <c r="I200" i="10"/>
  <c r="I82" i="10"/>
  <c r="I245" i="10"/>
  <c r="H56" i="10"/>
  <c r="I196" i="10"/>
  <c r="H110" i="10"/>
  <c r="I224" i="10"/>
  <c r="H151" i="10"/>
  <c r="H177" i="10"/>
  <c r="H241" i="10"/>
  <c r="I150" i="10"/>
  <c r="H134" i="10"/>
  <c r="I184" i="10"/>
  <c r="I154" i="10"/>
  <c r="I233" i="10"/>
  <c r="I148" i="10"/>
  <c r="H260" i="10"/>
  <c r="H117" i="10"/>
  <c r="H85" i="10"/>
  <c r="H191" i="10"/>
  <c r="I67" i="10"/>
  <c r="I213" i="10"/>
  <c r="I89" i="10"/>
  <c r="I287" i="10"/>
  <c r="H114" i="10"/>
  <c r="I78" i="10"/>
  <c r="I280" i="10"/>
  <c r="I45" i="10"/>
  <c r="I118" i="10"/>
  <c r="I268" i="10"/>
  <c r="H171" i="10"/>
  <c r="H230" i="10"/>
  <c r="H206" i="10"/>
  <c r="H31" i="10"/>
  <c r="H211" i="10"/>
  <c r="I57" i="10"/>
  <c r="I95" i="10"/>
  <c r="H234" i="10"/>
  <c r="I284" i="10"/>
  <c r="H161" i="10"/>
  <c r="H183" i="10"/>
  <c r="H7" i="10"/>
  <c r="I256" i="10"/>
  <c r="H50" i="10"/>
  <c r="H32" i="10"/>
  <c r="H163" i="10"/>
  <c r="I104" i="10"/>
  <c r="H264" i="10"/>
  <c r="H286" i="10"/>
  <c r="I167" i="10"/>
  <c r="I32" i="10"/>
  <c r="I65" i="10"/>
  <c r="H21" i="10"/>
  <c r="I140" i="10"/>
  <c r="H155" i="10"/>
  <c r="H238" i="10"/>
  <c r="I48" i="10"/>
  <c r="H180" i="10"/>
  <c r="I128" i="10"/>
  <c r="H118" i="10"/>
  <c r="I99" i="10"/>
  <c r="H208" i="10"/>
  <c r="I17" i="10"/>
  <c r="H57" i="10"/>
  <c r="I208" i="10"/>
  <c r="I173" i="10"/>
  <c r="H60" i="10"/>
  <c r="H16" i="10"/>
  <c r="I87" i="10"/>
  <c r="I185" i="10"/>
  <c r="I90" i="10"/>
  <c r="H214" i="10"/>
  <c r="H138" i="10"/>
  <c r="H279" i="10"/>
  <c r="I162" i="10"/>
  <c r="H77" i="10"/>
  <c r="H174" i="10"/>
  <c r="H248" i="10"/>
  <c r="I145" i="10"/>
  <c r="I252" i="10"/>
  <c r="H99" i="10"/>
  <c r="I61" i="10"/>
  <c r="I272" i="10"/>
  <c r="H265" i="10"/>
  <c r="I136" i="10"/>
  <c r="H201" i="10"/>
  <c r="H219" i="10"/>
  <c r="I270" i="10"/>
  <c r="I197" i="10"/>
  <c r="H246" i="10"/>
  <c r="H165" i="10"/>
  <c r="I209" i="10"/>
  <c r="H122" i="10"/>
  <c r="H287" i="10"/>
  <c r="I81" i="10"/>
  <c r="I124" i="10"/>
  <c r="I69" i="10"/>
  <c r="I222" i="10"/>
  <c r="H124" i="10"/>
  <c r="H80" i="10"/>
  <c r="I194" i="10"/>
  <c r="I106" i="10"/>
  <c r="I160" i="10"/>
  <c r="I13" i="10"/>
  <c r="I52" i="10"/>
  <c r="H270" i="10"/>
  <c r="H198" i="10"/>
  <c r="I216" i="10"/>
  <c r="I129" i="10"/>
  <c r="I161" i="10"/>
  <c r="G285" i="10"/>
  <c r="F125" i="10"/>
  <c r="G105" i="10"/>
  <c r="G145" i="10"/>
  <c r="G287" i="10"/>
  <c r="F219" i="10"/>
  <c r="F222" i="10"/>
  <c r="G241" i="10"/>
  <c r="G107" i="10"/>
  <c r="G30" i="10"/>
  <c r="F150" i="10"/>
  <c r="F255" i="10"/>
  <c r="F92" i="10"/>
  <c r="G268" i="10"/>
  <c r="G70" i="10"/>
  <c r="G242" i="10"/>
  <c r="F268" i="10"/>
  <c r="G191" i="10"/>
  <c r="G126" i="10"/>
  <c r="G73" i="10"/>
  <c r="F248" i="10"/>
  <c r="F184" i="10"/>
  <c r="G221" i="10"/>
  <c r="G7" i="10"/>
  <c r="G89" i="10"/>
  <c r="F254" i="10"/>
  <c r="G183" i="10"/>
  <c r="F16" i="10"/>
  <c r="G103" i="10"/>
  <c r="F215" i="10"/>
  <c r="F232" i="10"/>
  <c r="G234" i="10"/>
  <c r="G114" i="10"/>
  <c r="F236" i="10"/>
  <c r="F287" i="10"/>
  <c r="G96" i="10"/>
  <c r="F57" i="10"/>
  <c r="G16" i="10"/>
  <c r="G68" i="10"/>
  <c r="F19" i="10"/>
  <c r="F229" i="10"/>
  <c r="G195" i="10"/>
  <c r="G19" i="10"/>
  <c r="G265" i="10"/>
  <c r="G282" i="10"/>
  <c r="G177" i="10"/>
  <c r="F278" i="10"/>
  <c r="G168" i="10"/>
  <c r="F242" i="10"/>
  <c r="G206" i="10"/>
  <c r="F68" i="10"/>
  <c r="G210" i="10"/>
  <c r="F18" i="10"/>
  <c r="F55" i="10"/>
  <c r="F29" i="10"/>
  <c r="F256" i="10"/>
  <c r="F21" i="10"/>
  <c r="G186" i="10"/>
  <c r="G112" i="10"/>
  <c r="F13" i="10"/>
  <c r="F224" i="10"/>
  <c r="G26" i="10"/>
  <c r="F90" i="10"/>
  <c r="F122" i="10"/>
  <c r="F61" i="10"/>
  <c r="G255" i="10"/>
  <c r="G124" i="10"/>
  <c r="F226" i="10"/>
  <c r="F199" i="10"/>
  <c r="F289" i="10"/>
  <c r="G51" i="10"/>
  <c r="F111" i="10"/>
  <c r="G226" i="10"/>
  <c r="G43" i="10"/>
  <c r="G131" i="10"/>
  <c r="F50" i="10"/>
  <c r="G277" i="10"/>
  <c r="F136" i="10"/>
  <c r="F243" i="10"/>
  <c r="F162" i="10"/>
  <c r="F121" i="10"/>
  <c r="G31" i="10"/>
  <c r="F15" i="10"/>
  <c r="F280" i="10"/>
  <c r="G267" i="10"/>
  <c r="G132" i="10"/>
  <c r="F37" i="10"/>
  <c r="G263" i="10"/>
  <c r="G162" i="10"/>
  <c r="F142" i="10"/>
  <c r="G119" i="10"/>
  <c r="G200" i="10"/>
  <c r="F182" i="10"/>
  <c r="G274" i="10"/>
  <c r="F96" i="10"/>
  <c r="G55" i="10"/>
  <c r="G151" i="10"/>
  <c r="F99" i="10"/>
  <c r="G223" i="10"/>
  <c r="G12" i="10"/>
  <c r="F42" i="10"/>
  <c r="G56" i="10"/>
  <c r="F106" i="10"/>
  <c r="G142" i="10"/>
  <c r="G196" i="10"/>
  <c r="G171" i="10"/>
  <c r="F24" i="10"/>
  <c r="F206" i="10"/>
  <c r="F235" i="10"/>
  <c r="G64" i="10"/>
  <c r="G165" i="10"/>
  <c r="F188" i="10"/>
  <c r="F284" i="10"/>
  <c r="G150" i="10"/>
  <c r="F279" i="10"/>
  <c r="F134" i="10"/>
  <c r="F116" i="10"/>
  <c r="F72" i="10"/>
  <c r="G216" i="10"/>
  <c r="G78" i="10"/>
  <c r="F270" i="10"/>
  <c r="G22" i="10"/>
  <c r="G120" i="10"/>
  <c r="G228" i="10"/>
  <c r="F39" i="10"/>
  <c r="G220" i="10"/>
  <c r="G21" i="10"/>
  <c r="G264" i="10"/>
  <c r="F46" i="10"/>
  <c r="G110" i="10"/>
  <c r="F102" i="10"/>
  <c r="G194" i="10"/>
  <c r="F44" i="10"/>
  <c r="F80" i="10"/>
  <c r="F32" i="10"/>
  <c r="F283" i="10"/>
  <c r="F267" i="10"/>
  <c r="K112" i="10"/>
  <c r="J246" i="10"/>
  <c r="K85" i="10"/>
  <c r="K158" i="10"/>
  <c r="J244" i="10"/>
  <c r="J38" i="10"/>
  <c r="J96" i="10"/>
  <c r="K290" i="10"/>
  <c r="K182" i="10"/>
  <c r="J197" i="10"/>
  <c r="K56" i="10"/>
  <c r="K277" i="10"/>
  <c r="K143" i="10"/>
  <c r="J182" i="10"/>
  <c r="J116" i="10"/>
  <c r="K78" i="10"/>
  <c r="K162" i="10"/>
  <c r="J191" i="10"/>
  <c r="K145" i="10"/>
  <c r="K28" i="10"/>
  <c r="K270" i="10"/>
  <c r="J100" i="10"/>
  <c r="K231" i="10"/>
  <c r="K141" i="10"/>
  <c r="J70" i="10"/>
  <c r="J158" i="10"/>
  <c r="J251" i="10"/>
  <c r="J109" i="10"/>
  <c r="K29" i="10"/>
  <c r="J260" i="10"/>
  <c r="K205" i="10"/>
  <c r="J13" i="10"/>
  <c r="K84" i="10"/>
  <c r="K70" i="10"/>
  <c r="K92" i="10"/>
  <c r="K209" i="10"/>
  <c r="J101" i="10"/>
  <c r="K169" i="10"/>
  <c r="J144" i="10"/>
  <c r="K204" i="10"/>
  <c r="K152" i="10"/>
  <c r="J40" i="10"/>
  <c r="K259" i="10"/>
  <c r="K175" i="10"/>
  <c r="J143" i="10"/>
  <c r="J25" i="10"/>
  <c r="K130" i="10"/>
  <c r="K196" i="10"/>
  <c r="J256" i="10"/>
  <c r="K81" i="10"/>
  <c r="K278" i="10"/>
  <c r="K57" i="10"/>
  <c r="J196" i="10"/>
  <c r="K276" i="10"/>
  <c r="J163" i="10"/>
  <c r="K99" i="10"/>
  <c r="J123" i="10"/>
  <c r="K64" i="10"/>
  <c r="K248" i="10"/>
  <c r="J233" i="10"/>
  <c r="K46" i="10"/>
  <c r="J126" i="10"/>
  <c r="K59" i="10"/>
  <c r="K119" i="10"/>
  <c r="J280" i="10"/>
  <c r="J19" i="10"/>
  <c r="K51" i="10"/>
  <c r="K132" i="10"/>
  <c r="J146" i="10"/>
  <c r="J68" i="10"/>
  <c r="K77" i="10"/>
  <c r="K14" i="10"/>
  <c r="J78" i="10"/>
  <c r="K86" i="10"/>
  <c r="K195" i="10"/>
  <c r="K129" i="10"/>
  <c r="K87" i="10"/>
  <c r="J41" i="10"/>
  <c r="J44" i="10"/>
  <c r="J174" i="10"/>
  <c r="J104" i="10"/>
  <c r="J224" i="10"/>
  <c r="K107" i="10"/>
  <c r="K22" i="10"/>
  <c r="K148" i="10"/>
  <c r="J15" i="10"/>
  <c r="J165" i="10"/>
  <c r="K179" i="10"/>
  <c r="J167" i="10"/>
  <c r="J47" i="10"/>
  <c r="K211" i="10"/>
  <c r="J91" i="10"/>
  <c r="J92" i="10"/>
  <c r="K166" i="10"/>
  <c r="J124" i="10"/>
  <c r="K26" i="10"/>
  <c r="J8" i="10"/>
  <c r="J258" i="10"/>
  <c r="K257" i="10"/>
  <c r="K271" i="10"/>
  <c r="K160" i="10"/>
  <c r="J134" i="10"/>
  <c r="K21" i="10"/>
  <c r="K214" i="10"/>
  <c r="J215" i="10"/>
  <c r="J214" i="10"/>
  <c r="K219" i="10"/>
  <c r="K178" i="10"/>
  <c r="J145" i="10"/>
  <c r="K40" i="10"/>
  <c r="J84" i="10"/>
  <c r="J90" i="10"/>
  <c r="K105" i="10"/>
  <c r="J28" i="10"/>
  <c r="J178" i="10"/>
  <c r="J227" i="10"/>
  <c r="J79" i="10"/>
  <c r="K252" i="10"/>
  <c r="J187" i="10"/>
  <c r="K128" i="10"/>
  <c r="J122" i="10"/>
  <c r="J201" i="10"/>
  <c r="K106" i="10"/>
  <c r="J210" i="10"/>
  <c r="K164" i="10"/>
  <c r="J99" i="10"/>
  <c r="J26" i="10"/>
  <c r="J250" i="10"/>
  <c r="J204" i="10"/>
  <c r="J151" i="10"/>
  <c r="J284" i="10"/>
  <c r="J136" i="10"/>
  <c r="J288" i="10"/>
  <c r="K241" i="10"/>
  <c r="K90" i="10"/>
  <c r="K213" i="10"/>
  <c r="J130" i="10"/>
  <c r="J59" i="9"/>
  <c r="J57" i="9"/>
  <c r="J13" i="9"/>
  <c r="J56" i="9"/>
  <c r="J62" i="9"/>
  <c r="J60" i="9"/>
  <c r="J55" i="9"/>
  <c r="J11" i="9"/>
  <c r="J12" i="9"/>
  <c r="J58" i="9"/>
  <c r="J15" i="9"/>
  <c r="J14" i="9"/>
  <c r="J61" i="9"/>
  <c r="L167" i="10"/>
  <c r="L56" i="10"/>
  <c r="L212" i="10"/>
  <c r="L89" i="10"/>
  <c r="L85" i="10"/>
  <c r="L144" i="10"/>
  <c r="M53" i="10"/>
  <c r="L280" i="10"/>
  <c r="L264" i="10"/>
  <c r="M50" i="10"/>
  <c r="L76" i="10"/>
  <c r="L184" i="10"/>
  <c r="L242" i="10"/>
  <c r="L54" i="10"/>
  <c r="M239" i="10"/>
  <c r="L275" i="10"/>
  <c r="L131" i="10"/>
  <c r="L256" i="10"/>
  <c r="M57" i="10"/>
  <c r="M30" i="10"/>
  <c r="L201" i="10"/>
  <c r="L243" i="10"/>
  <c r="M242" i="10"/>
  <c r="L151" i="10"/>
  <c r="L284" i="10"/>
  <c r="L157" i="10"/>
  <c r="M22" i="10"/>
  <c r="M192" i="10"/>
  <c r="M214" i="10"/>
  <c r="M244" i="10"/>
  <c r="L34" i="10"/>
  <c r="L235" i="10"/>
  <c r="M160" i="10"/>
  <c r="L60" i="10"/>
  <c r="L187" i="10"/>
  <c r="M104" i="10"/>
  <c r="M231" i="10"/>
  <c r="M280" i="10"/>
  <c r="M39" i="10"/>
  <c r="M89" i="10"/>
  <c r="L272" i="10"/>
  <c r="M108" i="10"/>
  <c r="M255" i="10"/>
  <c r="M135" i="10"/>
  <c r="M186" i="10"/>
  <c r="M38" i="10"/>
  <c r="M6" i="10"/>
  <c r="M150" i="10"/>
  <c r="L103" i="10"/>
  <c r="L88" i="10"/>
  <c r="I201" i="10"/>
  <c r="I264" i="10"/>
  <c r="H251" i="10"/>
  <c r="I8" i="10"/>
  <c r="I132" i="10"/>
  <c r="I28" i="10"/>
  <c r="I288" i="10"/>
  <c r="H68" i="10"/>
  <c r="I64" i="10"/>
  <c r="H112" i="10"/>
  <c r="H20" i="10"/>
  <c r="I281" i="10"/>
  <c r="I244" i="10"/>
  <c r="H283" i="10"/>
  <c r="H78" i="10"/>
  <c r="H213" i="10"/>
  <c r="H157" i="10"/>
  <c r="H108" i="10"/>
  <c r="I101" i="10"/>
  <c r="H73" i="10"/>
  <c r="H233" i="10"/>
  <c r="I152" i="10"/>
  <c r="H14" i="10"/>
  <c r="H102" i="10"/>
  <c r="I97" i="10"/>
  <c r="H83" i="10"/>
  <c r="I110" i="10"/>
  <c r="H75" i="10"/>
  <c r="H142" i="10"/>
  <c r="I199" i="10"/>
  <c r="H74" i="10"/>
  <c r="I114" i="10"/>
  <c r="H237" i="10"/>
  <c r="H240" i="10"/>
  <c r="I157" i="10"/>
  <c r="I242" i="10"/>
  <c r="H37" i="10"/>
  <c r="I153" i="10"/>
  <c r="H215" i="10"/>
  <c r="I261" i="10"/>
  <c r="I205" i="10"/>
  <c r="H121" i="10"/>
  <c r="I276" i="10"/>
  <c r="H17" i="10"/>
  <c r="I191" i="10"/>
  <c r="H273" i="10"/>
  <c r="H274" i="10"/>
  <c r="H256" i="10"/>
  <c r="H140" i="10"/>
  <c r="H13" i="10"/>
  <c r="H12" i="10"/>
  <c r="H123" i="10"/>
  <c r="I15" i="10"/>
  <c r="H113" i="10"/>
  <c r="H136" i="10"/>
  <c r="H15" i="10"/>
  <c r="I195" i="10"/>
  <c r="I66" i="10"/>
  <c r="I134" i="10"/>
  <c r="H160" i="10"/>
  <c r="I193" i="10"/>
  <c r="H210" i="10"/>
  <c r="H34" i="10"/>
  <c r="H268" i="10"/>
  <c r="I229" i="10"/>
  <c r="H267" i="10"/>
  <c r="I98" i="10"/>
  <c r="I243" i="10"/>
  <c r="I290" i="10"/>
  <c r="H116" i="10"/>
  <c r="I37" i="10"/>
  <c r="I147" i="10"/>
  <c r="H33" i="10"/>
  <c r="H172" i="10"/>
  <c r="I183" i="10"/>
  <c r="H196" i="10"/>
  <c r="H106" i="10"/>
  <c r="H190" i="10"/>
  <c r="I10" i="10"/>
  <c r="I155" i="10"/>
  <c r="H19" i="10"/>
  <c r="I164" i="10"/>
  <c r="I174" i="10"/>
  <c r="H91" i="10"/>
  <c r="H53" i="10"/>
  <c r="I109" i="10"/>
  <c r="I189" i="10"/>
  <c r="I42" i="10"/>
  <c r="H88" i="10"/>
  <c r="I113" i="10"/>
  <c r="I16" i="10"/>
  <c r="H72" i="10"/>
  <c r="H158" i="10"/>
  <c r="H252" i="10"/>
  <c r="H179" i="10"/>
  <c r="I107" i="10"/>
  <c r="I257" i="10"/>
  <c r="I24" i="10"/>
  <c r="H156" i="10"/>
  <c r="I286" i="10"/>
  <c r="H133" i="10"/>
  <c r="H148" i="10"/>
  <c r="I278" i="10"/>
  <c r="I80" i="10"/>
  <c r="I123" i="10"/>
  <c r="H51" i="10"/>
  <c r="H222" i="10"/>
  <c r="I250" i="10"/>
  <c r="H47" i="10"/>
  <c r="H130" i="10"/>
  <c r="I146" i="10"/>
  <c r="H6" i="10"/>
  <c r="I23" i="10"/>
  <c r="I171" i="10"/>
  <c r="H66" i="10"/>
  <c r="I231" i="10"/>
  <c r="H11" i="10"/>
  <c r="I235" i="10"/>
  <c r="I77" i="10"/>
  <c r="H218" i="10"/>
  <c r="I237" i="10"/>
  <c r="I88" i="10"/>
  <c r="H288" i="10"/>
  <c r="H90" i="10"/>
  <c r="I103" i="10"/>
  <c r="H262" i="10"/>
  <c r="I187" i="10"/>
  <c r="I25" i="10"/>
  <c r="I68" i="10"/>
  <c r="I83" i="10"/>
  <c r="I266" i="10"/>
  <c r="I31" i="10"/>
  <c r="H61" i="10"/>
  <c r="H18" i="10"/>
  <c r="I170" i="10"/>
  <c r="H111" i="10"/>
  <c r="F286" i="10"/>
  <c r="F180" i="10"/>
  <c r="F65" i="10"/>
  <c r="G53" i="10"/>
  <c r="G290" i="10"/>
  <c r="F285" i="10"/>
  <c r="F249" i="10"/>
  <c r="F120" i="10"/>
  <c r="F258" i="10"/>
  <c r="G192" i="10"/>
  <c r="F108" i="10"/>
  <c r="G88" i="10"/>
  <c r="F128" i="10"/>
  <c r="G235" i="10"/>
  <c r="F59" i="10"/>
  <c r="G63" i="10"/>
  <c r="G134" i="10"/>
  <c r="F144" i="10"/>
  <c r="F140" i="10"/>
  <c r="G10" i="10"/>
  <c r="F8" i="10"/>
  <c r="G127" i="10"/>
  <c r="G219" i="10"/>
  <c r="G101" i="10"/>
  <c r="F22" i="10"/>
  <c r="G170" i="10"/>
  <c r="F183" i="10"/>
  <c r="F145" i="10"/>
  <c r="G81" i="10"/>
  <c r="F84" i="10"/>
  <c r="G147" i="10"/>
  <c r="F38" i="10"/>
  <c r="F47" i="10"/>
  <c r="G17" i="10"/>
  <c r="G20" i="10"/>
  <c r="F204" i="10"/>
  <c r="F156" i="10"/>
  <c r="F217" i="10"/>
  <c r="G117" i="10"/>
  <c r="F273" i="10"/>
  <c r="G62" i="10"/>
  <c r="G251" i="10"/>
  <c r="G15" i="10"/>
  <c r="G28" i="10"/>
  <c r="G65" i="10"/>
  <c r="G248" i="10"/>
  <c r="F89" i="10"/>
  <c r="F127" i="10"/>
  <c r="G229" i="10"/>
  <c r="G259" i="10"/>
  <c r="G230" i="10"/>
  <c r="F23" i="10"/>
  <c r="F157" i="10"/>
  <c r="G208" i="10"/>
  <c r="F123" i="10"/>
  <c r="G233" i="10"/>
  <c r="F251" i="10"/>
  <c r="F149" i="10"/>
  <c r="G239" i="10"/>
  <c r="G76" i="10"/>
  <c r="G284" i="10"/>
  <c r="F228" i="10"/>
  <c r="G222" i="10"/>
  <c r="F41" i="10"/>
  <c r="F223" i="10"/>
  <c r="G79" i="10"/>
  <c r="G102" i="10"/>
  <c r="F234" i="10"/>
  <c r="G47" i="10"/>
  <c r="F227" i="10"/>
  <c r="F177" i="10"/>
  <c r="F212" i="10"/>
  <c r="F28" i="10"/>
  <c r="G262" i="10"/>
  <c r="F63" i="10"/>
  <c r="G140" i="10"/>
  <c r="F45" i="10"/>
  <c r="F186" i="10"/>
  <c r="G108" i="10"/>
  <c r="G35" i="10"/>
  <c r="G252" i="10"/>
  <c r="F158" i="10"/>
  <c r="F201" i="10"/>
  <c r="G36" i="10"/>
  <c r="G279" i="10"/>
  <c r="G211" i="10"/>
  <c r="G109" i="10"/>
  <c r="F87" i="10"/>
  <c r="F11" i="10"/>
  <c r="F205" i="10"/>
  <c r="F239" i="10"/>
  <c r="G85" i="10"/>
  <c r="G6" i="10"/>
  <c r="G243" i="10"/>
  <c r="F244" i="10"/>
  <c r="F36" i="10"/>
  <c r="F95" i="10"/>
  <c r="F56" i="10"/>
  <c r="F53" i="10"/>
  <c r="F112" i="10"/>
  <c r="G143" i="10"/>
  <c r="F237" i="10"/>
  <c r="F167" i="10"/>
  <c r="G156" i="10"/>
  <c r="F126" i="10"/>
  <c r="F195" i="10"/>
  <c r="F109" i="10"/>
  <c r="G29" i="10"/>
  <c r="F34" i="10"/>
  <c r="F51" i="10"/>
  <c r="G188" i="10"/>
  <c r="F100" i="10"/>
  <c r="F261" i="10"/>
  <c r="F118" i="10"/>
  <c r="G60" i="10"/>
  <c r="F147" i="10"/>
  <c r="G18" i="10"/>
  <c r="G24" i="10"/>
  <c r="F154" i="10"/>
  <c r="G14" i="10"/>
  <c r="G23" i="10"/>
  <c r="F130" i="10"/>
  <c r="G54" i="10"/>
  <c r="F178" i="10"/>
  <c r="G207" i="10"/>
  <c r="F76" i="10"/>
  <c r="F60" i="10"/>
  <c r="F257" i="10"/>
  <c r="F20" i="10"/>
  <c r="G202" i="10"/>
  <c r="G58" i="10"/>
  <c r="G97" i="10"/>
  <c r="G250" i="10"/>
  <c r="G75" i="10"/>
  <c r="G106" i="10"/>
  <c r="F250" i="10"/>
  <c r="K114" i="10"/>
  <c r="J50" i="10"/>
  <c r="K126" i="10"/>
  <c r="J129" i="10"/>
  <c r="K261" i="10"/>
  <c r="J51" i="10"/>
  <c r="K230" i="10"/>
  <c r="K94" i="10"/>
  <c r="K123" i="10"/>
  <c r="J106" i="10"/>
  <c r="K202" i="10"/>
  <c r="K117" i="10"/>
  <c r="J217" i="10"/>
  <c r="J211" i="10"/>
  <c r="J240" i="10"/>
  <c r="K38" i="10"/>
  <c r="J198" i="10"/>
  <c r="J241" i="10"/>
  <c r="K185" i="10"/>
  <c r="J248" i="10"/>
  <c r="J231" i="10"/>
  <c r="K120" i="10"/>
  <c r="J263" i="10"/>
  <c r="K217" i="10"/>
  <c r="K157" i="10"/>
  <c r="K47" i="10"/>
  <c r="K172" i="10"/>
  <c r="J199" i="10"/>
  <c r="J131" i="10"/>
  <c r="J184" i="10"/>
  <c r="J147" i="10"/>
  <c r="K226" i="10"/>
  <c r="K255" i="10"/>
  <c r="K251" i="10"/>
  <c r="K134" i="10"/>
  <c r="K44" i="10"/>
  <c r="J22" i="10"/>
  <c r="K83" i="10"/>
  <c r="K41" i="10"/>
  <c r="K11" i="10"/>
  <c r="K20" i="10"/>
  <c r="J257" i="10"/>
  <c r="J177" i="10"/>
  <c r="K138" i="10"/>
  <c r="J112" i="10"/>
  <c r="J155" i="10"/>
  <c r="K62" i="10"/>
  <c r="J221" i="10"/>
  <c r="J213" i="10"/>
  <c r="J77" i="10"/>
  <c r="K170" i="10"/>
  <c r="K12" i="10"/>
  <c r="K208" i="10"/>
  <c r="J140" i="10"/>
  <c r="K177" i="10"/>
  <c r="J14" i="10"/>
  <c r="K250" i="10"/>
  <c r="K176" i="10"/>
  <c r="K37" i="10"/>
  <c r="J270" i="10"/>
  <c r="K96" i="10"/>
  <c r="K100" i="10"/>
  <c r="K263" i="10"/>
  <c r="J59" i="10"/>
  <c r="K236" i="10"/>
  <c r="J194" i="10"/>
  <c r="K207" i="10"/>
  <c r="J157" i="10"/>
  <c r="K266" i="10"/>
  <c r="K125" i="10"/>
  <c r="J169" i="10"/>
  <c r="J229" i="10"/>
  <c r="J170" i="10"/>
  <c r="K154" i="10"/>
  <c r="J239" i="10"/>
  <c r="J228" i="10"/>
  <c r="K282" i="10"/>
  <c r="K32" i="10"/>
  <c r="K15" i="10"/>
  <c r="K279" i="10"/>
  <c r="K258" i="10"/>
  <c r="J275" i="10"/>
  <c r="K274" i="10"/>
  <c r="J148" i="10"/>
  <c r="J186" i="10"/>
  <c r="K265" i="10"/>
  <c r="K283" i="10"/>
  <c r="J268" i="10"/>
  <c r="K42" i="10"/>
  <c r="J46" i="10"/>
  <c r="K111" i="10"/>
  <c r="J29" i="10"/>
  <c r="K227" i="10"/>
  <c r="K142" i="10"/>
  <c r="K33" i="10"/>
  <c r="K103" i="10"/>
  <c r="K35" i="10"/>
  <c r="K249" i="10"/>
  <c r="K244" i="10"/>
  <c r="J57" i="10"/>
  <c r="J97" i="10"/>
  <c r="K88" i="10"/>
  <c r="K194" i="10"/>
  <c r="H8" i="9"/>
  <c r="R7" i="9" s="1"/>
  <c r="K216" i="10"/>
  <c r="J183" i="10"/>
  <c r="J36" i="10"/>
  <c r="K234" i="10"/>
  <c r="K239" i="10"/>
  <c r="K23" i="10"/>
  <c r="J127" i="10"/>
  <c r="K215" i="10"/>
  <c r="K45" i="10"/>
  <c r="K146" i="10"/>
  <c r="J176" i="10"/>
  <c r="J117" i="10"/>
  <c r="K264" i="10"/>
  <c r="J24" i="10"/>
  <c r="J283" i="10"/>
  <c r="J141" i="10"/>
  <c r="K242" i="10"/>
  <c r="K68" i="10"/>
  <c r="K76" i="10"/>
  <c r="K191" i="10"/>
  <c r="J69" i="10"/>
  <c r="K288" i="10"/>
  <c r="J45" i="10"/>
  <c r="K155" i="10"/>
  <c r="J265" i="10"/>
  <c r="J220" i="10"/>
  <c r="J236" i="10"/>
  <c r="J62" i="10"/>
  <c r="K210" i="10"/>
  <c r="J125" i="10"/>
  <c r="J20" i="10"/>
  <c r="J81" i="10"/>
  <c r="K18" i="10"/>
  <c r="J7" i="9"/>
  <c r="O275" i="10"/>
  <c r="O239" i="10"/>
  <c r="O19" i="10"/>
  <c r="O282" i="10"/>
  <c r="O176" i="10"/>
  <c r="N114" i="10"/>
  <c r="O213" i="10"/>
  <c r="O55" i="10"/>
  <c r="N78" i="10"/>
  <c r="N65" i="10"/>
  <c r="O125" i="10"/>
  <c r="N170" i="10"/>
  <c r="N281" i="10"/>
  <c r="O79" i="10"/>
  <c r="N194" i="10"/>
  <c r="O208" i="10"/>
  <c r="N79" i="10"/>
  <c r="N72" i="10"/>
  <c r="N266" i="10"/>
  <c r="N85" i="10"/>
  <c r="O191" i="10"/>
  <c r="N240" i="10"/>
  <c r="O123" i="10"/>
  <c r="O197" i="10"/>
  <c r="N105" i="10"/>
  <c r="N178" i="10"/>
  <c r="N89" i="10"/>
  <c r="O226" i="10"/>
  <c r="N113" i="10"/>
  <c r="N119" i="10"/>
  <c r="O199" i="10"/>
  <c r="N229" i="10"/>
  <c r="O215" i="10"/>
  <c r="O138" i="10"/>
  <c r="O219" i="10"/>
  <c r="N257" i="10"/>
  <c r="O135" i="10"/>
  <c r="O248" i="10"/>
  <c r="N282" i="10"/>
  <c r="O246" i="10"/>
  <c r="N21" i="10"/>
  <c r="O25" i="10"/>
  <c r="O178" i="10"/>
  <c r="N109" i="10"/>
  <c r="N20" i="10"/>
  <c r="O119" i="10"/>
  <c r="N212" i="10"/>
  <c r="N83" i="10"/>
  <c r="O45" i="10"/>
  <c r="N216" i="10"/>
  <c r="N38" i="10"/>
  <c r="O142" i="10"/>
  <c r="N252" i="10"/>
  <c r="N149" i="10"/>
  <c r="O166" i="10"/>
  <c r="O107" i="10"/>
  <c r="N53" i="10"/>
  <c r="N207" i="10"/>
  <c r="O263" i="10"/>
  <c r="N129" i="10"/>
  <c r="O141" i="10"/>
  <c r="O185" i="10"/>
  <c r="O256" i="10"/>
  <c r="N214" i="10"/>
  <c r="O244" i="10"/>
  <c r="N273" i="10"/>
  <c r="O43" i="10"/>
  <c r="N40" i="10"/>
  <c r="N189" i="10"/>
  <c r="N108" i="10"/>
  <c r="O271" i="10"/>
  <c r="O193" i="10"/>
  <c r="N200" i="10"/>
  <c r="N262" i="10"/>
  <c r="N16" i="10"/>
  <c r="N276" i="10"/>
  <c r="O216" i="10"/>
  <c r="O30" i="10"/>
  <c r="O237" i="10"/>
  <c r="N134" i="10"/>
  <c r="N195" i="10"/>
  <c r="O17" i="10"/>
  <c r="N206" i="10"/>
  <c r="N23" i="10"/>
  <c r="N34" i="10"/>
  <c r="O235" i="10"/>
  <c r="N191" i="10"/>
  <c r="O56" i="10"/>
  <c r="N152" i="10"/>
  <c r="N64" i="10"/>
  <c r="N231" i="10"/>
  <c r="O236" i="10"/>
  <c r="N97" i="10"/>
  <c r="O114" i="10"/>
  <c r="O171" i="10"/>
  <c r="O273" i="10"/>
  <c r="O265" i="10"/>
  <c r="N290" i="10"/>
  <c r="N117" i="10"/>
  <c r="N66" i="10"/>
  <c r="O173" i="10"/>
  <c r="O106" i="10"/>
  <c r="N232" i="10"/>
  <c r="O73" i="10"/>
  <c r="O98" i="10"/>
  <c r="N249" i="10"/>
  <c r="O26" i="10"/>
  <c r="O220" i="10"/>
  <c r="O126" i="10"/>
  <c r="O170" i="10"/>
  <c r="O117" i="10"/>
  <c r="O128" i="10"/>
  <c r="O270" i="10"/>
  <c r="N61" i="10"/>
  <c r="O210" i="10"/>
  <c r="N69" i="10"/>
  <c r="O7" i="10"/>
  <c r="O104" i="10"/>
  <c r="O233" i="10"/>
  <c r="O205" i="10"/>
  <c r="O6" i="10"/>
  <c r="N222" i="10"/>
  <c r="N234" i="10"/>
  <c r="N58" i="10"/>
  <c r="N193" i="10"/>
  <c r="N92" i="10"/>
  <c r="N140" i="10"/>
  <c r="O202" i="10"/>
  <c r="N161" i="10"/>
  <c r="N28" i="10"/>
  <c r="N210" i="10"/>
  <c r="N228" i="10"/>
  <c r="O110" i="10"/>
  <c r="O20" i="10"/>
  <c r="N101" i="10"/>
  <c r="O148" i="10"/>
  <c r="O190" i="10"/>
  <c r="N116" i="10"/>
  <c r="O87" i="10"/>
  <c r="O212" i="10"/>
  <c r="O66" i="10"/>
  <c r="N124" i="10"/>
  <c r="O47" i="10"/>
  <c r="O44" i="10"/>
  <c r="N75" i="10"/>
  <c r="N201" i="10"/>
  <c r="O15" i="10"/>
  <c r="N251" i="10"/>
  <c r="N248" i="10"/>
  <c r="O182" i="10"/>
  <c r="O194" i="10"/>
  <c r="N112" i="10"/>
  <c r="O189" i="10"/>
  <c r="N63" i="10"/>
  <c r="O108" i="10"/>
  <c r="N176" i="10"/>
  <c r="O12" i="10"/>
  <c r="N272" i="10"/>
  <c r="O164" i="10"/>
  <c r="N133" i="10"/>
  <c r="O102" i="10"/>
  <c r="O118" i="10"/>
  <c r="N188" i="10"/>
  <c r="N77" i="10"/>
  <c r="O251" i="10"/>
  <c r="N26" i="10"/>
  <c r="O53" i="10"/>
  <c r="O76" i="10"/>
  <c r="N190" i="10"/>
  <c r="O161" i="10"/>
  <c r="O290" i="10"/>
  <c r="O157" i="10"/>
  <c r="N230" i="10"/>
  <c r="O192" i="10"/>
  <c r="N84" i="10"/>
  <c r="O37" i="10"/>
  <c r="O111" i="10"/>
  <c r="N132" i="10"/>
  <c r="O122" i="10"/>
  <c r="N81" i="10"/>
  <c r="N102" i="10"/>
  <c r="O266" i="10"/>
  <c r="O81" i="10"/>
  <c r="N82" i="10"/>
  <c r="N148" i="10"/>
  <c r="N180" i="10"/>
  <c r="O18" i="10"/>
  <c r="N204" i="10"/>
  <c r="O146" i="10"/>
  <c r="N267" i="10"/>
  <c r="N187" i="10"/>
  <c r="O11" i="10"/>
  <c r="O222" i="10"/>
  <c r="O8" i="10"/>
  <c r="O204" i="10"/>
  <c r="O145" i="10"/>
  <c r="N48" i="10"/>
  <c r="O58" i="10"/>
  <c r="O234" i="10"/>
  <c r="O70" i="10"/>
  <c r="N120" i="10"/>
  <c r="N122" i="10"/>
  <c r="N80" i="10"/>
  <c r="O229" i="10"/>
  <c r="N36" i="10"/>
  <c r="N265" i="10"/>
  <c r="N15" i="10"/>
  <c r="O74" i="10"/>
  <c r="O39" i="10"/>
  <c r="N147" i="10"/>
  <c r="N174" i="10"/>
  <c r="O277" i="10"/>
  <c r="N123" i="10"/>
  <c r="N35" i="10"/>
  <c r="O198" i="10"/>
  <c r="O101" i="10"/>
  <c r="N217" i="10"/>
  <c r="N233" i="10"/>
  <c r="N244" i="10"/>
  <c r="O92" i="10"/>
  <c r="O288" i="10"/>
  <c r="N104" i="10"/>
  <c r="N142" i="10"/>
  <c r="N223" i="10"/>
  <c r="N245" i="10"/>
  <c r="O152" i="10"/>
  <c r="N87" i="10"/>
  <c r="O254" i="10"/>
  <c r="N285" i="10"/>
  <c r="N284" i="10"/>
  <c r="O168" i="10"/>
  <c r="N177" i="10"/>
  <c r="N31" i="10"/>
  <c r="N17" i="10"/>
  <c r="N22" i="10"/>
  <c r="N143" i="10"/>
  <c r="N239" i="10"/>
  <c r="N155" i="10"/>
  <c r="O169" i="10"/>
  <c r="N283" i="10"/>
  <c r="N227" i="10"/>
  <c r="O28" i="10"/>
  <c r="O46" i="10"/>
  <c r="N224" i="10"/>
  <c r="O57" i="10"/>
  <c r="O278" i="10"/>
  <c r="N218" i="10"/>
  <c r="O179" i="10"/>
  <c r="N60" i="10"/>
  <c r="N151" i="10"/>
  <c r="O250" i="10"/>
  <c r="N127" i="10"/>
  <c r="N168" i="10"/>
  <c r="O186" i="10"/>
  <c r="N258" i="10"/>
  <c r="N173" i="10"/>
  <c r="O228" i="10"/>
  <c r="O280" i="10"/>
  <c r="O41" i="10"/>
  <c r="N250" i="10"/>
  <c r="O88" i="10"/>
  <c r="O262" i="10"/>
  <c r="N286" i="10"/>
  <c r="N289" i="10"/>
  <c r="O274" i="10"/>
  <c r="N8" i="10"/>
  <c r="O151" i="10"/>
  <c r="N121" i="10"/>
  <c r="N192" i="10"/>
  <c r="O77" i="10"/>
  <c r="O100" i="10"/>
  <c r="N41" i="10"/>
  <c r="O33" i="10"/>
  <c r="N130" i="10"/>
  <c r="N197" i="10"/>
  <c r="O52" i="10"/>
  <c r="N211" i="10"/>
  <c r="O221" i="10"/>
  <c r="O284" i="10"/>
  <c r="N182" i="10"/>
  <c r="N271" i="10"/>
  <c r="O172" i="10"/>
  <c r="O260" i="10"/>
  <c r="O131" i="10"/>
  <c r="N221" i="10"/>
  <c r="O116" i="10"/>
  <c r="O103" i="10"/>
  <c r="O127" i="10"/>
  <c r="O133" i="10"/>
  <c r="O31" i="10"/>
  <c r="O95" i="10"/>
  <c r="O249" i="10"/>
  <c r="N47" i="10"/>
  <c r="N125" i="10"/>
  <c r="N144" i="10"/>
  <c r="N25" i="10"/>
  <c r="N33" i="10"/>
  <c r="N264" i="10"/>
  <c r="N135" i="10"/>
  <c r="O32" i="10"/>
  <c r="O201" i="10"/>
  <c r="N55" i="10"/>
  <c r="N11" i="10"/>
  <c r="O243" i="10"/>
  <c r="N13" i="10"/>
  <c r="O261" i="10"/>
  <c r="N242" i="10"/>
  <c r="O147" i="10"/>
  <c r="O268" i="10"/>
  <c r="N103" i="10"/>
  <c r="N43" i="10"/>
  <c r="N268" i="10"/>
  <c r="N146" i="10"/>
  <c r="N263" i="10"/>
  <c r="O245" i="10"/>
  <c r="O22" i="10"/>
  <c r="N208" i="10"/>
  <c r="O112" i="10"/>
  <c r="O238" i="10"/>
  <c r="O42" i="10"/>
  <c r="O139" i="10"/>
  <c r="N39" i="10"/>
  <c r="O10" i="10"/>
  <c r="N278" i="10"/>
  <c r="N56" i="10"/>
  <c r="N51" i="10"/>
  <c r="N287" i="10"/>
  <c r="N277" i="10"/>
  <c r="O289" i="10"/>
  <c r="N37" i="10"/>
  <c r="O177" i="10"/>
  <c r="N50" i="10"/>
  <c r="O90" i="10"/>
  <c r="N99" i="10"/>
  <c r="O59" i="10"/>
  <c r="N100" i="10"/>
  <c r="N256" i="10"/>
  <c r="O68" i="10"/>
  <c r="N209" i="10"/>
  <c r="N94" i="10"/>
  <c r="O206" i="10"/>
  <c r="N111" i="10"/>
  <c r="O16" i="10"/>
  <c r="N261" i="10"/>
  <c r="O211" i="10"/>
  <c r="N126" i="10"/>
  <c r="N76" i="10"/>
  <c r="O255" i="10"/>
  <c r="O121" i="10"/>
  <c r="O174" i="10"/>
  <c r="O160" i="10"/>
  <c r="O132" i="10"/>
  <c r="N157" i="10"/>
  <c r="O62" i="10"/>
  <c r="O217" i="10"/>
  <c r="N139" i="10"/>
  <c r="O96" i="10"/>
  <c r="O227" i="10"/>
  <c r="O48" i="10"/>
  <c r="O253" i="10"/>
  <c r="N186" i="10"/>
  <c r="N90" i="10"/>
  <c r="O21" i="10"/>
  <c r="N24" i="10"/>
  <c r="O187" i="10"/>
  <c r="O129" i="10"/>
  <c r="O272" i="10"/>
  <c r="N145" i="10"/>
  <c r="O264" i="10"/>
  <c r="O286" i="10"/>
  <c r="N70" i="10"/>
  <c r="O162" i="10"/>
  <c r="N156" i="10"/>
  <c r="O134" i="10"/>
  <c r="O91" i="10"/>
  <c r="N106" i="10"/>
  <c r="O130" i="10"/>
  <c r="O85" i="10"/>
  <c r="O38" i="10"/>
  <c r="O154" i="10"/>
  <c r="N88" i="10"/>
  <c r="N259" i="10"/>
  <c r="O276" i="10"/>
  <c r="O83" i="10"/>
  <c r="O113" i="10"/>
  <c r="O60" i="10"/>
  <c r="O180" i="10"/>
  <c r="N52" i="10"/>
  <c r="O80" i="10"/>
  <c r="O258" i="10"/>
  <c r="O69" i="10"/>
  <c r="N179" i="10"/>
  <c r="O144" i="10"/>
  <c r="N10" i="10"/>
  <c r="O34" i="10"/>
  <c r="O241" i="10"/>
  <c r="N12" i="10"/>
  <c r="O242" i="10"/>
  <c r="O207" i="10"/>
  <c r="N255" i="10"/>
  <c r="O94" i="10"/>
  <c r="N74" i="10"/>
  <c r="N280" i="10"/>
  <c r="N220" i="10"/>
  <c r="N86" i="10"/>
  <c r="O89" i="10"/>
  <c r="O252" i="10"/>
  <c r="O167" i="10"/>
  <c r="O175" i="10"/>
  <c r="N96" i="10"/>
  <c r="N160" i="10"/>
  <c r="O195" i="10"/>
  <c r="O153" i="10"/>
  <c r="N18" i="10"/>
  <c r="N166" i="10"/>
  <c r="O120" i="10"/>
  <c r="O155" i="10"/>
  <c r="N185" i="10"/>
  <c r="N118" i="10"/>
  <c r="N73" i="10"/>
  <c r="O75" i="10"/>
  <c r="O105" i="10"/>
  <c r="N32" i="10"/>
  <c r="O218" i="10"/>
  <c r="O14" i="10"/>
  <c r="N279" i="10"/>
  <c r="N184" i="10"/>
  <c r="O232" i="10"/>
  <c r="N98" i="10"/>
  <c r="N95" i="10"/>
  <c r="N196" i="10"/>
  <c r="N19" i="10"/>
  <c r="N171" i="10"/>
  <c r="N183" i="10"/>
  <c r="N136" i="10"/>
  <c r="O72" i="10"/>
  <c r="N44" i="10"/>
  <c r="N29" i="10"/>
  <c r="N91" i="10"/>
  <c r="N110" i="10"/>
  <c r="N67" i="10"/>
  <c r="O281" i="10"/>
  <c r="O163" i="10"/>
  <c r="N45" i="10"/>
  <c r="O156" i="10"/>
  <c r="O223" i="10"/>
  <c r="N162" i="10"/>
  <c r="N57" i="10"/>
  <c r="N270" i="10"/>
  <c r="N164" i="10"/>
  <c r="O64" i="10"/>
  <c r="O23" i="10"/>
  <c r="N6" i="10"/>
  <c r="N107" i="10"/>
  <c r="N42" i="10"/>
  <c r="N219" i="10"/>
  <c r="O63" i="10"/>
  <c r="N131" i="10"/>
  <c r="N243" i="10"/>
  <c r="O230" i="10"/>
  <c r="N175" i="10"/>
  <c r="O283" i="10"/>
  <c r="N165" i="10"/>
  <c r="N198" i="10"/>
  <c r="O54" i="10"/>
  <c r="N169" i="10"/>
  <c r="N167" i="10"/>
  <c r="O86" i="10"/>
  <c r="O36" i="10"/>
  <c r="O24" i="10"/>
  <c r="N254" i="10"/>
  <c r="N68" i="10"/>
  <c r="O13" i="10"/>
  <c r="O200" i="10"/>
  <c r="O61" i="10"/>
  <c r="O214" i="10"/>
  <c r="N154" i="10"/>
  <c r="O209" i="10"/>
  <c r="O35" i="10"/>
  <c r="N141" i="10"/>
  <c r="O136" i="10"/>
  <c r="N253" i="10"/>
  <c r="O51" i="10"/>
  <c r="O29" i="10"/>
  <c r="N236" i="10"/>
  <c r="N241" i="10"/>
  <c r="O196" i="10"/>
  <c r="O109" i="10"/>
  <c r="O84" i="10"/>
  <c r="N46" i="10"/>
  <c r="N237" i="10"/>
  <c r="O240" i="10"/>
  <c r="N138" i="10"/>
  <c r="N150" i="10"/>
  <c r="O150" i="10"/>
  <c r="O257" i="10"/>
  <c r="O158" i="10"/>
  <c r="N54" i="10"/>
  <c r="N235" i="10"/>
  <c r="N288" i="10"/>
  <c r="O124" i="10"/>
  <c r="O267" i="10"/>
  <c r="N275" i="10"/>
  <c r="N14" i="10"/>
  <c r="N30" i="10"/>
  <c r="O184" i="10"/>
  <c r="O65" i="10"/>
  <c r="N7" i="10"/>
  <c r="O287" i="10"/>
  <c r="O183" i="10"/>
  <c r="N226" i="10"/>
  <c r="O231" i="10"/>
  <c r="N62" i="10"/>
  <c r="N274" i="10"/>
  <c r="O149" i="10"/>
  <c r="O40" i="10"/>
  <c r="O78" i="10"/>
  <c r="O224" i="10"/>
  <c r="N238" i="10"/>
  <c r="N205" i="10"/>
  <c r="N172" i="10"/>
  <c r="O279" i="10"/>
  <c r="O143" i="10"/>
  <c r="O82" i="10"/>
  <c r="N9" i="10"/>
  <c r="O188" i="10"/>
  <c r="O99" i="10"/>
  <c r="O285" i="10"/>
  <c r="O140" i="10"/>
  <c r="O9" i="10"/>
  <c r="N260" i="10"/>
  <c r="O259" i="10"/>
  <c r="N163" i="10"/>
  <c r="N215" i="10"/>
  <c r="O50" i="10"/>
  <c r="O97" i="10"/>
  <c r="N213" i="10"/>
  <c r="N246" i="10"/>
  <c r="O165" i="10"/>
  <c r="N202" i="10"/>
  <c r="N128" i="10"/>
  <c r="N158" i="10"/>
  <c r="O67" i="10"/>
  <c r="N199" i="10"/>
  <c r="N59" i="10"/>
  <c r="N153" i="10"/>
  <c r="I55" i="9"/>
  <c r="I60" i="9"/>
  <c r="I57" i="9"/>
  <c r="I13" i="9"/>
  <c r="S12" i="9" s="1"/>
  <c r="I12" i="9"/>
  <c r="S11" i="9" s="1"/>
  <c r="I11" i="9"/>
  <c r="S10" i="9" s="1"/>
  <c r="I62" i="9"/>
  <c r="I56" i="9"/>
  <c r="I61" i="9"/>
  <c r="I59" i="9"/>
  <c r="I15" i="9"/>
  <c r="S14" i="9" s="1"/>
  <c r="I58" i="9"/>
  <c r="I14" i="9"/>
  <c r="S13" i="9" s="1"/>
  <c r="I8" i="9"/>
  <c r="S7" i="9" s="1"/>
  <c r="H281" i="10"/>
  <c r="H261" i="10"/>
  <c r="H187" i="10"/>
  <c r="I119" i="10"/>
  <c r="I255" i="10"/>
  <c r="I151" i="10"/>
  <c r="I248" i="10"/>
  <c r="I130" i="10"/>
  <c r="H276" i="10"/>
  <c r="H259" i="10"/>
  <c r="I186" i="10"/>
  <c r="H232" i="10"/>
  <c r="H36" i="10"/>
  <c r="H277" i="10"/>
  <c r="I214" i="10"/>
  <c r="H257" i="10"/>
  <c r="I76" i="10"/>
  <c r="I127" i="10"/>
  <c r="H22" i="10"/>
  <c r="I241" i="10"/>
  <c r="H94" i="10"/>
  <c r="H38" i="10"/>
  <c r="H26" i="10"/>
  <c r="I283" i="10"/>
  <c r="H35" i="10"/>
  <c r="H48" i="10"/>
  <c r="H98" i="10"/>
  <c r="I254" i="10"/>
  <c r="I143" i="10"/>
  <c r="H41" i="10"/>
  <c r="H44" i="10"/>
  <c r="I36" i="10"/>
  <c r="I50" i="10"/>
  <c r="I62" i="10"/>
  <c r="I9" i="10"/>
  <c r="I34" i="10"/>
  <c r="H184" i="10"/>
  <c r="I75" i="10"/>
  <c r="I70" i="10"/>
  <c r="H242" i="10"/>
  <c r="I12" i="10"/>
  <c r="H243" i="10"/>
  <c r="I120" i="10"/>
  <c r="H63" i="10"/>
  <c r="I121" i="10"/>
  <c r="I91" i="10"/>
  <c r="I43" i="10"/>
  <c r="I253" i="10"/>
  <c r="H29" i="10"/>
  <c r="I166" i="10"/>
  <c r="I277" i="10"/>
  <c r="H170" i="10"/>
  <c r="H69" i="10"/>
  <c r="H28" i="10"/>
  <c r="H255" i="10"/>
  <c r="H167" i="10"/>
  <c r="H25" i="10"/>
  <c r="H103" i="10"/>
  <c r="H166" i="10"/>
  <c r="I38" i="10"/>
  <c r="H289" i="10"/>
  <c r="H235" i="10"/>
  <c r="H52" i="10"/>
  <c r="H217" i="10"/>
  <c r="H263" i="10"/>
  <c r="I111" i="10"/>
  <c r="I223" i="10"/>
  <c r="I204" i="10"/>
  <c r="I158" i="10"/>
  <c r="I53" i="10"/>
  <c r="I142" i="10"/>
  <c r="H194" i="10"/>
  <c r="H89" i="10"/>
  <c r="I21" i="10"/>
  <c r="H84" i="10"/>
  <c r="I221" i="10"/>
  <c r="H107" i="10"/>
  <c r="I96" i="10"/>
  <c r="I29" i="10"/>
  <c r="I63" i="10"/>
  <c r="H8" i="10"/>
  <c r="I44" i="10"/>
  <c r="I55" i="10"/>
  <c r="I258" i="10"/>
  <c r="I202" i="10"/>
  <c r="H146" i="10"/>
  <c r="I138" i="10"/>
  <c r="H42" i="10"/>
  <c r="I239" i="10"/>
  <c r="H205" i="10"/>
  <c r="I228" i="10"/>
  <c r="I275" i="10"/>
  <c r="H272" i="10"/>
  <c r="I139" i="10"/>
  <c r="H204" i="10"/>
  <c r="I179" i="10"/>
  <c r="H220" i="10"/>
  <c r="I218" i="10"/>
  <c r="I177" i="10"/>
  <c r="I220" i="10"/>
  <c r="I11" i="10"/>
  <c r="I238" i="10"/>
  <c r="I35" i="10"/>
  <c r="F208" i="10"/>
  <c r="G122" i="10"/>
  <c r="F259" i="10"/>
  <c r="F176" i="10"/>
  <c r="F265" i="10"/>
  <c r="F165" i="10"/>
  <c r="G160" i="10"/>
  <c r="G272" i="10"/>
  <c r="F85" i="10"/>
  <c r="G161" i="10"/>
  <c r="G136" i="10"/>
  <c r="G199" i="10"/>
  <c r="G209" i="10"/>
  <c r="F170" i="10"/>
  <c r="F113" i="10"/>
  <c r="G214" i="10"/>
  <c r="G231" i="10"/>
  <c r="G37" i="10"/>
  <c r="G86" i="10"/>
  <c r="F81" i="10"/>
  <c r="G173" i="10"/>
  <c r="G218" i="10"/>
  <c r="F78" i="10"/>
  <c r="F262" i="10"/>
  <c r="F70" i="10"/>
  <c r="F35" i="10"/>
  <c r="G271" i="10"/>
  <c r="F129" i="10"/>
  <c r="G237" i="10"/>
  <c r="G217" i="10"/>
  <c r="G257" i="10"/>
  <c r="F288" i="10"/>
  <c r="F185" i="10"/>
  <c r="G167" i="10"/>
  <c r="F97" i="10"/>
  <c r="G286" i="10"/>
  <c r="G84" i="10"/>
  <c r="G92" i="10"/>
  <c r="G94" i="10"/>
  <c r="G83" i="10"/>
  <c r="F12" i="10"/>
  <c r="G72" i="10"/>
  <c r="G45" i="10"/>
  <c r="G34" i="10"/>
  <c r="G227" i="10"/>
  <c r="G141" i="10"/>
  <c r="G193" i="10"/>
  <c r="G74" i="10"/>
  <c r="F17" i="10"/>
  <c r="G91" i="10"/>
  <c r="G224" i="10"/>
  <c r="F233" i="10"/>
  <c r="G98" i="10"/>
  <c r="F171" i="10"/>
  <c r="G52" i="10"/>
  <c r="G213" i="10"/>
  <c r="F9" i="10"/>
  <c r="F138" i="10"/>
  <c r="G201" i="10"/>
  <c r="F272" i="10"/>
  <c r="F192" i="10"/>
  <c r="F79" i="10"/>
  <c r="F252" i="10"/>
  <c r="F103" i="10"/>
  <c r="G204" i="10"/>
  <c r="G123" i="10"/>
  <c r="F155" i="10"/>
  <c r="F146" i="10"/>
  <c r="G276" i="10"/>
  <c r="F30" i="10"/>
  <c r="F245" i="10"/>
  <c r="F114" i="10"/>
  <c r="F220" i="10"/>
  <c r="F213" i="10"/>
  <c r="G90" i="10"/>
  <c r="G8" i="10"/>
  <c r="G281" i="10"/>
  <c r="F190" i="10"/>
  <c r="F69" i="10"/>
  <c r="G95" i="10"/>
  <c r="G121" i="10"/>
  <c r="G238" i="10"/>
  <c r="F66" i="10"/>
  <c r="F133" i="10"/>
  <c r="G205" i="10"/>
  <c r="G157" i="10"/>
  <c r="F101" i="10"/>
  <c r="G174" i="10"/>
  <c r="F198" i="10"/>
  <c r="G44" i="10"/>
  <c r="F260" i="10"/>
  <c r="G245" i="10"/>
  <c r="F73" i="10"/>
  <c r="G189" i="10"/>
  <c r="G270" i="10"/>
  <c r="G13" i="10"/>
  <c r="G232" i="10"/>
  <c r="F31" i="10"/>
  <c r="G77" i="10"/>
  <c r="F124" i="10"/>
  <c r="F164" i="10"/>
  <c r="F119" i="10"/>
  <c r="F161" i="10"/>
  <c r="F282" i="10"/>
  <c r="G33" i="10"/>
  <c r="G39" i="10"/>
  <c r="F200" i="10"/>
  <c r="F141" i="10"/>
  <c r="F10" i="10"/>
  <c r="G190" i="10"/>
  <c r="F7" i="10"/>
  <c r="G288" i="10"/>
  <c r="F143" i="10"/>
  <c r="F107" i="10"/>
  <c r="F48" i="10"/>
  <c r="F189" i="10"/>
  <c r="F153" i="10"/>
  <c r="G254" i="10"/>
  <c r="F132" i="10"/>
  <c r="F276" i="10"/>
  <c r="F218" i="10"/>
  <c r="F74" i="10"/>
  <c r="G182" i="10"/>
  <c r="G244" i="10"/>
  <c r="G144" i="10"/>
  <c r="F231" i="10"/>
  <c r="F173" i="10"/>
  <c r="F194" i="10"/>
  <c r="F94" i="10"/>
  <c r="F67" i="10"/>
  <c r="G158" i="10"/>
  <c r="F168" i="10"/>
  <c r="G164" i="10"/>
  <c r="F271" i="10"/>
  <c r="F117" i="10"/>
  <c r="G256" i="10"/>
  <c r="J8" i="9"/>
  <c r="J82" i="10"/>
  <c r="K240" i="10"/>
  <c r="J218" i="10"/>
  <c r="K222" i="10"/>
  <c r="J76" i="10"/>
  <c r="K67" i="10"/>
  <c r="J65" i="10"/>
  <c r="K173" i="10"/>
  <c r="J282" i="10"/>
  <c r="J39" i="10"/>
  <c r="J6" i="10"/>
  <c r="J120" i="10"/>
  <c r="K171" i="10"/>
  <c r="K151" i="10"/>
  <c r="J132" i="10"/>
  <c r="K260" i="10"/>
  <c r="K189" i="10"/>
  <c r="K253" i="10"/>
  <c r="J287" i="10"/>
  <c r="K188" i="10"/>
  <c r="J43" i="10"/>
  <c r="K65" i="10"/>
  <c r="J7" i="10"/>
  <c r="J54" i="10"/>
  <c r="K192" i="10"/>
  <c r="K36" i="10"/>
  <c r="K184" i="10"/>
  <c r="K168" i="10"/>
  <c r="J18" i="10"/>
  <c r="J190" i="10"/>
  <c r="J264" i="10"/>
  <c r="K6" i="10"/>
  <c r="K272" i="10"/>
  <c r="K139" i="10"/>
  <c r="K150" i="10"/>
  <c r="K127" i="10"/>
  <c r="K229" i="10"/>
  <c r="J9" i="10"/>
  <c r="J272" i="10"/>
  <c r="J254" i="10"/>
  <c r="J212" i="10"/>
  <c r="J17" i="10"/>
  <c r="J234" i="10"/>
  <c r="J88" i="10"/>
  <c r="J281" i="10"/>
  <c r="K13" i="10"/>
  <c r="J56" i="10"/>
  <c r="J121" i="10"/>
  <c r="J55" i="10"/>
  <c r="J209" i="10"/>
  <c r="J12" i="10"/>
  <c r="K91" i="10"/>
  <c r="K135" i="10"/>
  <c r="K233" i="10"/>
  <c r="J216" i="10"/>
  <c r="K122" i="10"/>
  <c r="J113" i="10"/>
  <c r="K136" i="10"/>
  <c r="K101" i="10"/>
  <c r="J238" i="10"/>
  <c r="J205" i="10"/>
  <c r="K224" i="10"/>
  <c r="J80" i="10"/>
  <c r="K245" i="10"/>
  <c r="J162" i="10"/>
  <c r="K284" i="10"/>
  <c r="J37" i="10"/>
  <c r="K9" i="10"/>
  <c r="J252" i="10"/>
  <c r="J35" i="10"/>
  <c r="K55" i="10"/>
  <c r="J105" i="10"/>
  <c r="J58" i="10"/>
  <c r="J103" i="10"/>
  <c r="K206" i="10"/>
  <c r="J289" i="10"/>
  <c r="J138" i="10"/>
  <c r="J102" i="10"/>
  <c r="J94" i="10"/>
  <c r="J207" i="10"/>
  <c r="K180" i="10"/>
  <c r="J285" i="10"/>
  <c r="K69" i="10"/>
  <c r="J290" i="10"/>
  <c r="J274" i="10"/>
  <c r="J60" i="10"/>
  <c r="J52" i="10"/>
  <c r="J173" i="10"/>
  <c r="K10" i="10"/>
  <c r="J172" i="10"/>
  <c r="K34" i="10"/>
  <c r="J85" i="10"/>
  <c r="J153" i="10"/>
  <c r="J48" i="10"/>
  <c r="K221" i="10"/>
  <c r="J193" i="10"/>
  <c r="J33" i="10"/>
  <c r="K198" i="10"/>
  <c r="J118" i="10"/>
  <c r="J160" i="10"/>
  <c r="J23" i="10"/>
  <c r="J10" i="10"/>
  <c r="J75" i="10"/>
  <c r="J226" i="10"/>
  <c r="J180" i="10"/>
  <c r="K190" i="10"/>
  <c r="K268" i="10"/>
  <c r="J98" i="10"/>
  <c r="J161" i="10"/>
  <c r="K199" i="10"/>
  <c r="K254" i="10"/>
  <c r="K25" i="10"/>
  <c r="K31" i="10"/>
  <c r="K262" i="10"/>
  <c r="K53" i="10"/>
  <c r="J114" i="10"/>
  <c r="K183" i="10"/>
  <c r="K72" i="10"/>
  <c r="K75" i="10"/>
  <c r="K153" i="10"/>
  <c r="J273" i="10"/>
  <c r="J154" i="10"/>
  <c r="J156" i="10"/>
  <c r="K232" i="10"/>
  <c r="J110" i="10"/>
  <c r="K19" i="10"/>
  <c r="J95" i="10"/>
  <c r="J166" i="10"/>
  <c r="J168" i="10"/>
  <c r="K285" i="10"/>
  <c r="J278" i="10"/>
  <c r="K97" i="10"/>
  <c r="K17" i="10"/>
  <c r="J108" i="10"/>
  <c r="J119" i="10"/>
  <c r="J6" i="9"/>
  <c r="I7" i="9"/>
  <c r="S6" i="9" s="1"/>
  <c r="H10" i="9"/>
  <c r="R9" i="9" s="1"/>
  <c r="H61" i="9"/>
  <c r="H15" i="9"/>
  <c r="R14" i="9" s="1"/>
  <c r="H12" i="9"/>
  <c r="R11" i="9" s="1"/>
  <c r="H13" i="9"/>
  <c r="R12" i="9" s="1"/>
  <c r="H57" i="9"/>
  <c r="H56" i="9"/>
  <c r="H62" i="9"/>
  <c r="H60" i="9"/>
  <c r="H11" i="9"/>
  <c r="R10" i="9" s="1"/>
  <c r="H59" i="9"/>
  <c r="H14" i="9"/>
  <c r="R13" i="9" s="1"/>
  <c r="H58" i="9"/>
  <c r="H55" i="9"/>
  <c r="H143" i="10"/>
  <c r="H40" i="10"/>
  <c r="H76" i="10"/>
  <c r="H239" i="10"/>
  <c r="I273" i="10"/>
  <c r="I285" i="10"/>
  <c r="H109" i="10"/>
  <c r="H197" i="10"/>
  <c r="I112" i="10"/>
  <c r="I182" i="10"/>
  <c r="H227" i="10"/>
  <c r="H92" i="10"/>
  <c r="I178" i="10"/>
  <c r="I207" i="10"/>
  <c r="H168" i="10"/>
  <c r="H150" i="10"/>
  <c r="I168" i="10"/>
  <c r="I131" i="10"/>
  <c r="I230" i="10"/>
  <c r="I210" i="10"/>
  <c r="I289" i="10"/>
  <c r="I94" i="10"/>
  <c r="H139" i="10"/>
  <c r="H229" i="10"/>
  <c r="I30" i="10"/>
  <c r="I156" i="10"/>
  <c r="I236" i="10"/>
  <c r="I226" i="10"/>
  <c r="H282" i="10"/>
  <c r="H186" i="10"/>
  <c r="I144" i="10"/>
  <c r="H154" i="10"/>
  <c r="H250" i="10"/>
  <c r="H153" i="10"/>
  <c r="I232" i="10"/>
  <c r="H59" i="10"/>
  <c r="I26" i="10"/>
  <c r="I175" i="10"/>
  <c r="H39" i="10"/>
  <c r="I122" i="10"/>
  <c r="I85" i="10"/>
  <c r="I116" i="10"/>
  <c r="H173" i="10"/>
  <c r="I59" i="10"/>
  <c r="H95" i="10"/>
  <c r="I219" i="10"/>
  <c r="I108" i="10"/>
  <c r="I125" i="10"/>
  <c r="H10" i="10"/>
  <c r="I263" i="10"/>
  <c r="H144" i="10"/>
  <c r="I141" i="10"/>
  <c r="H82" i="10"/>
  <c r="H141" i="10"/>
  <c r="H236" i="10"/>
  <c r="H245" i="10"/>
  <c r="I41" i="10"/>
  <c r="I40" i="10"/>
  <c r="I100" i="10"/>
  <c r="H284" i="10"/>
  <c r="H209" i="10"/>
  <c r="H46" i="10"/>
  <c r="I86" i="10"/>
  <c r="H119" i="10"/>
  <c r="H231" i="10"/>
  <c r="I176" i="10"/>
  <c r="I206" i="10"/>
  <c r="H126" i="10"/>
  <c r="I172" i="10"/>
  <c r="H101" i="10"/>
  <c r="I6" i="10"/>
  <c r="H192" i="10"/>
  <c r="H62" i="10"/>
  <c r="I211" i="10"/>
  <c r="H86" i="10"/>
  <c r="I84" i="10"/>
  <c r="I51" i="10"/>
  <c r="H7" i="9"/>
  <c r="R6" i="9" s="1"/>
  <c r="I215" i="10"/>
  <c r="H185" i="10"/>
  <c r="H224" i="10"/>
  <c r="H253" i="10"/>
  <c r="H24" i="10"/>
  <c r="I92" i="10"/>
  <c r="H104" i="10"/>
  <c r="H169" i="10"/>
  <c r="I126" i="10"/>
  <c r="H129" i="10"/>
  <c r="H147" i="10"/>
  <c r="H79" i="10"/>
  <c r="H223" i="10"/>
  <c r="I180" i="10"/>
  <c r="H258" i="10"/>
  <c r="H67" i="10"/>
  <c r="H178" i="10"/>
  <c r="I7" i="10"/>
  <c r="H189" i="10"/>
  <c r="H145" i="10"/>
  <c r="H152" i="10"/>
  <c r="I105" i="10"/>
  <c r="H149" i="10"/>
  <c r="I234" i="10"/>
  <c r="I56" i="10"/>
  <c r="I212" i="10"/>
  <c r="H216" i="10"/>
  <c r="H125" i="10"/>
  <c r="H285" i="10"/>
  <c r="H97" i="10"/>
  <c r="H290" i="10"/>
  <c r="I60" i="10"/>
  <c r="H226" i="10"/>
  <c r="I117" i="10"/>
  <c r="H87" i="10"/>
  <c r="I72" i="10"/>
  <c r="H207" i="10"/>
  <c r="I265" i="10"/>
  <c r="H30" i="10"/>
  <c r="H182" i="10"/>
  <c r="I271" i="10"/>
  <c r="I282" i="10"/>
  <c r="H9" i="10"/>
  <c r="H275" i="10"/>
  <c r="H128" i="10"/>
  <c r="H212" i="10"/>
  <c r="I165" i="10"/>
  <c r="I274" i="10"/>
  <c r="I240" i="10"/>
  <c r="I133" i="10"/>
  <c r="H249" i="10"/>
  <c r="H162" i="10"/>
  <c r="I192" i="10"/>
  <c r="I251" i="10"/>
  <c r="I190" i="10"/>
  <c r="I262" i="10"/>
  <c r="I79" i="10"/>
  <c r="I217" i="10"/>
  <c r="H188" i="10"/>
  <c r="G118" i="10"/>
  <c r="G139" i="10"/>
  <c r="F214" i="10"/>
  <c r="G153" i="10"/>
  <c r="F62" i="10"/>
  <c r="G169" i="10"/>
  <c r="G236" i="10"/>
  <c r="F246" i="10"/>
  <c r="F277" i="10"/>
  <c r="G100" i="10"/>
  <c r="F139" i="10"/>
  <c r="G154" i="10"/>
  <c r="G155" i="10"/>
  <c r="G116" i="10"/>
  <c r="G273" i="10"/>
  <c r="G198" i="10"/>
  <c r="G113" i="10"/>
  <c r="G197" i="10"/>
  <c r="F266" i="10"/>
  <c r="G40" i="10"/>
  <c r="F54" i="10"/>
  <c r="G266" i="10"/>
  <c r="F166" i="10"/>
  <c r="G11" i="10"/>
  <c r="F98" i="10"/>
  <c r="F40" i="10"/>
  <c r="G180" i="10"/>
  <c r="G163" i="10"/>
  <c r="F58" i="10"/>
  <c r="G289" i="10"/>
  <c r="G253" i="10"/>
  <c r="F83" i="10"/>
  <c r="G175" i="10"/>
  <c r="G215" i="10"/>
  <c r="F75" i="10"/>
  <c r="F163" i="10"/>
  <c r="F264" i="10"/>
  <c r="G185" i="10"/>
  <c r="F105" i="10"/>
  <c r="G278" i="10"/>
  <c r="F82" i="10"/>
  <c r="G152" i="10"/>
  <c r="G280" i="10"/>
  <c r="F26" i="10"/>
  <c r="G9" i="10"/>
  <c r="G48" i="10"/>
  <c r="G187" i="10"/>
  <c r="F263" i="10"/>
  <c r="G135" i="10"/>
  <c r="G258" i="10"/>
  <c r="G149" i="10"/>
  <c r="F290" i="10"/>
  <c r="G146" i="10"/>
  <c r="F193" i="10"/>
  <c r="G57" i="10"/>
  <c r="G50" i="10"/>
  <c r="G138" i="10"/>
  <c r="F148" i="10"/>
  <c r="G261" i="10"/>
  <c r="G246" i="10"/>
  <c r="F169" i="10"/>
  <c r="G240" i="10"/>
  <c r="G42" i="10"/>
  <c r="F43" i="10"/>
  <c r="F238" i="10"/>
  <c r="F216" i="10"/>
  <c r="G80" i="10"/>
  <c r="F104" i="10"/>
  <c r="G176" i="10"/>
  <c r="F14" i="10"/>
  <c r="F131" i="10"/>
  <c r="F25" i="10"/>
  <c r="G104" i="10"/>
  <c r="G125" i="10"/>
  <c r="G148" i="10"/>
  <c r="G99" i="10"/>
  <c r="F33" i="10"/>
  <c r="F241" i="10"/>
  <c r="G38" i="10"/>
  <c r="G59" i="10"/>
  <c r="F86" i="10"/>
  <c r="F152" i="10"/>
  <c r="G133" i="10"/>
  <c r="F175" i="10"/>
  <c r="F209" i="10"/>
  <c r="F191" i="10"/>
  <c r="G184" i="10"/>
  <c r="G61" i="10"/>
  <c r="G66" i="10"/>
  <c r="F196" i="10"/>
  <c r="F187" i="10"/>
  <c r="F172" i="10"/>
  <c r="G32" i="10"/>
  <c r="G166" i="10"/>
  <c r="F174" i="10"/>
  <c r="F275" i="10"/>
  <c r="G212" i="10"/>
  <c r="F202" i="10"/>
  <c r="G69" i="10"/>
  <c r="F135" i="10"/>
  <c r="F179" i="10"/>
  <c r="G129" i="10"/>
  <c r="F230" i="10"/>
  <c r="G275" i="10"/>
  <c r="F160" i="10"/>
  <c r="F253" i="10"/>
  <c r="F64" i="10"/>
  <c r="G283" i="10"/>
  <c r="F211" i="10"/>
  <c r="F52" i="10"/>
  <c r="F91" i="10"/>
  <c r="F197" i="10"/>
  <c r="G130" i="10"/>
  <c r="F210" i="10"/>
  <c r="G67" i="10"/>
  <c r="G178" i="10"/>
  <c r="F88" i="10"/>
  <c r="G87" i="10"/>
  <c r="G179" i="10"/>
  <c r="G128" i="10"/>
  <c r="F77" i="10"/>
  <c r="F240" i="10"/>
  <c r="G25" i="10"/>
  <c r="G172" i="10"/>
  <c r="G249" i="10"/>
  <c r="G41" i="10"/>
  <c r="F151" i="10"/>
  <c r="G82" i="10"/>
  <c r="F274" i="10"/>
  <c r="G111" i="10"/>
  <c r="F281" i="10"/>
  <c r="F110" i="10"/>
  <c r="F207" i="10"/>
  <c r="G46" i="10"/>
  <c r="G260" i="10"/>
  <c r="F221" i="10"/>
  <c r="J262" i="10"/>
  <c r="K48" i="10"/>
  <c r="K144" i="10"/>
  <c r="J111" i="10"/>
  <c r="K156" i="10"/>
  <c r="J202" i="10"/>
  <c r="J189" i="10"/>
  <c r="K161" i="10"/>
  <c r="K165" i="10"/>
  <c r="K121" i="10"/>
  <c r="J249" i="10"/>
  <c r="K275" i="10"/>
  <c r="K80" i="10"/>
  <c r="K74" i="10"/>
  <c r="J235" i="10"/>
  <c r="K243" i="10"/>
  <c r="J279" i="10"/>
  <c r="J259" i="10"/>
  <c r="J208" i="10"/>
  <c r="J253" i="10"/>
  <c r="J192" i="10"/>
  <c r="K187" i="10"/>
  <c r="K43" i="10"/>
  <c r="K30" i="10"/>
  <c r="J30" i="10"/>
  <c r="J128" i="10"/>
  <c r="K131" i="10"/>
  <c r="K235" i="10"/>
  <c r="K246" i="10"/>
  <c r="K133" i="10"/>
  <c r="J152" i="10"/>
  <c r="K256" i="10"/>
  <c r="J83" i="10"/>
  <c r="K118" i="10"/>
  <c r="K286" i="10"/>
  <c r="J185" i="10"/>
  <c r="K149" i="10"/>
  <c r="J230" i="10"/>
  <c r="J67" i="10"/>
  <c r="K273" i="10"/>
  <c r="J175" i="10"/>
  <c r="K193" i="10"/>
  <c r="J276" i="10"/>
  <c r="J267" i="10"/>
  <c r="J179" i="10"/>
  <c r="J286" i="10"/>
  <c r="J222" i="10"/>
  <c r="J42" i="10"/>
  <c r="J242" i="10"/>
  <c r="J219" i="10"/>
  <c r="K228" i="10"/>
  <c r="K163" i="10"/>
  <c r="J261" i="10"/>
  <c r="J133" i="10"/>
  <c r="J66" i="10"/>
  <c r="K289" i="10"/>
  <c r="K104" i="10"/>
  <c r="J87" i="10"/>
  <c r="J266" i="10"/>
  <c r="K95" i="10"/>
  <c r="J139" i="10"/>
  <c r="J195" i="10"/>
  <c r="K60" i="10"/>
  <c r="J135" i="10"/>
  <c r="K39" i="10"/>
  <c r="K124" i="10"/>
  <c r="J73" i="10"/>
  <c r="K200" i="10"/>
  <c r="J237" i="10"/>
  <c r="J74" i="10"/>
  <c r="K79" i="10"/>
  <c r="K174" i="10"/>
  <c r="J149" i="10"/>
  <c r="J72" i="10"/>
  <c r="J107" i="10"/>
  <c r="J232" i="10"/>
  <c r="K186" i="10"/>
  <c r="J21" i="10"/>
  <c r="J171" i="10"/>
  <c r="J271" i="10"/>
  <c r="J200" i="10"/>
  <c r="J89" i="10"/>
  <c r="J223" i="10"/>
  <c r="J32" i="10"/>
  <c r="K220" i="10"/>
  <c r="K109" i="10"/>
  <c r="K108" i="10"/>
  <c r="J11" i="10"/>
  <c r="J34" i="10"/>
  <c r="K281" i="10"/>
  <c r="K201" i="10"/>
  <c r="J64" i="10"/>
  <c r="J53" i="10"/>
  <c r="K63" i="10"/>
  <c r="K73" i="10"/>
  <c r="J61" i="10"/>
  <c r="K16" i="10"/>
  <c r="K66" i="10"/>
  <c r="K147" i="10"/>
  <c r="J255" i="10"/>
  <c r="K167" i="10"/>
  <c r="K237" i="10"/>
  <c r="K212" i="10"/>
  <c r="K54" i="10"/>
  <c r="K52" i="10"/>
  <c r="K197" i="10"/>
  <c r="J245" i="10"/>
  <c r="K50" i="10"/>
  <c r="K8" i="10"/>
  <c r="K89" i="10"/>
  <c r="K98" i="10"/>
  <c r="K223" i="10"/>
  <c r="K238" i="10"/>
  <c r="K61" i="10"/>
  <c r="K58" i="10"/>
  <c r="K218" i="10"/>
  <c r="J63" i="10"/>
  <c r="J150" i="10"/>
  <c r="K267" i="10"/>
  <c r="J16" i="10"/>
  <c r="K280" i="10"/>
  <c r="K140" i="10"/>
  <c r="K82" i="10"/>
  <c r="J31" i="10"/>
  <c r="J206" i="10"/>
  <c r="K110" i="10"/>
  <c r="K102" i="10"/>
  <c r="J277" i="10"/>
  <c r="J243" i="10"/>
  <c r="J188" i="10"/>
  <c r="J164" i="10"/>
  <c r="K116" i="10"/>
  <c r="K7" i="10"/>
  <c r="K113" i="10"/>
  <c r="K24" i="10"/>
  <c r="J86" i="10"/>
  <c r="K287" i="10"/>
  <c r="I9" i="9"/>
  <c r="S8" i="9" s="1"/>
  <c r="J17" i="9" l="1"/>
  <c r="T5" i="9"/>
  <c r="J20" i="9"/>
  <c r="T6" i="9"/>
  <c r="J35" i="9"/>
  <c r="T11" i="9"/>
  <c r="J26" i="9"/>
  <c r="T8" i="9"/>
  <c r="J44" i="9"/>
  <c r="T14" i="9"/>
  <c r="J38" i="9"/>
  <c r="T12" i="9"/>
  <c r="J23" i="9"/>
  <c r="T7" i="9"/>
  <c r="J29" i="9"/>
  <c r="T9" i="9"/>
  <c r="J41" i="9"/>
  <c r="T13" i="9"/>
  <c r="J32" i="9"/>
  <c r="T10" i="9"/>
  <c r="H19" i="9"/>
  <c r="H44" i="9"/>
  <c r="H43" i="9"/>
  <c r="J31" i="9"/>
  <c r="J19" i="9"/>
  <c r="J34" i="9"/>
  <c r="J22" i="9"/>
  <c r="J37" i="9"/>
  <c r="J25" i="9"/>
  <c r="J16" i="9"/>
  <c r="J40" i="9"/>
  <c r="J28" i="9"/>
  <c r="I32" i="9"/>
  <c r="I31" i="9"/>
  <c r="I26" i="9"/>
  <c r="I25" i="9"/>
  <c r="H38" i="9"/>
  <c r="H37" i="9"/>
  <c r="H28" i="9"/>
  <c r="H29" i="9"/>
  <c r="I37" i="9"/>
  <c r="I38" i="9"/>
  <c r="H40" i="9"/>
  <c r="H41" i="9"/>
  <c r="H35" i="9"/>
  <c r="H34" i="9"/>
  <c r="I44" i="9"/>
  <c r="I43" i="9"/>
  <c r="H26" i="9"/>
  <c r="H25" i="9"/>
  <c r="H32" i="9"/>
  <c r="H31" i="9"/>
  <c r="I41" i="9"/>
  <c r="I40" i="9"/>
  <c r="I35" i="9"/>
  <c r="I34" i="9"/>
  <c r="I29" i="9"/>
  <c r="I28" i="9"/>
  <c r="H23" i="9"/>
  <c r="H22" i="9"/>
  <c r="J24" i="9"/>
  <c r="J42" i="9"/>
  <c r="J21" i="9"/>
  <c r="J36" i="9"/>
  <c r="J30" i="9"/>
  <c r="J18" i="9"/>
  <c r="J33" i="9"/>
  <c r="J27" i="9"/>
  <c r="J39" i="9"/>
  <c r="I22" i="9"/>
  <c r="I23" i="9"/>
  <c r="I17" i="9"/>
  <c r="I16" i="9"/>
  <c r="K47" i="9"/>
  <c r="H20" i="9"/>
  <c r="I19" i="9"/>
  <c r="I20" i="9"/>
  <c r="L47" i="9"/>
  <c r="K15" i="9"/>
  <c r="L9" i="9"/>
  <c r="L59" i="9"/>
  <c r="K59" i="9"/>
  <c r="L56" i="9"/>
  <c r="K56" i="9"/>
  <c r="L15" i="9"/>
  <c r="K9" i="9"/>
  <c r="L7" i="9"/>
  <c r="K7" i="9"/>
  <c r="L14" i="9"/>
  <c r="K14" i="9"/>
  <c r="L62" i="9"/>
  <c r="K62" i="9"/>
  <c r="K12" i="9"/>
  <c r="L12" i="9"/>
  <c r="K58" i="9"/>
  <c r="L58" i="9"/>
  <c r="L60" i="9"/>
  <c r="K60" i="9"/>
  <c r="L13" i="9"/>
  <c r="K13" i="9"/>
  <c r="L10" i="9"/>
  <c r="K10" i="9"/>
  <c r="L8" i="9"/>
  <c r="K8" i="9"/>
  <c r="L6" i="9"/>
  <c r="K6" i="9"/>
  <c r="L55" i="9"/>
  <c r="K55" i="9"/>
  <c r="L11" i="9"/>
  <c r="K11" i="9"/>
  <c r="K57" i="9"/>
  <c r="L57" i="9"/>
  <c r="K61" i="9"/>
  <c r="L61" i="9"/>
  <c r="K17" i="9" l="1"/>
  <c r="K44" i="9"/>
  <c r="K16" i="9"/>
  <c r="K28" i="9"/>
  <c r="K43" i="9"/>
  <c r="L43" i="9"/>
  <c r="K26" i="9"/>
  <c r="L26" i="9"/>
  <c r="K35" i="9"/>
  <c r="L35" i="9"/>
  <c r="K38" i="9"/>
  <c r="L38" i="9"/>
  <c r="K25" i="9"/>
  <c r="L25" i="9"/>
  <c r="K34" i="9"/>
  <c r="L34" i="9"/>
  <c r="K37" i="9"/>
  <c r="L37" i="9"/>
  <c r="K32" i="9"/>
  <c r="L32" i="9"/>
  <c r="L44" i="9"/>
  <c r="K40" i="9"/>
  <c r="L40" i="9"/>
  <c r="L28" i="9"/>
  <c r="K31" i="9"/>
  <c r="L31" i="9"/>
  <c r="K41" i="9"/>
  <c r="L41" i="9"/>
  <c r="K29" i="9"/>
  <c r="L29" i="9"/>
  <c r="K23" i="9"/>
  <c r="L23" i="9"/>
  <c r="L20" i="9"/>
  <c r="L17" i="9"/>
  <c r="L33" i="9"/>
  <c r="L24" i="9"/>
  <c r="L42" i="9"/>
  <c r="L18" i="9"/>
  <c r="L39" i="9"/>
  <c r="L21" i="9"/>
  <c r="L27" i="9"/>
  <c r="L30" i="9"/>
  <c r="L36" i="9"/>
  <c r="K19" i="9"/>
  <c r="L19" i="9"/>
  <c r="L16" i="9"/>
  <c r="K22" i="9"/>
  <c r="L22" i="9"/>
  <c r="K18" i="9"/>
  <c r="K24" i="9"/>
  <c r="K30" i="9"/>
  <c r="K42" i="9"/>
  <c r="K39" i="9"/>
  <c r="K27" i="9"/>
  <c r="K36" i="9"/>
  <c r="K33" i="9"/>
  <c r="K21" i="9"/>
  <c r="K20" i="9"/>
</calcChain>
</file>

<file path=xl/sharedStrings.xml><?xml version="1.0" encoding="utf-8"?>
<sst xmlns="http://schemas.openxmlformats.org/spreadsheetml/2006/main" count="467" uniqueCount="165">
  <si>
    <t>x</t>
  </si>
  <si>
    <t>y</t>
  </si>
  <si>
    <t>…</t>
  </si>
  <si>
    <t>position x</t>
  </si>
  <si>
    <t>position y</t>
  </si>
  <si>
    <t>p1x=p0x+v0x*t+a0x*t²</t>
  </si>
  <si>
    <t>p1y=p0y+v0y*t+a0y*t²</t>
  </si>
  <si>
    <t>Vitesse x</t>
  </si>
  <si>
    <t>Vitesse Y</t>
  </si>
  <si>
    <t>Accélération x</t>
  </si>
  <si>
    <t>Accélération y</t>
  </si>
  <si>
    <t>=Vx</t>
  </si>
  <si>
    <t>=Vy</t>
  </si>
  <si>
    <t>=Py</t>
  </si>
  <si>
    <t>=Px</t>
  </si>
  <si>
    <t>v1x=v0x+ao*t</t>
  </si>
  <si>
    <t>p1 = nouvelle valeur</t>
  </si>
  <si>
    <t>p0 = ancienne valeur</t>
  </si>
  <si>
    <t>=Ax</t>
  </si>
  <si>
    <t>=Ay</t>
  </si>
  <si>
    <t>pk = corp statique</t>
  </si>
  <si>
    <t>pi= corp en mouvement</t>
  </si>
  <si>
    <t>|norme| = longueur du vecteur</t>
  </si>
  <si>
    <t>mk = masse de la planète</t>
  </si>
  <si>
    <t>ax1</t>
  </si>
  <si>
    <t>ay1</t>
  </si>
  <si>
    <t>ax2</t>
  </si>
  <si>
    <t>ay2</t>
  </si>
  <si>
    <t>ax3</t>
  </si>
  <si>
    <t>ay3</t>
  </si>
  <si>
    <t>valeurs initiales</t>
  </si>
  <si>
    <t>formules</t>
  </si>
  <si>
    <t>position</t>
  </si>
  <si>
    <t>planète 1</t>
  </si>
  <si>
    <t>planète 3</t>
  </si>
  <si>
    <t>planète 2</t>
  </si>
  <si>
    <t>Base de temps</t>
  </si>
  <si>
    <t>Masse</t>
  </si>
  <si>
    <t>Rayon</t>
  </si>
  <si>
    <t>Volume</t>
  </si>
  <si>
    <t>Ax</t>
  </si>
  <si>
    <t>Ay</t>
  </si>
  <si>
    <t>OFF</t>
  </si>
  <si>
    <t>Z</t>
  </si>
  <si>
    <t>Y</t>
  </si>
  <si>
    <t>X</t>
  </si>
  <si>
    <t>Calcul des angles</t>
  </si>
  <si>
    <t>Matrice de Rotation</t>
  </si>
  <si>
    <t>Axes</t>
  </si>
  <si>
    <t>Pitch</t>
  </si>
  <si>
    <t>Dériv X</t>
  </si>
  <si>
    <t>Driv Y</t>
  </si>
  <si>
    <t>ZoomFactor</t>
  </si>
  <si>
    <t>Target</t>
  </si>
  <si>
    <t>Rotation</t>
  </si>
  <si>
    <t>Body1</t>
  </si>
  <si>
    <t>Body2</t>
  </si>
  <si>
    <t>Body3</t>
  </si>
  <si>
    <t>Position x</t>
  </si>
  <si>
    <t>Position y</t>
  </si>
  <si>
    <t>Body4</t>
  </si>
  <si>
    <t>Body5</t>
  </si>
  <si>
    <t>Body6</t>
  </si>
  <si>
    <t>Body7</t>
  </si>
  <si>
    <t>Body8</t>
  </si>
  <si>
    <t>Body9</t>
  </si>
  <si>
    <t>Body10</t>
  </si>
  <si>
    <t>PiY</t>
  </si>
  <si>
    <t>PiX</t>
  </si>
  <si>
    <t>ViX</t>
  </si>
  <si>
    <t>ViY</t>
  </si>
  <si>
    <t>AiX</t>
  </si>
  <si>
    <t>AiY</t>
  </si>
  <si>
    <t>nom</t>
  </si>
  <si>
    <t>indice</t>
  </si>
  <si>
    <t>M/V</t>
  </si>
  <si>
    <t>Activé</t>
  </si>
  <si>
    <t>Aarseth</t>
  </si>
  <si>
    <t>Ratio Aarseth</t>
  </si>
  <si>
    <t>Origine</t>
  </si>
  <si>
    <t>Écran</t>
  </si>
  <si>
    <t>Offset Origine</t>
  </si>
  <si>
    <t>Animation</t>
  </si>
  <si>
    <t>Frame</t>
  </si>
  <si>
    <t>MaxFrame</t>
  </si>
  <si>
    <t>Coordonnées dans l'espace</t>
  </si>
  <si>
    <t>Dériv Y</t>
  </si>
  <si>
    <t>Nom</t>
  </si>
  <si>
    <t>Az</t>
  </si>
  <si>
    <t>Vitesse Z</t>
  </si>
  <si>
    <t>Position z</t>
  </si>
  <si>
    <t>PiZ</t>
  </si>
  <si>
    <t>ViZ</t>
  </si>
  <si>
    <t>AiZ</t>
  </si>
  <si>
    <t>z</t>
  </si>
  <si>
    <t>PlanetScale</t>
  </si>
  <si>
    <t>Vector1</t>
  </si>
  <si>
    <t>Vector2</t>
  </si>
  <si>
    <t>Vector3</t>
  </si>
  <si>
    <t>Vector4</t>
  </si>
  <si>
    <t>Vector5</t>
  </si>
  <si>
    <t>Vector6</t>
  </si>
  <si>
    <t>Vector7</t>
  </si>
  <si>
    <t>Vector8</t>
  </si>
  <si>
    <t>Vector9</t>
  </si>
  <si>
    <t>Vector10</t>
  </si>
  <si>
    <t>Lignes</t>
  </si>
  <si>
    <t>VectorOri</t>
  </si>
  <si>
    <t>SIN</t>
  </si>
  <si>
    <t>COS</t>
  </si>
  <si>
    <t>Paramètres</t>
  </si>
  <si>
    <t>Situation initiale</t>
  </si>
  <si>
    <t>Simulation</t>
  </si>
  <si>
    <t>Sortie de données</t>
  </si>
  <si>
    <t>AutoFocus</t>
  </si>
  <si>
    <t>Sim Réinitialisé</t>
  </si>
  <si>
    <t>Écran Max</t>
  </si>
  <si>
    <t>Liste</t>
  </si>
  <si>
    <t>Acc. X</t>
  </si>
  <si>
    <t>Acc. Y</t>
  </si>
  <si>
    <t>Acc. Z</t>
  </si>
  <si>
    <t>Base de Temps</t>
  </si>
  <si>
    <t>Coordonnées sur le Graphique 3D</t>
  </si>
  <si>
    <t>Graphiques 2D</t>
  </si>
  <si>
    <t>Situation 1 - Soleil/Planète/Lune</t>
  </si>
  <si>
    <t>Situation Aléatoire</t>
  </si>
  <si>
    <t>Position</t>
  </si>
  <si>
    <t>Vitesse</t>
  </si>
  <si>
    <t>Accélération</t>
  </si>
  <si>
    <t>Min</t>
  </si>
  <si>
    <t>Max</t>
  </si>
  <si>
    <t>Situation 2 - Système binaire</t>
  </si>
  <si>
    <t>Situation 3 - Atome</t>
  </si>
  <si>
    <t>Planète Prefab (rayon 1m)</t>
  </si>
  <si>
    <t>Ce Bouton met la simulation sur pause</t>
  </si>
  <si>
    <t>Ce Bouton permet de débuter/reprendre la simulation</t>
  </si>
  <si>
    <t>Ce Bouton réinitialise la simulation</t>
  </si>
  <si>
    <t>Ce Bouton met la vue en plan</t>
  </si>
  <si>
    <t>Ce Bouton permet de Zoom In</t>
  </si>
  <si>
    <t>Ce Bouton permet de Zoom out</t>
  </si>
  <si>
    <t>Situation 1 : Système Soleil / Planète / Lune</t>
  </si>
  <si>
    <t>Situation 2 : Système Binaire</t>
  </si>
  <si>
    <t>Situation 3 : Atome</t>
  </si>
  <si>
    <t>Ce Bouton Permet de focuser sur l'objet sélectionné dans le menu déroulant</t>
  </si>
  <si>
    <t>DefaultZoom</t>
  </si>
  <si>
    <t>Ce Bouton permet de réinitialiser le Zoom</t>
  </si>
  <si>
    <t>- Si un warning s'affiche en utilisant le menu déroulant, svp mettre le même % de zoom sur toute les pages</t>
  </si>
  <si>
    <t>Notes</t>
  </si>
  <si>
    <t>- Les paramètres des situations peuvent être modifiés sur la page "Valeurs Initiales" ou "Situations"</t>
  </si>
  <si>
    <t>Voir le Bas de la page pour plus d'informations sur les fonctionnalités</t>
  </si>
  <si>
    <t>La macro copie les données du range "Situation Initiale" et les colle dans le Range "Sortie de données"</t>
  </si>
  <si>
    <t>Finalement, la macro exécute une boucle infini qui copie les nouvelle valeurs et les colle dans "Sortie de données"</t>
  </si>
  <si>
    <t>Fonctionnement</t>
  </si>
  <si>
    <t xml:space="preserve">Ensuite, des formules dans le range "Simulation" se chargent de faire les calculs nécéssaire à partir des données </t>
  </si>
  <si>
    <t>- Pour tester une situation custom temporaire:</t>
  </si>
  <si>
    <t>Attention, Cliquer une deuxième fois sur le bouton "Situation Custom" va écraser</t>
  </si>
  <si>
    <t>les données dans "Valeurs Initiales"</t>
  </si>
  <si>
    <t>(Pour faire des changements temporaires aux situations, utiliser "Valeurs Initiales")</t>
  </si>
  <si>
    <t>Situation Custom</t>
  </si>
  <si>
    <t>Changer les valeur sur "Valeurs Initiales" et cliquer sur le bouton Reset pour faire apparaitre les changements</t>
  </si>
  <si>
    <t>- Le Menu déroulant permet de focuser sur un objet en particulier ou sur l'origine</t>
  </si>
  <si>
    <t>- Les Body peuvent être activés/désactivés à n'importe quel moment pendant la simulation</t>
  </si>
  <si>
    <t>(Pour faire des changements permanents aux situations de base, utiliser "Situations")</t>
  </si>
  <si>
    <t>- L'option lignes guide donne une représentation de la hauteur relative de chaque objet</t>
  </si>
  <si>
    <t>- Les cellules en gris ne doivent pas être modifiées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</si>
</sst>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6"/>
      <color rgb="FF008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0" fillId="2" borderId="1" xfId="0" quotePrefix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0" xfId="0" applyFill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0" fillId="5" borderId="0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1" xfId="0" applyFill="1" applyBorder="1"/>
    <xf numFmtId="0" fontId="0" fillId="7" borderId="14" xfId="0" applyFill="1" applyBorder="1"/>
    <xf numFmtId="0" fontId="0" fillId="7" borderId="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5" xfId="0" applyFill="1" applyBorder="1"/>
    <xf numFmtId="0" fontId="0" fillId="7" borderId="3" xfId="0" applyFill="1" applyBorder="1"/>
    <xf numFmtId="0" fontId="0" fillId="7" borderId="7" xfId="0" applyFill="1" applyBorder="1"/>
    <xf numFmtId="0" fontId="0" fillId="7" borderId="13" xfId="0" applyFill="1" applyBorder="1"/>
    <xf numFmtId="0" fontId="0" fillId="5" borderId="14" xfId="0" applyFill="1" applyBorder="1"/>
    <xf numFmtId="0" fontId="0" fillId="5" borderId="13" xfId="0" applyFill="1" applyBorder="1"/>
    <xf numFmtId="0" fontId="0" fillId="5" borderId="8" xfId="0" applyFill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quotePrefix="1" applyFill="1" applyBorder="1"/>
    <xf numFmtId="0" fontId="0" fillId="0" borderId="12" xfId="0" applyBorder="1" applyAlignment="1"/>
    <xf numFmtId="0" fontId="0" fillId="7" borderId="5" xfId="0" applyFill="1" applyBorder="1"/>
    <xf numFmtId="0" fontId="0" fillId="4" borderId="1" xfId="0" applyFont="1" applyFill="1" applyBorder="1" applyAlignment="1">
      <alignment horizontal="right"/>
    </xf>
    <xf numFmtId="0" fontId="0" fillId="4" borderId="2" xfId="0" applyFont="1" applyFill="1" applyBorder="1" applyAlignment="1">
      <alignment horizontal="right"/>
    </xf>
    <xf numFmtId="0" fontId="0" fillId="4" borderId="3" xfId="0" applyFon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5" borderId="0" xfId="0" applyFill="1"/>
    <xf numFmtId="0" fontId="0" fillId="5" borderId="0" xfId="0" applyNumberFormat="1" applyFill="1"/>
    <xf numFmtId="0" fontId="0" fillId="10" borderId="0" xfId="0" applyFill="1"/>
    <xf numFmtId="0" fontId="0" fillId="10" borderId="0" xfId="0" applyFill="1" applyBorder="1"/>
    <xf numFmtId="0" fontId="0" fillId="9" borderId="18" xfId="0" applyFill="1" applyBorder="1"/>
    <xf numFmtId="0" fontId="0" fillId="9" borderId="16" xfId="0" applyFill="1" applyBorder="1"/>
    <xf numFmtId="0" fontId="0" fillId="9" borderId="19" xfId="0" applyFill="1" applyBorder="1"/>
    <xf numFmtId="0" fontId="0" fillId="9" borderId="20" xfId="0" applyFill="1" applyBorder="1"/>
    <xf numFmtId="0" fontId="0" fillId="9" borderId="0" xfId="0" applyFill="1" applyBorder="1"/>
    <xf numFmtId="0" fontId="0" fillId="9" borderId="17" xfId="0" applyFill="1" applyBorder="1" applyAlignment="1">
      <alignment horizontal="center" vertical="center"/>
    </xf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9" borderId="0" xfId="0" applyFill="1" applyBorder="1" applyAlignment="1">
      <alignment horizontal="center" vertical="center"/>
    </xf>
    <xf numFmtId="0" fontId="0" fillId="9" borderId="28" xfId="0" applyFill="1" applyBorder="1"/>
    <xf numFmtId="0" fontId="0" fillId="9" borderId="29" xfId="0" applyFill="1" applyBorder="1"/>
    <xf numFmtId="0" fontId="0" fillId="9" borderId="30" xfId="0" applyFill="1" applyBorder="1"/>
    <xf numFmtId="0" fontId="0" fillId="8" borderId="5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8" borderId="5" xfId="0" applyFill="1" applyBorder="1" applyAlignment="1"/>
    <xf numFmtId="0" fontId="0" fillId="8" borderId="6" xfId="0" applyFill="1" applyBorder="1" applyAlignment="1"/>
    <xf numFmtId="0" fontId="0" fillId="8" borderId="7" xfId="0" applyFill="1" applyBorder="1" applyAlignment="1"/>
    <xf numFmtId="0" fontId="0" fillId="8" borderId="8" xfId="0" applyFill="1" applyBorder="1" applyAlignment="1"/>
    <xf numFmtId="0" fontId="0" fillId="0" borderId="0" xfId="0" applyFill="1" applyBorder="1" applyAlignment="1"/>
    <xf numFmtId="0" fontId="0" fillId="8" borderId="4" xfId="0" applyFill="1" applyBorder="1" applyAlignment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0" xfId="0" applyFill="1" applyBorder="1"/>
    <xf numFmtId="0" fontId="0" fillId="8" borderId="0" xfId="0" applyFill="1"/>
    <xf numFmtId="0" fontId="0" fillId="8" borderId="0" xfId="0" applyFill="1" applyBorder="1" applyAlignment="1">
      <alignment horizontal="left"/>
    </xf>
    <xf numFmtId="0" fontId="0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/>
    </xf>
    <xf numFmtId="0" fontId="0" fillId="8" borderId="4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3" xfId="0" applyFill="1" applyBorder="1" applyAlignment="1">
      <alignment horizontal="right"/>
    </xf>
    <xf numFmtId="0" fontId="0" fillId="8" borderId="4" xfId="0" applyFill="1" applyBorder="1" applyAlignment="1">
      <alignment horizontal="right"/>
    </xf>
    <xf numFmtId="0" fontId="0" fillId="8" borderId="4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2" fillId="8" borderId="0" xfId="0" applyFont="1" applyFill="1" applyAlignment="1"/>
    <xf numFmtId="0" fontId="2" fillId="8" borderId="0" xfId="0" applyFont="1" applyFill="1" applyAlignment="1">
      <alignment horizontal="left" indent="6"/>
    </xf>
    <xf numFmtId="0" fontId="0" fillId="8" borderId="0" xfId="0" applyFill="1" applyAlignment="1">
      <alignment horizontal="center"/>
    </xf>
    <xf numFmtId="0" fontId="2" fillId="8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 applyAlignment="1"/>
    <xf numFmtId="0" fontId="2" fillId="8" borderId="0" xfId="0" applyFont="1" applyFill="1" applyAlignment="1">
      <alignment horizontal="left" indent="3"/>
    </xf>
    <xf numFmtId="0" fontId="2" fillId="8" borderId="0" xfId="0" quotePrefix="1" applyFont="1" applyFill="1" applyAlignment="1"/>
    <xf numFmtId="0" fontId="3" fillId="8" borderId="0" xfId="0" quotePrefix="1" applyFont="1" applyFill="1"/>
    <xf numFmtId="0" fontId="0" fillId="0" borderId="0" xfId="0" applyAlignment="1">
      <alignment wrapText="1"/>
    </xf>
    <xf numFmtId="0" fontId="2" fillId="8" borderId="0" xfId="0" quotePrefix="1" applyFont="1" applyFill="1"/>
    <xf numFmtId="0" fontId="3" fillId="8" borderId="0" xfId="0" applyFont="1" applyFill="1" applyAlignment="1">
      <alignment horizontal="left" indent="3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1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0" fontId="2" fillId="8" borderId="0" xfId="0" applyFont="1" applyFill="1" applyAlignment="1">
      <alignment horizontal="left" wrapText="1" indent="1"/>
    </xf>
    <xf numFmtId="0" fontId="4" fillId="8" borderId="0" xfId="0" applyFont="1" applyFill="1" applyAlignment="1">
      <alignment horizontal="left" vertical="center" indent="1"/>
    </xf>
    <xf numFmtId="0" fontId="0" fillId="8" borderId="0" xfId="0" applyFill="1" applyAlignment="1">
      <alignment horizontal="center" wrapText="1"/>
    </xf>
    <xf numFmtId="0" fontId="1" fillId="0" borderId="0" xfId="0" applyFont="1" applyBorder="1" applyAlignment="1">
      <alignment horizontal="center" vertical="center" textRotation="90"/>
    </xf>
    <xf numFmtId="0" fontId="1" fillId="0" borderId="13" xfId="0" applyFont="1" applyBorder="1" applyAlignment="1">
      <alignment horizontal="center" vertical="center" textRotation="90"/>
    </xf>
    <xf numFmtId="0" fontId="1" fillId="0" borderId="12" xfId="0" applyFont="1" applyBorder="1" applyAlignment="1">
      <alignment horizontal="left" vertical="center" textRotation="90"/>
    </xf>
    <xf numFmtId="0" fontId="0" fillId="8" borderId="4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00"/>
      <color rgb="FF9900CC"/>
      <color rgb="FF3333FF"/>
      <color rgb="FF0000FF"/>
      <color rgb="FFF8F8F8"/>
      <color rgb="FFF2F2F2"/>
      <color rgb="FF419FB8"/>
      <color rgb="FFCC0000"/>
      <color rgb="FFFF00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5174149136894E-2"/>
          <c:y val="3.0960479623704958E-2"/>
          <c:w val="0.94296517017262116"/>
          <c:h val="0.93807904075259008"/>
        </c:manualLayout>
      </c:layout>
      <c:scatterChart>
        <c:scatterStyle val="smoothMarker"/>
        <c:varyColors val="0"/>
        <c:ser>
          <c:idx val="1"/>
          <c:order val="0"/>
          <c:tx>
            <c:v>Axes</c:v>
          </c:tx>
          <c:spPr>
            <a:ln w="15875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C1-4D34-853E-DDFBC45566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x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C1-4D34-853E-DDFBC45566B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C1-4D34-853E-DDFBC45566B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C1-4D34-853E-DDFBC45566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C1-4D34-853E-DDFBC45566B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C1-4D34-853E-DDFBC45566B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C1-4D34-853E-DDFBC45566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z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C1-4D34-853E-DDFBC45566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'Calculs 3D'!$K$55:$K$62</c:f>
              <c:numCache>
                <c:formatCode>General</c:formatCode>
                <c:ptCount val="8"/>
                <c:pt idx="0">
                  <c:v>-0.80901699437494745</c:v>
                </c:pt>
                <c:pt idx="1">
                  <c:v>0.80901699437494745</c:v>
                </c:pt>
                <c:pt idx="2">
                  <c:v>0</c:v>
                </c:pt>
                <c:pt idx="3">
                  <c:v>-0.58778525229247314</c:v>
                </c:pt>
                <c:pt idx="4">
                  <c:v>0.58778525229247314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'Calculs 3D'!$L$55:$L$62</c:f>
              <c:numCache>
                <c:formatCode>General</c:formatCode>
                <c:ptCount val="8"/>
                <c:pt idx="0">
                  <c:v>0.36187673560104827</c:v>
                </c:pt>
                <c:pt idx="1">
                  <c:v>-0.36187673560104827</c:v>
                </c:pt>
                <c:pt idx="2">
                  <c:v>0</c:v>
                </c:pt>
                <c:pt idx="3">
                  <c:v>-0.49808059632040996</c:v>
                </c:pt>
                <c:pt idx="4">
                  <c:v>0.49808059632040996</c:v>
                </c:pt>
                <c:pt idx="5">
                  <c:v>0</c:v>
                </c:pt>
                <c:pt idx="6">
                  <c:v>-0.78801075360672201</c:v>
                </c:pt>
                <c:pt idx="7">
                  <c:v>0.78801075360672201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C1-4D34-853E-DDFBC45566B2}"/>
            </c:ext>
          </c:extLst>
        </c:ser>
        <c:ser>
          <c:idx val="0"/>
          <c:order val="1"/>
          <c:tx>
            <c:strRef>
              <c:f>Planètes!$F$3</c:f>
              <c:strCache>
                <c:ptCount val="1"/>
                <c:pt idx="0">
                  <c:v>Body1</c:v>
                </c:pt>
              </c:strCache>
            </c:strRef>
          </c:tx>
          <c:spPr>
            <a:ln w="63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Planètes!$F$6:$F$290</c:f>
              <c:numCache>
                <c:formatCode>General</c:formatCode>
                <c:ptCount val="285"/>
                <c:pt idx="0">
                  <c:v>5.3634710342272629E-2</c:v>
                </c:pt>
                <c:pt idx="1">
                  <c:v>5.4171172180575593E-2</c:v>
                </c:pt>
                <c:pt idx="2">
                  <c:v>5.4356024332190174E-2</c:v>
                </c:pt>
                <c:pt idx="3">
                  <c:v>5.4171172180575614E-2</c:v>
                </c:pt>
                <c:pt idx="4">
                  <c:v>5.3634710342272629E-2</c:v>
                </c:pt>
                <c:pt idx="5">
                  <c:v>5.2799151439763735E-2</c:v>
                </c:pt>
                <c:pt idx="6">
                  <c:v>5.1746285800107684E-2</c:v>
                </c:pt>
                <c:pt idx="7">
                  <c:v>5.0579175247860292E-2</c:v>
                </c:pt>
                <c:pt idx="8">
                  <c:v>4.9412064695612885E-2</c:v>
                </c:pt>
                <c:pt idx="9">
                  <c:v>4.8359199055956828E-2</c:v>
                </c:pt>
                <c:pt idx="10">
                  <c:v>4.7523640153447934E-2</c:v>
                </c:pt>
                <c:pt idx="11">
                  <c:v>4.6987178315144956E-2</c:v>
                </c:pt>
                <c:pt idx="12">
                  <c:v>4.6802326163530382E-2</c:v>
                </c:pt>
                <c:pt idx="13">
                  <c:v>4.6987178315144942E-2</c:v>
                </c:pt>
                <c:pt idx="14">
                  <c:v>4.7523640153447934E-2</c:v>
                </c:pt>
                <c:pt idx="15">
                  <c:v>4.8359199055956835E-2</c:v>
                </c:pt>
                <c:pt idx="16">
                  <c:v>4.9412064695612878E-2</c:v>
                </c:pt>
                <c:pt idx="17">
                  <c:v>5.0579175247860264E-2</c:v>
                </c:pt>
                <c:pt idx="18">
                  <c:v>5.1746285800107671E-2</c:v>
                </c:pt>
                <c:pt idx="19">
                  <c:v>5.2799151439763721E-2</c:v>
                </c:pt>
                <c:pt idx="20">
                  <c:v>5.3634710342272629E-2</c:v>
                </c:pt>
                <c:pt idx="22">
                  <c:v>5.3543044289440254E-2</c:v>
                </c:pt>
                <c:pt idx="23">
                  <c:v>5.4063412272594147E-2</c:v>
                </c:pt>
                <c:pt idx="24">
                  <c:v>5.4242718859660276E-2</c:v>
                </c:pt>
                <c:pt idx="25">
                  <c:v>5.4063412272594147E-2</c:v>
                </c:pt>
                <c:pt idx="26">
                  <c:v>5.3543044289440241E-2</c:v>
                </c:pt>
                <c:pt idx="27">
                  <c:v>5.2732552154006622E-2</c:v>
                </c:pt>
                <c:pt idx="28">
                  <c:v>5.1711272483540238E-2</c:v>
                </c:pt>
                <c:pt idx="29">
                  <c:v>5.0579175247860278E-2</c:v>
                </c:pt>
                <c:pt idx="30">
                  <c:v>4.9447078012180304E-2</c:v>
                </c:pt>
                <c:pt idx="31">
                  <c:v>4.8425798341713934E-2</c:v>
                </c:pt>
                <c:pt idx="32">
                  <c:v>4.7615306206280315E-2</c:v>
                </c:pt>
                <c:pt idx="33">
                  <c:v>4.7094938223126402E-2</c:v>
                </c:pt>
                <c:pt idx="34">
                  <c:v>4.6915631636060287E-2</c:v>
                </c:pt>
                <c:pt idx="35">
                  <c:v>4.7094938223126395E-2</c:v>
                </c:pt>
                <c:pt idx="36">
                  <c:v>4.7615306206280308E-2</c:v>
                </c:pt>
                <c:pt idx="37">
                  <c:v>4.8425798341713948E-2</c:v>
                </c:pt>
                <c:pt idx="38">
                  <c:v>4.9447078012180311E-2</c:v>
                </c:pt>
                <c:pt idx="39">
                  <c:v>5.0579175247860264E-2</c:v>
                </c:pt>
                <c:pt idx="40">
                  <c:v>5.1711272483540259E-2</c:v>
                </c:pt>
                <c:pt idx="41">
                  <c:v>5.2732552154006615E-2</c:v>
                </c:pt>
                <c:pt idx="42">
                  <c:v>5.3543044289440254E-2</c:v>
                </c:pt>
                <c:pt idx="44">
                  <c:v>5.32069354290549E-2</c:v>
                </c:pt>
                <c:pt idx="45">
                  <c:v>5.3668292609995463E-2</c:v>
                </c:pt>
                <c:pt idx="46">
                  <c:v>5.3827265460384001E-2</c:v>
                </c:pt>
                <c:pt idx="47">
                  <c:v>5.3668292609995463E-2</c:v>
                </c:pt>
                <c:pt idx="48">
                  <c:v>5.3206935429054893E-2</c:v>
                </c:pt>
                <c:pt idx="49">
                  <c:v>5.248835477289724E-2</c:v>
                </c:pt>
                <c:pt idx="50">
                  <c:v>5.1582890322793042E-2</c:v>
                </c:pt>
                <c:pt idx="51">
                  <c:v>5.0579175247860285E-2</c:v>
                </c:pt>
                <c:pt idx="52">
                  <c:v>4.9575460172927528E-2</c:v>
                </c:pt>
                <c:pt idx="53">
                  <c:v>4.8669995722823323E-2</c:v>
                </c:pt>
                <c:pt idx="54">
                  <c:v>4.7951415066665663E-2</c:v>
                </c:pt>
                <c:pt idx="55">
                  <c:v>4.7490057885725093E-2</c:v>
                </c:pt>
                <c:pt idx="56">
                  <c:v>4.7331085035336569E-2</c:v>
                </c:pt>
                <c:pt idx="57">
                  <c:v>4.74900578857251E-2</c:v>
                </c:pt>
                <c:pt idx="58">
                  <c:v>4.7951415066665663E-2</c:v>
                </c:pt>
                <c:pt idx="59">
                  <c:v>4.866999572282333E-2</c:v>
                </c:pt>
                <c:pt idx="60">
                  <c:v>4.9575460172927514E-2</c:v>
                </c:pt>
                <c:pt idx="61">
                  <c:v>5.0579175247860278E-2</c:v>
                </c:pt>
                <c:pt idx="62">
                  <c:v>5.1582890322793042E-2</c:v>
                </c:pt>
                <c:pt idx="63">
                  <c:v>5.2488354772897233E-2</c:v>
                </c:pt>
                <c:pt idx="64">
                  <c:v>5.32069354290549E-2</c:v>
                </c:pt>
                <c:pt idx="66">
                  <c:v>5.2595828410172435E-2</c:v>
                </c:pt>
                <c:pt idx="67">
                  <c:v>5.2949893223452393E-2</c:v>
                </c:pt>
                <c:pt idx="68">
                  <c:v>5.3071895643518011E-2</c:v>
                </c:pt>
                <c:pt idx="69">
                  <c:v>5.29498932234524E-2</c:v>
                </c:pt>
                <c:pt idx="70">
                  <c:v>5.2595828410172442E-2</c:v>
                </c:pt>
                <c:pt idx="71">
                  <c:v>5.2044359534516561E-2</c:v>
                </c:pt>
                <c:pt idx="72">
                  <c:v>5.1349468212343576E-2</c:v>
                </c:pt>
                <c:pt idx="73">
                  <c:v>5.0579175247860278E-2</c:v>
                </c:pt>
                <c:pt idx="74">
                  <c:v>4.9808882283376994E-2</c:v>
                </c:pt>
                <c:pt idx="75">
                  <c:v>4.9113990961204015E-2</c:v>
                </c:pt>
                <c:pt idx="76">
                  <c:v>4.8562522085548135E-2</c:v>
                </c:pt>
                <c:pt idx="77">
                  <c:v>4.8208457272268176E-2</c:v>
                </c:pt>
                <c:pt idx="78">
                  <c:v>4.8086454852202538E-2</c:v>
                </c:pt>
                <c:pt idx="79">
                  <c:v>4.8208457272268163E-2</c:v>
                </c:pt>
                <c:pt idx="80">
                  <c:v>4.8562522085548128E-2</c:v>
                </c:pt>
                <c:pt idx="81">
                  <c:v>4.9113990961204008E-2</c:v>
                </c:pt>
                <c:pt idx="82">
                  <c:v>4.9808882283376994E-2</c:v>
                </c:pt>
                <c:pt idx="83">
                  <c:v>5.0579175247860285E-2</c:v>
                </c:pt>
                <c:pt idx="84">
                  <c:v>5.1349468212343555E-2</c:v>
                </c:pt>
                <c:pt idx="85">
                  <c:v>5.2044359534516554E-2</c:v>
                </c:pt>
                <c:pt idx="86">
                  <c:v>5.2595828410172435E-2</c:v>
                </c:pt>
                <c:pt idx="88">
                  <c:v>5.1495835776183989E-2</c:v>
                </c:pt>
                <c:pt idx="89">
                  <c:v>5.1656774327674883E-2</c:v>
                </c:pt>
                <c:pt idx="90">
                  <c:v>5.1712229973159253E-2</c:v>
                </c:pt>
                <c:pt idx="91">
                  <c:v>5.1656774327674876E-2</c:v>
                </c:pt>
                <c:pt idx="92">
                  <c:v>5.1495835776183989E-2</c:v>
                </c:pt>
                <c:pt idx="93">
                  <c:v>5.1245168105431317E-2</c:v>
                </c:pt>
                <c:pt idx="94">
                  <c:v>5.0929308413534512E-2</c:v>
                </c:pt>
                <c:pt idx="95">
                  <c:v>5.0579175247860271E-2</c:v>
                </c:pt>
                <c:pt idx="96">
                  <c:v>5.0229042082186072E-2</c:v>
                </c:pt>
                <c:pt idx="97">
                  <c:v>4.9913182390289246E-2</c:v>
                </c:pt>
                <c:pt idx="98">
                  <c:v>4.9662514719536581E-2</c:v>
                </c:pt>
                <c:pt idx="99">
                  <c:v>4.9501576168045666E-2</c:v>
                </c:pt>
                <c:pt idx="100">
                  <c:v>4.9446120522561303E-2</c:v>
                </c:pt>
                <c:pt idx="101">
                  <c:v>4.9501576168045673E-2</c:v>
                </c:pt>
                <c:pt idx="102">
                  <c:v>4.9662514719536581E-2</c:v>
                </c:pt>
                <c:pt idx="103">
                  <c:v>4.9913182390289239E-2</c:v>
                </c:pt>
                <c:pt idx="104">
                  <c:v>5.0229042082186058E-2</c:v>
                </c:pt>
                <c:pt idx="105">
                  <c:v>5.0579175247860278E-2</c:v>
                </c:pt>
                <c:pt idx="106">
                  <c:v>5.0929308413534484E-2</c:v>
                </c:pt>
                <c:pt idx="107">
                  <c:v>5.1245168105431303E-2</c:v>
                </c:pt>
                <c:pt idx="108">
                  <c:v>5.1495835776183989E-2</c:v>
                </c:pt>
                <c:pt idx="110">
                  <c:v>5.3543044289440254E-2</c:v>
                </c:pt>
                <c:pt idx="111">
                  <c:v>5.4063412272594147E-2</c:v>
                </c:pt>
                <c:pt idx="112">
                  <c:v>5.4242718859660276E-2</c:v>
                </c:pt>
                <c:pt idx="113">
                  <c:v>5.4063412272594147E-2</c:v>
                </c:pt>
                <c:pt idx="114">
                  <c:v>5.3543044289440241E-2</c:v>
                </c:pt>
                <c:pt idx="115">
                  <c:v>5.2732552154006622E-2</c:v>
                </c:pt>
                <c:pt idx="116">
                  <c:v>5.1711272483540238E-2</c:v>
                </c:pt>
                <c:pt idx="117">
                  <c:v>5.0579175247860278E-2</c:v>
                </c:pt>
                <c:pt idx="118">
                  <c:v>4.9447078012180304E-2</c:v>
                </c:pt>
                <c:pt idx="119">
                  <c:v>4.8425798341713934E-2</c:v>
                </c:pt>
                <c:pt idx="120">
                  <c:v>4.7615306206280315E-2</c:v>
                </c:pt>
                <c:pt idx="121">
                  <c:v>4.7094938223126402E-2</c:v>
                </c:pt>
                <c:pt idx="122">
                  <c:v>4.6915631636060287E-2</c:v>
                </c:pt>
                <c:pt idx="123">
                  <c:v>4.7094938223126395E-2</c:v>
                </c:pt>
                <c:pt idx="124">
                  <c:v>4.7615306206280308E-2</c:v>
                </c:pt>
                <c:pt idx="125">
                  <c:v>4.8425798341713948E-2</c:v>
                </c:pt>
                <c:pt idx="126">
                  <c:v>4.9447078012180311E-2</c:v>
                </c:pt>
                <c:pt idx="127">
                  <c:v>5.0579175247860264E-2</c:v>
                </c:pt>
                <c:pt idx="128">
                  <c:v>5.1711272483540259E-2</c:v>
                </c:pt>
                <c:pt idx="129">
                  <c:v>5.2732552154006615E-2</c:v>
                </c:pt>
                <c:pt idx="130">
                  <c:v>5.3543044289440254E-2</c:v>
                </c:pt>
                <c:pt idx="132">
                  <c:v>5.32069354290549E-2</c:v>
                </c:pt>
                <c:pt idx="133">
                  <c:v>5.3668292609995463E-2</c:v>
                </c:pt>
                <c:pt idx="134">
                  <c:v>5.3827265460384001E-2</c:v>
                </c:pt>
                <c:pt idx="135">
                  <c:v>5.3668292609995463E-2</c:v>
                </c:pt>
                <c:pt idx="136">
                  <c:v>5.3206935429054893E-2</c:v>
                </c:pt>
                <c:pt idx="137">
                  <c:v>5.248835477289724E-2</c:v>
                </c:pt>
                <c:pt idx="138">
                  <c:v>5.1582890322793042E-2</c:v>
                </c:pt>
                <c:pt idx="139">
                  <c:v>5.0579175247860285E-2</c:v>
                </c:pt>
                <c:pt idx="140">
                  <c:v>4.9575460172927528E-2</c:v>
                </c:pt>
                <c:pt idx="141">
                  <c:v>4.8669995722823323E-2</c:v>
                </c:pt>
                <c:pt idx="142">
                  <c:v>4.7951415066665663E-2</c:v>
                </c:pt>
                <c:pt idx="143">
                  <c:v>4.7490057885725093E-2</c:v>
                </c:pt>
                <c:pt idx="144">
                  <c:v>4.7331085035336569E-2</c:v>
                </c:pt>
                <c:pt idx="145">
                  <c:v>4.74900578857251E-2</c:v>
                </c:pt>
                <c:pt idx="146">
                  <c:v>4.7951415066665663E-2</c:v>
                </c:pt>
                <c:pt idx="147">
                  <c:v>4.866999572282333E-2</c:v>
                </c:pt>
                <c:pt idx="148">
                  <c:v>4.9575460172927514E-2</c:v>
                </c:pt>
                <c:pt idx="149">
                  <c:v>5.0579175247860278E-2</c:v>
                </c:pt>
                <c:pt idx="150">
                  <c:v>5.1582890322793042E-2</c:v>
                </c:pt>
                <c:pt idx="151">
                  <c:v>5.2488354772897233E-2</c:v>
                </c:pt>
                <c:pt idx="152">
                  <c:v>5.32069354290549E-2</c:v>
                </c:pt>
                <c:pt idx="154">
                  <c:v>5.2595828410172435E-2</c:v>
                </c:pt>
                <c:pt idx="155">
                  <c:v>5.2949893223452393E-2</c:v>
                </c:pt>
                <c:pt idx="156">
                  <c:v>5.3071895643518011E-2</c:v>
                </c:pt>
                <c:pt idx="157">
                  <c:v>5.29498932234524E-2</c:v>
                </c:pt>
                <c:pt idx="158">
                  <c:v>5.2595828410172442E-2</c:v>
                </c:pt>
                <c:pt idx="159">
                  <c:v>5.2044359534516561E-2</c:v>
                </c:pt>
                <c:pt idx="160">
                  <c:v>5.1349468212343576E-2</c:v>
                </c:pt>
                <c:pt idx="161">
                  <c:v>5.0579175247860278E-2</c:v>
                </c:pt>
                <c:pt idx="162">
                  <c:v>4.9808882283376994E-2</c:v>
                </c:pt>
                <c:pt idx="163">
                  <c:v>4.9113990961204015E-2</c:v>
                </c:pt>
                <c:pt idx="164">
                  <c:v>4.8562522085548135E-2</c:v>
                </c:pt>
                <c:pt idx="165">
                  <c:v>4.8208457272268176E-2</c:v>
                </c:pt>
                <c:pt idx="166">
                  <c:v>4.8086454852202538E-2</c:v>
                </c:pt>
                <c:pt idx="167">
                  <c:v>4.8208457272268163E-2</c:v>
                </c:pt>
                <c:pt idx="168">
                  <c:v>4.8562522085548128E-2</c:v>
                </c:pt>
                <c:pt idx="169">
                  <c:v>4.9113990961204008E-2</c:v>
                </c:pt>
                <c:pt idx="170">
                  <c:v>4.9808882283376994E-2</c:v>
                </c:pt>
                <c:pt idx="171">
                  <c:v>5.0579175247860285E-2</c:v>
                </c:pt>
                <c:pt idx="172">
                  <c:v>5.1349468212343555E-2</c:v>
                </c:pt>
                <c:pt idx="173">
                  <c:v>5.2044359534516554E-2</c:v>
                </c:pt>
                <c:pt idx="174">
                  <c:v>5.2595828410172435E-2</c:v>
                </c:pt>
                <c:pt idx="176">
                  <c:v>5.1495835776183989E-2</c:v>
                </c:pt>
                <c:pt idx="177">
                  <c:v>5.1656774327674883E-2</c:v>
                </c:pt>
                <c:pt idx="178">
                  <c:v>5.1712229973159253E-2</c:v>
                </c:pt>
                <c:pt idx="179">
                  <c:v>5.1656774327674876E-2</c:v>
                </c:pt>
                <c:pt idx="180">
                  <c:v>5.1495835776183989E-2</c:v>
                </c:pt>
                <c:pt idx="181">
                  <c:v>5.1245168105431317E-2</c:v>
                </c:pt>
                <c:pt idx="182">
                  <c:v>5.0929308413534512E-2</c:v>
                </c:pt>
                <c:pt idx="183">
                  <c:v>5.0579175247860271E-2</c:v>
                </c:pt>
                <c:pt idx="184">
                  <c:v>5.0229042082186072E-2</c:v>
                </c:pt>
                <c:pt idx="185">
                  <c:v>4.9913182390289246E-2</c:v>
                </c:pt>
                <c:pt idx="186">
                  <c:v>4.9662514719536581E-2</c:v>
                </c:pt>
                <c:pt idx="187">
                  <c:v>4.9501576168045666E-2</c:v>
                </c:pt>
                <c:pt idx="188">
                  <c:v>4.9446120522561303E-2</c:v>
                </c:pt>
                <c:pt idx="189">
                  <c:v>4.9501576168045673E-2</c:v>
                </c:pt>
                <c:pt idx="190">
                  <c:v>4.9662514719536581E-2</c:v>
                </c:pt>
                <c:pt idx="191">
                  <c:v>4.9913182390289239E-2</c:v>
                </c:pt>
                <c:pt idx="192">
                  <c:v>5.0229042082186058E-2</c:v>
                </c:pt>
                <c:pt idx="193">
                  <c:v>5.0579175247860278E-2</c:v>
                </c:pt>
                <c:pt idx="194">
                  <c:v>5.0929308413534484E-2</c:v>
                </c:pt>
                <c:pt idx="195">
                  <c:v>5.1245168105431303E-2</c:v>
                </c:pt>
                <c:pt idx="196">
                  <c:v>5.1495835776183989E-2</c:v>
                </c:pt>
                <c:pt idx="198">
                  <c:v>5.0579175247860285E-2</c:v>
                </c:pt>
                <c:pt idx="199">
                  <c:v>5.1523387518942754E-2</c:v>
                </c:pt>
                <c:pt idx="200">
                  <c:v>5.2375173714217946E-2</c:v>
                </c:pt>
                <c:pt idx="201">
                  <c:v>5.3051155066148929E-2</c:v>
                </c:pt>
                <c:pt idx="202">
                  <c:v>5.3485161810169664E-2</c:v>
                </c:pt>
                <c:pt idx="203">
                  <c:v>5.3634710342272629E-2</c:v>
                </c:pt>
                <c:pt idx="204">
                  <c:v>5.3485161810169664E-2</c:v>
                </c:pt>
                <c:pt idx="205">
                  <c:v>5.3051155066148929E-2</c:v>
                </c:pt>
                <c:pt idx="206">
                  <c:v>5.2375173714217946E-2</c:v>
                </c:pt>
                <c:pt idx="207">
                  <c:v>5.1523387518942754E-2</c:v>
                </c:pt>
                <c:pt idx="208">
                  <c:v>5.0579175247860285E-2</c:v>
                </c:pt>
                <c:pt idx="209">
                  <c:v>4.9634962976777809E-2</c:v>
                </c:pt>
                <c:pt idx="210">
                  <c:v>4.8783176781502624E-2</c:v>
                </c:pt>
                <c:pt idx="211">
                  <c:v>4.8107195429571641E-2</c:v>
                </c:pt>
                <c:pt idx="212">
                  <c:v>4.7673188685550899E-2</c:v>
                </c:pt>
                <c:pt idx="213">
                  <c:v>4.7523640153447934E-2</c:v>
                </c:pt>
                <c:pt idx="214">
                  <c:v>4.7673188685550899E-2</c:v>
                </c:pt>
                <c:pt idx="215">
                  <c:v>4.8107195429571641E-2</c:v>
                </c:pt>
                <c:pt idx="216">
                  <c:v>4.8783176781502624E-2</c:v>
                </c:pt>
                <c:pt idx="217">
                  <c:v>4.9634962976777809E-2</c:v>
                </c:pt>
                <c:pt idx="218">
                  <c:v>5.0579175247860285E-2</c:v>
                </c:pt>
                <c:pt idx="220">
                  <c:v>5.2799151439763735E-2</c:v>
                </c:pt>
                <c:pt idx="221">
                  <c:v>5.269049807119016E-2</c:v>
                </c:pt>
                <c:pt idx="222">
                  <c:v>5.2375173714217953E-2</c:v>
                </c:pt>
                <c:pt idx="223">
                  <c:v>5.188404451390153E-2</c:v>
                </c:pt>
                <c:pt idx="224">
                  <c:v>5.1265185618266214E-2</c:v>
                </c:pt>
                <c:pt idx="225">
                  <c:v>5.0579175247860285E-2</c:v>
                </c:pt>
                <c:pt idx="226">
                  <c:v>4.9893164877454342E-2</c:v>
                </c:pt>
                <c:pt idx="227">
                  <c:v>4.9274305981819026E-2</c:v>
                </c:pt>
                <c:pt idx="228">
                  <c:v>4.8783176781502603E-2</c:v>
                </c:pt>
                <c:pt idx="229">
                  <c:v>4.846785242453041E-2</c:v>
                </c:pt>
                <c:pt idx="230">
                  <c:v>4.8359199055956835E-2</c:v>
                </c:pt>
                <c:pt idx="231">
                  <c:v>4.846785242453041E-2</c:v>
                </c:pt>
                <c:pt idx="232">
                  <c:v>4.8783176781502603E-2</c:v>
                </c:pt>
                <c:pt idx="233">
                  <c:v>4.9274305981819026E-2</c:v>
                </c:pt>
                <c:pt idx="234">
                  <c:v>4.9893164877454342E-2</c:v>
                </c:pt>
                <c:pt idx="235">
                  <c:v>5.0579175247860285E-2</c:v>
                </c:pt>
                <c:pt idx="236">
                  <c:v>5.1265185618266214E-2</c:v>
                </c:pt>
                <c:pt idx="237">
                  <c:v>5.188404451390153E-2</c:v>
                </c:pt>
                <c:pt idx="238">
                  <c:v>5.2375173714217953E-2</c:v>
                </c:pt>
                <c:pt idx="239">
                  <c:v>5.269049807119016E-2</c:v>
                </c:pt>
                <c:pt idx="240">
                  <c:v>5.2799151439763735E-2</c:v>
                </c:pt>
                <c:pt idx="242">
                  <c:v>5.0579175247860285E-2</c:v>
                </c:pt>
                <c:pt idx="243">
                  <c:v>5.1731916732500584E-2</c:v>
                </c:pt>
                <c:pt idx="244">
                  <c:v>5.2771819849002109E-2</c:v>
                </c:pt>
                <c:pt idx="245">
                  <c:v>5.3597091634890612E-2</c:v>
                </c:pt>
                <c:pt idx="246">
                  <c:v>5.4126948737756704E-2</c:v>
                </c:pt>
                <c:pt idx="247">
                  <c:v>5.4309525052640341E-2</c:v>
                </c:pt>
                <c:pt idx="248">
                  <c:v>5.4126948737756704E-2</c:v>
                </c:pt>
                <c:pt idx="249">
                  <c:v>5.3597091634890612E-2</c:v>
                </c:pt>
                <c:pt idx="250">
                  <c:v>5.2771819849002109E-2</c:v>
                </c:pt>
                <c:pt idx="251">
                  <c:v>5.1731916732500584E-2</c:v>
                </c:pt>
                <c:pt idx="252">
                  <c:v>5.0579175247860285E-2</c:v>
                </c:pt>
                <c:pt idx="253">
                  <c:v>4.9426433763219979E-2</c:v>
                </c:pt>
                <c:pt idx="254">
                  <c:v>4.8386530646718461E-2</c:v>
                </c:pt>
                <c:pt idx="255">
                  <c:v>4.7561258860829937E-2</c:v>
                </c:pt>
                <c:pt idx="256">
                  <c:v>4.7031401757963845E-2</c:v>
                </c:pt>
                <c:pt idx="257">
                  <c:v>4.6848825443080222E-2</c:v>
                </c:pt>
                <c:pt idx="258">
                  <c:v>4.7031401757963845E-2</c:v>
                </c:pt>
                <c:pt idx="259">
                  <c:v>4.7561258860829937E-2</c:v>
                </c:pt>
                <c:pt idx="260">
                  <c:v>4.8386530646718461E-2</c:v>
                </c:pt>
                <c:pt idx="261">
                  <c:v>4.9426433763219979E-2</c:v>
                </c:pt>
                <c:pt idx="262">
                  <c:v>5.0579175247860285E-2</c:v>
                </c:pt>
                <c:pt idx="264">
                  <c:v>4.9988345881815444E-2</c:v>
                </c:pt>
                <c:pt idx="265">
                  <c:v>5.00172631292648E-2</c:v>
                </c:pt>
                <c:pt idx="266">
                  <c:v>5.0101184249954238E-2</c:v>
                </c:pt>
                <c:pt idx="267">
                  <c:v>5.0231894459877822E-2</c:v>
                </c:pt>
                <c:pt idx="268">
                  <c:v>5.0396598932976655E-2</c:v>
                </c:pt>
                <c:pt idx="269">
                  <c:v>5.0579175247860285E-2</c:v>
                </c:pt>
                <c:pt idx="270">
                  <c:v>5.0761751562743908E-2</c:v>
                </c:pt>
                <c:pt idx="271">
                  <c:v>5.0926456035842747E-2</c:v>
                </c:pt>
                <c:pt idx="272">
                  <c:v>5.1057166245766311E-2</c:v>
                </c:pt>
                <c:pt idx="273">
                  <c:v>5.1141087366455749E-2</c:v>
                </c:pt>
                <c:pt idx="274">
                  <c:v>5.1170004613905119E-2</c:v>
                </c:pt>
                <c:pt idx="275">
                  <c:v>5.1141087366455749E-2</c:v>
                </c:pt>
                <c:pt idx="276">
                  <c:v>5.1057166245766311E-2</c:v>
                </c:pt>
                <c:pt idx="277">
                  <c:v>5.0926456035842747E-2</c:v>
                </c:pt>
                <c:pt idx="278">
                  <c:v>5.0761751562743908E-2</c:v>
                </c:pt>
                <c:pt idx="279">
                  <c:v>5.0579175247860285E-2</c:v>
                </c:pt>
                <c:pt idx="280">
                  <c:v>5.0396598932976655E-2</c:v>
                </c:pt>
                <c:pt idx="281">
                  <c:v>5.0231894459877822E-2</c:v>
                </c:pt>
                <c:pt idx="282">
                  <c:v>5.0101184249954238E-2</c:v>
                </c:pt>
                <c:pt idx="283">
                  <c:v>5.00172631292648E-2</c:v>
                </c:pt>
                <c:pt idx="284">
                  <c:v>4.9988345881815444E-2</c:v>
                </c:pt>
              </c:numCache>
            </c:numRef>
          </c:xVal>
          <c:yVal>
            <c:numRef>
              <c:f>Planètes!$G$6:$G$290</c:f>
              <c:numCache>
                <c:formatCode>General</c:formatCode>
                <c:ptCount val="285"/>
                <c:pt idx="0">
                  <c:v>0.26258941456327106</c:v>
                </c:pt>
                <c:pt idx="1">
                  <c:v>0.26323762337630141</c:v>
                </c:pt>
                <c:pt idx="2">
                  <c:v>0.26395616838076619</c:v>
                </c:pt>
                <c:pt idx="3">
                  <c:v>0.26467471338523096</c:v>
                </c:pt>
                <c:pt idx="4">
                  <c:v>0.26532292219826131</c:v>
                </c:pt>
                <c:pt idx="5">
                  <c:v>0.26583734362490141</c:v>
                </c:pt>
                <c:pt idx="6">
                  <c:v>0.26616762251172699</c:v>
                </c:pt>
                <c:pt idx="7">
                  <c:v>0.26628142886010708</c:v>
                </c:pt>
                <c:pt idx="8">
                  <c:v>0.26616762251172699</c:v>
                </c:pt>
                <c:pt idx="9">
                  <c:v>0.26583734362490141</c:v>
                </c:pt>
                <c:pt idx="10">
                  <c:v>0.26532292219826131</c:v>
                </c:pt>
                <c:pt idx="11">
                  <c:v>0.26467471338523096</c:v>
                </c:pt>
                <c:pt idx="12">
                  <c:v>0.26395616838076619</c:v>
                </c:pt>
                <c:pt idx="13">
                  <c:v>0.26323762337630141</c:v>
                </c:pt>
                <c:pt idx="14">
                  <c:v>0.26258941456327106</c:v>
                </c:pt>
                <c:pt idx="15">
                  <c:v>0.26207499313663096</c:v>
                </c:pt>
                <c:pt idx="16">
                  <c:v>0.26174471424980544</c:v>
                </c:pt>
                <c:pt idx="17">
                  <c:v>0.26163090790142529</c:v>
                </c:pt>
                <c:pt idx="18">
                  <c:v>0.26174471424980544</c:v>
                </c:pt>
                <c:pt idx="19">
                  <c:v>0.26207499313663096</c:v>
                </c:pt>
                <c:pt idx="20">
                  <c:v>0.26258941456327106</c:v>
                </c:pt>
                <c:pt idx="22">
                  <c:v>0.26337446660109637</c:v>
                </c:pt>
                <c:pt idx="23">
                  <c:v>0.26400322914973579</c:v>
                </c:pt>
                <c:pt idx="24">
                  <c:v>0.26470021780406661</c:v>
                </c:pt>
                <c:pt idx="25">
                  <c:v>0.26539720645839743</c:v>
                </c:pt>
                <c:pt idx="26">
                  <c:v>0.26602596900703684</c:v>
                </c:pt>
                <c:pt idx="27">
                  <c:v>0.26652495779087781</c:v>
                </c:pt>
                <c:pt idx="28">
                  <c:v>0.26684532831109853</c:v>
                </c:pt>
                <c:pt idx="29">
                  <c:v>0.26695572046902727</c:v>
                </c:pt>
                <c:pt idx="30">
                  <c:v>0.26684532831109853</c:v>
                </c:pt>
                <c:pt idx="31">
                  <c:v>0.26652495779087781</c:v>
                </c:pt>
                <c:pt idx="32">
                  <c:v>0.2660259690070369</c:v>
                </c:pt>
                <c:pt idx="33">
                  <c:v>0.26539720645839743</c:v>
                </c:pt>
                <c:pt idx="34">
                  <c:v>0.26470021780406661</c:v>
                </c:pt>
                <c:pt idx="35">
                  <c:v>0.26400322914973579</c:v>
                </c:pt>
                <c:pt idx="36">
                  <c:v>0.26337446660109637</c:v>
                </c:pt>
                <c:pt idx="37">
                  <c:v>0.26287547781725545</c:v>
                </c:pt>
                <c:pt idx="38">
                  <c:v>0.26255510729703468</c:v>
                </c:pt>
                <c:pt idx="39">
                  <c:v>0.26244471513910594</c:v>
                </c:pt>
                <c:pt idx="40">
                  <c:v>0.26255510729703468</c:v>
                </c:pt>
                <c:pt idx="41">
                  <c:v>0.26287547781725545</c:v>
                </c:pt>
                <c:pt idx="42">
                  <c:v>0.26337446660109637</c:v>
                </c:pt>
                <c:pt idx="44">
                  <c:v>0.26426885894432117</c:v>
                </c:pt>
                <c:pt idx="45">
                  <c:v>0.26482631852352734</c:v>
                </c:pt>
                <c:pt idx="46">
                  <c:v>0.26544426722736703</c:v>
                </c:pt>
                <c:pt idx="47">
                  <c:v>0.26606221593120671</c:v>
                </c:pt>
                <c:pt idx="48">
                  <c:v>0.26661967551041277</c:v>
                </c:pt>
                <c:pt idx="49">
                  <c:v>0.26706207793732328</c:v>
                </c:pt>
                <c:pt idx="50">
                  <c:v>0.26734611777999329</c:v>
                </c:pt>
                <c:pt idx="51">
                  <c:v>0.26744399123960017</c:v>
                </c:pt>
                <c:pt idx="52">
                  <c:v>0.26734611777999329</c:v>
                </c:pt>
                <c:pt idx="53">
                  <c:v>0.26706207793732328</c:v>
                </c:pt>
                <c:pt idx="54">
                  <c:v>0.26661967551041277</c:v>
                </c:pt>
                <c:pt idx="55">
                  <c:v>0.26606221593120671</c:v>
                </c:pt>
                <c:pt idx="56">
                  <c:v>0.26544426722736703</c:v>
                </c:pt>
                <c:pt idx="57">
                  <c:v>0.26482631852352728</c:v>
                </c:pt>
                <c:pt idx="58">
                  <c:v>0.26426885894432123</c:v>
                </c:pt>
                <c:pt idx="59">
                  <c:v>0.26382645651741071</c:v>
                </c:pt>
                <c:pt idx="60">
                  <c:v>0.26354241667474076</c:v>
                </c:pt>
                <c:pt idx="61">
                  <c:v>0.26344454321513383</c:v>
                </c:pt>
                <c:pt idx="62">
                  <c:v>0.26354241667474076</c:v>
                </c:pt>
                <c:pt idx="63">
                  <c:v>0.26382645651741071</c:v>
                </c:pt>
                <c:pt idx="64">
                  <c:v>0.26426885894432117</c:v>
                </c:pt>
                <c:pt idx="66">
                  <c:v>0.26528625913112064</c:v>
                </c:pt>
                <c:pt idx="67">
                  <c:v>0.26571407694772065</c:v>
                </c:pt>
                <c:pt idx="68">
                  <c:v>0.26618831665066744</c:v>
                </c:pt>
                <c:pt idx="69">
                  <c:v>0.26666255635361419</c:v>
                </c:pt>
                <c:pt idx="70">
                  <c:v>0.2670903741702142</c:v>
                </c:pt>
                <c:pt idx="71">
                  <c:v>0.2674298923117967</c:v>
                </c:pt>
                <c:pt idx="72">
                  <c:v>0.26764787637710152</c:v>
                </c:pt>
                <c:pt idx="73">
                  <c:v>0.26772298856703242</c:v>
                </c:pt>
                <c:pt idx="74">
                  <c:v>0.26764787637710152</c:v>
                </c:pt>
                <c:pt idx="75">
                  <c:v>0.2674298923117967</c:v>
                </c:pt>
                <c:pt idx="76">
                  <c:v>0.2670903741702142</c:v>
                </c:pt>
                <c:pt idx="77">
                  <c:v>0.26666255635361419</c:v>
                </c:pt>
                <c:pt idx="78">
                  <c:v>0.26618831665066744</c:v>
                </c:pt>
                <c:pt idx="79">
                  <c:v>0.26571407694772065</c:v>
                </c:pt>
                <c:pt idx="80">
                  <c:v>0.26528625913112064</c:v>
                </c:pt>
                <c:pt idx="81">
                  <c:v>0.26494674098953819</c:v>
                </c:pt>
                <c:pt idx="82">
                  <c:v>0.26472875692423331</c:v>
                </c:pt>
                <c:pt idx="83">
                  <c:v>0.26465364473430242</c:v>
                </c:pt>
                <c:pt idx="84">
                  <c:v>0.26472875692423331</c:v>
                </c:pt>
                <c:pt idx="85">
                  <c:v>0.26494674098953819</c:v>
                </c:pt>
                <c:pt idx="86">
                  <c:v>0.26528625913112064</c:v>
                </c:pt>
                <c:pt idx="88">
                  <c:v>0.26637353004405923</c:v>
                </c:pt>
                <c:pt idx="89">
                  <c:v>0.26656799268796838</c:v>
                </c:pt>
                <c:pt idx="90">
                  <c:v>0.26678355618930777</c:v>
                </c:pt>
                <c:pt idx="91">
                  <c:v>0.26699911969064721</c:v>
                </c:pt>
                <c:pt idx="92">
                  <c:v>0.26719358233455631</c:v>
                </c:pt>
                <c:pt idx="93">
                  <c:v>0.26734790876254833</c:v>
                </c:pt>
                <c:pt idx="94">
                  <c:v>0.26744699242859604</c:v>
                </c:pt>
                <c:pt idx="95">
                  <c:v>0.26748113433311005</c:v>
                </c:pt>
                <c:pt idx="96">
                  <c:v>0.26744699242859604</c:v>
                </c:pt>
                <c:pt idx="97">
                  <c:v>0.26734790876254833</c:v>
                </c:pt>
                <c:pt idx="98">
                  <c:v>0.26719358233455631</c:v>
                </c:pt>
                <c:pt idx="99">
                  <c:v>0.26699911969064721</c:v>
                </c:pt>
                <c:pt idx="100">
                  <c:v>0.26678355618930777</c:v>
                </c:pt>
                <c:pt idx="101">
                  <c:v>0.26656799268796832</c:v>
                </c:pt>
                <c:pt idx="102">
                  <c:v>0.26637353004405923</c:v>
                </c:pt>
                <c:pt idx="103">
                  <c:v>0.26621920361606721</c:v>
                </c:pt>
                <c:pt idx="104">
                  <c:v>0.26612011995001955</c:v>
                </c:pt>
                <c:pt idx="105">
                  <c:v>0.26608597804550549</c:v>
                </c:pt>
                <c:pt idx="106">
                  <c:v>0.26612011995001955</c:v>
                </c:pt>
                <c:pt idx="107">
                  <c:v>0.26621920361606721</c:v>
                </c:pt>
                <c:pt idx="108">
                  <c:v>0.26637353004405923</c:v>
                </c:pt>
                <c:pt idx="110">
                  <c:v>0.26188636775449553</c:v>
                </c:pt>
                <c:pt idx="111">
                  <c:v>0.26251513030313495</c:v>
                </c:pt>
                <c:pt idx="112">
                  <c:v>0.26321211895746577</c:v>
                </c:pt>
                <c:pt idx="113">
                  <c:v>0.26390910761179659</c:v>
                </c:pt>
                <c:pt idx="114">
                  <c:v>0.26453787016043601</c:v>
                </c:pt>
                <c:pt idx="115">
                  <c:v>0.26503685894427698</c:v>
                </c:pt>
                <c:pt idx="116">
                  <c:v>0.26535722946449769</c:v>
                </c:pt>
                <c:pt idx="117">
                  <c:v>0.26546762162242643</c:v>
                </c:pt>
                <c:pt idx="118">
                  <c:v>0.26535722946449769</c:v>
                </c:pt>
                <c:pt idx="119">
                  <c:v>0.26503685894427698</c:v>
                </c:pt>
                <c:pt idx="120">
                  <c:v>0.26453787016043606</c:v>
                </c:pt>
                <c:pt idx="121">
                  <c:v>0.26390910761179659</c:v>
                </c:pt>
                <c:pt idx="122">
                  <c:v>0.26321211895746577</c:v>
                </c:pt>
                <c:pt idx="123">
                  <c:v>0.26251513030313495</c:v>
                </c:pt>
                <c:pt idx="124">
                  <c:v>0.26188636775449553</c:v>
                </c:pt>
                <c:pt idx="125">
                  <c:v>0.26138737897065462</c:v>
                </c:pt>
                <c:pt idx="126">
                  <c:v>0.26106700845043385</c:v>
                </c:pt>
                <c:pt idx="127">
                  <c:v>0.26095661629250511</c:v>
                </c:pt>
                <c:pt idx="128">
                  <c:v>0.26106700845043385</c:v>
                </c:pt>
                <c:pt idx="129">
                  <c:v>0.26138737897065462</c:v>
                </c:pt>
                <c:pt idx="130">
                  <c:v>0.26188636775449553</c:v>
                </c:pt>
                <c:pt idx="132">
                  <c:v>0.26129266125111955</c:v>
                </c:pt>
                <c:pt idx="133">
                  <c:v>0.26185012083032566</c:v>
                </c:pt>
                <c:pt idx="134">
                  <c:v>0.26246806953416535</c:v>
                </c:pt>
                <c:pt idx="135">
                  <c:v>0.26308601823800504</c:v>
                </c:pt>
                <c:pt idx="136">
                  <c:v>0.26364347781721115</c:v>
                </c:pt>
                <c:pt idx="137">
                  <c:v>0.26408588024412166</c:v>
                </c:pt>
                <c:pt idx="138">
                  <c:v>0.26436992008679161</c:v>
                </c:pt>
                <c:pt idx="139">
                  <c:v>0.26446779354639854</c:v>
                </c:pt>
                <c:pt idx="140">
                  <c:v>0.26436992008679161</c:v>
                </c:pt>
                <c:pt idx="141">
                  <c:v>0.26408588024412166</c:v>
                </c:pt>
                <c:pt idx="142">
                  <c:v>0.26364347781721115</c:v>
                </c:pt>
                <c:pt idx="143">
                  <c:v>0.26308601823800504</c:v>
                </c:pt>
                <c:pt idx="144">
                  <c:v>0.26246806953416535</c:v>
                </c:pt>
                <c:pt idx="145">
                  <c:v>0.26185012083032566</c:v>
                </c:pt>
                <c:pt idx="146">
                  <c:v>0.26129266125111955</c:v>
                </c:pt>
                <c:pt idx="147">
                  <c:v>0.26085025882420909</c:v>
                </c:pt>
                <c:pt idx="148">
                  <c:v>0.26056621898153909</c:v>
                </c:pt>
                <c:pt idx="149">
                  <c:v>0.26046834552193221</c:v>
                </c:pt>
                <c:pt idx="150">
                  <c:v>0.26056621898153909</c:v>
                </c:pt>
                <c:pt idx="151">
                  <c:v>0.26085025882420904</c:v>
                </c:pt>
                <c:pt idx="152">
                  <c:v>0.26129266125111955</c:v>
                </c:pt>
                <c:pt idx="154">
                  <c:v>0.26082196259131818</c:v>
                </c:pt>
                <c:pt idx="155">
                  <c:v>0.26124978040791824</c:v>
                </c:pt>
                <c:pt idx="156">
                  <c:v>0.26172402011086493</c:v>
                </c:pt>
                <c:pt idx="157">
                  <c:v>0.26219825981381173</c:v>
                </c:pt>
                <c:pt idx="158">
                  <c:v>0.26262607763041174</c:v>
                </c:pt>
                <c:pt idx="159">
                  <c:v>0.26296559577199419</c:v>
                </c:pt>
                <c:pt idx="160">
                  <c:v>0.26318357983729906</c:v>
                </c:pt>
                <c:pt idx="161">
                  <c:v>0.26325869202722996</c:v>
                </c:pt>
                <c:pt idx="162">
                  <c:v>0.26318357983729906</c:v>
                </c:pt>
                <c:pt idx="163">
                  <c:v>0.26296559577199419</c:v>
                </c:pt>
                <c:pt idx="164">
                  <c:v>0.26262607763041174</c:v>
                </c:pt>
                <c:pt idx="165">
                  <c:v>0.26219825981381173</c:v>
                </c:pt>
                <c:pt idx="166">
                  <c:v>0.26172402011086493</c:v>
                </c:pt>
                <c:pt idx="167">
                  <c:v>0.26124978040791824</c:v>
                </c:pt>
                <c:pt idx="168">
                  <c:v>0.26082196259131818</c:v>
                </c:pt>
                <c:pt idx="169">
                  <c:v>0.26048244444973573</c:v>
                </c:pt>
                <c:pt idx="170">
                  <c:v>0.26026446038443085</c:v>
                </c:pt>
                <c:pt idx="171">
                  <c:v>0.26018934819449996</c:v>
                </c:pt>
                <c:pt idx="172">
                  <c:v>0.26026446038443085</c:v>
                </c:pt>
                <c:pt idx="173">
                  <c:v>0.26048244444973573</c:v>
                </c:pt>
                <c:pt idx="174">
                  <c:v>0.26082196259131818</c:v>
                </c:pt>
                <c:pt idx="176">
                  <c:v>0.26071875442697606</c:v>
                </c:pt>
                <c:pt idx="177">
                  <c:v>0.26091321707088522</c:v>
                </c:pt>
                <c:pt idx="178">
                  <c:v>0.26112878057222461</c:v>
                </c:pt>
                <c:pt idx="179">
                  <c:v>0.26134434407356405</c:v>
                </c:pt>
                <c:pt idx="180">
                  <c:v>0.26153880671747315</c:v>
                </c:pt>
                <c:pt idx="181">
                  <c:v>0.26169313314546516</c:v>
                </c:pt>
                <c:pt idx="182">
                  <c:v>0.26179221681151288</c:v>
                </c:pt>
                <c:pt idx="183">
                  <c:v>0.26182635871602689</c:v>
                </c:pt>
                <c:pt idx="184">
                  <c:v>0.26179221681151288</c:v>
                </c:pt>
                <c:pt idx="185">
                  <c:v>0.26169313314546516</c:v>
                </c:pt>
                <c:pt idx="186">
                  <c:v>0.26153880671747315</c:v>
                </c:pt>
                <c:pt idx="187">
                  <c:v>0.26134434407356405</c:v>
                </c:pt>
                <c:pt idx="188">
                  <c:v>0.26112878057222461</c:v>
                </c:pt>
                <c:pt idx="189">
                  <c:v>0.26091321707088516</c:v>
                </c:pt>
                <c:pt idx="190">
                  <c:v>0.26071875442697606</c:v>
                </c:pt>
                <c:pt idx="191">
                  <c:v>0.26056442799898405</c:v>
                </c:pt>
                <c:pt idx="192">
                  <c:v>0.26046534433293639</c:v>
                </c:pt>
                <c:pt idx="193">
                  <c:v>0.26043120242842233</c:v>
                </c:pt>
                <c:pt idx="194">
                  <c:v>0.26046534433293639</c:v>
                </c:pt>
                <c:pt idx="195">
                  <c:v>0.26056442799898405</c:v>
                </c:pt>
                <c:pt idx="196">
                  <c:v>0.26071875442697606</c:v>
                </c:pt>
                <c:pt idx="198">
                  <c:v>0.26693236607396786</c:v>
                </c:pt>
                <c:pt idx="199">
                  <c:v>0.26636435043393542</c:v>
                </c:pt>
                <c:pt idx="200">
                  <c:v>0.26556060515574775</c:v>
                </c:pt>
                <c:pt idx="201">
                  <c:v>0.26459980642725661</c:v>
                </c:pt>
                <c:pt idx="202">
                  <c:v>0.26357600392228497</c:v>
                </c:pt>
                <c:pt idx="203">
                  <c:v>0.26258941456327106</c:v>
                </c:pt>
                <c:pt idx="204">
                  <c:v>0.26173661259064734</c:v>
                </c:pt>
                <c:pt idx="205">
                  <c:v>0.26110107620331502</c:v>
                </c:pt>
                <c:pt idx="206">
                  <c:v>0.2607450161309085</c:v>
                </c:pt>
                <c:pt idx="207">
                  <c:v>0.26070328601413134</c:v>
                </c:pt>
                <c:pt idx="208">
                  <c:v>0.26097997068756451</c:v>
                </c:pt>
                <c:pt idx="209">
                  <c:v>0.26154798632759696</c:v>
                </c:pt>
                <c:pt idx="210">
                  <c:v>0.26235173160578462</c:v>
                </c:pt>
                <c:pt idx="211">
                  <c:v>0.26331253033427576</c:v>
                </c:pt>
                <c:pt idx="212">
                  <c:v>0.26433633283924735</c:v>
                </c:pt>
                <c:pt idx="213">
                  <c:v>0.26532292219826131</c:v>
                </c:pt>
                <c:pt idx="214">
                  <c:v>0.26617572417088498</c:v>
                </c:pt>
                <c:pt idx="215">
                  <c:v>0.26681126055821736</c:v>
                </c:pt>
                <c:pt idx="216">
                  <c:v>0.26716732063062387</c:v>
                </c:pt>
                <c:pt idx="217">
                  <c:v>0.26720905074740103</c:v>
                </c:pt>
                <c:pt idx="218">
                  <c:v>0.26693236607396786</c:v>
                </c:pt>
                <c:pt idx="220">
                  <c:v>0.26583734362490141</c:v>
                </c:pt>
                <c:pt idx="221">
                  <c:v>0.26666496802081296</c:v>
                </c:pt>
                <c:pt idx="222">
                  <c:v>0.26722743623463985</c:v>
                </c:pt>
                <c:pt idx="223">
                  <c:v>0.26746968995866621</c:v>
                </c:pt>
                <c:pt idx="224">
                  <c:v>0.26736801571050345</c:v>
                </c:pt>
                <c:pt idx="225">
                  <c:v>0.26693236607396786</c:v>
                </c:pt>
                <c:pt idx="226">
                  <c:v>0.266205385470833</c:v>
                </c:pt>
                <c:pt idx="227">
                  <c:v>0.26525823582770547</c:v>
                </c:pt>
                <c:pt idx="228">
                  <c:v>0.26418363075083412</c:v>
                </c:pt>
                <c:pt idx="229">
                  <c:v>0.2630867600723571</c:v>
                </c:pt>
                <c:pt idx="230">
                  <c:v>0.26207499313663096</c:v>
                </c:pt>
                <c:pt idx="231">
                  <c:v>0.26124736874071941</c:v>
                </c:pt>
                <c:pt idx="232">
                  <c:v>0.26068490052689253</c:v>
                </c:pt>
                <c:pt idx="233">
                  <c:v>0.26044264680286616</c:v>
                </c:pt>
                <c:pt idx="234">
                  <c:v>0.26054432105102893</c:v>
                </c:pt>
                <c:pt idx="235">
                  <c:v>0.26097997068756451</c:v>
                </c:pt>
                <c:pt idx="236">
                  <c:v>0.26170695129069937</c:v>
                </c:pt>
                <c:pt idx="237">
                  <c:v>0.26265410093382691</c:v>
                </c:pt>
                <c:pt idx="238">
                  <c:v>0.2637287060106982</c:v>
                </c:pt>
                <c:pt idx="239">
                  <c:v>0.26482557668917528</c:v>
                </c:pt>
                <c:pt idx="240">
                  <c:v>0.26583734362490141</c:v>
                </c:pt>
                <c:pt idx="242">
                  <c:v>0.26693236607396786</c:v>
                </c:pt>
                <c:pt idx="243">
                  <c:v>0.26689910579404902</c:v>
                </c:pt>
                <c:pt idx="244">
                  <c:v>0.26657777029546736</c:v>
                </c:pt>
                <c:pt idx="245">
                  <c:v>0.26599981413570023</c:v>
                </c:pt>
                <c:pt idx="246">
                  <c:v>0.26522181169052284</c:v>
                </c:pt>
                <c:pt idx="247">
                  <c:v>0.26431991925993109</c:v>
                </c:pt>
                <c:pt idx="248">
                  <c:v>0.26338242035888521</c:v>
                </c:pt>
                <c:pt idx="249">
                  <c:v>0.26250108391175864</c:v>
                </c:pt>
                <c:pt idx="250">
                  <c:v>0.26176218127062811</c:v>
                </c:pt>
                <c:pt idx="251">
                  <c:v>0.26123804137424494</c:v>
                </c:pt>
                <c:pt idx="252">
                  <c:v>0.26097997068756451</c:v>
                </c:pt>
                <c:pt idx="253">
                  <c:v>0.26101323096748341</c:v>
                </c:pt>
                <c:pt idx="254">
                  <c:v>0.26133456646606501</c:v>
                </c:pt>
                <c:pt idx="255">
                  <c:v>0.26191252262583214</c:v>
                </c:pt>
                <c:pt idx="256">
                  <c:v>0.26269052507100948</c:v>
                </c:pt>
                <c:pt idx="257">
                  <c:v>0.26359241750160134</c:v>
                </c:pt>
                <c:pt idx="258">
                  <c:v>0.26452991640264717</c:v>
                </c:pt>
                <c:pt idx="259">
                  <c:v>0.26541125284977374</c:v>
                </c:pt>
                <c:pt idx="260">
                  <c:v>0.26615015549090432</c:v>
                </c:pt>
                <c:pt idx="261">
                  <c:v>0.26667429538728749</c:v>
                </c:pt>
                <c:pt idx="262">
                  <c:v>0.26693236607396786</c:v>
                </c:pt>
                <c:pt idx="264">
                  <c:v>0.26625280104505789</c:v>
                </c:pt>
                <c:pt idx="265">
                  <c:v>0.26706009150749588</c:v>
                </c:pt>
                <c:pt idx="266">
                  <c:v>0.26756354834798557</c:v>
                </c:pt>
                <c:pt idx="267">
                  <c:v>0.26771388970318966</c:v>
                </c:pt>
                <c:pt idx="268">
                  <c:v>0.26749639911377099</c:v>
                </c:pt>
                <c:pt idx="269">
                  <c:v>0.26693236607396786</c:v>
                </c:pt>
                <c:pt idx="270">
                  <c:v>0.26607700206756546</c:v>
                </c:pt>
                <c:pt idx="271">
                  <c:v>0.26501403608318203</c:v>
                </c:pt>
                <c:pt idx="272">
                  <c:v>0.2638475186374884</c:v>
                </c:pt>
                <c:pt idx="273">
                  <c:v>0.26269163658567413</c:v>
                </c:pt>
                <c:pt idx="274">
                  <c:v>0.26165953571647449</c:v>
                </c:pt>
                <c:pt idx="275">
                  <c:v>0.26085224525403644</c:v>
                </c:pt>
                <c:pt idx="276">
                  <c:v>0.26034878841354681</c:v>
                </c:pt>
                <c:pt idx="277">
                  <c:v>0.26019844705834272</c:v>
                </c:pt>
                <c:pt idx="278">
                  <c:v>0.26041593764776139</c:v>
                </c:pt>
                <c:pt idx="279">
                  <c:v>0.26097997068756451</c:v>
                </c:pt>
                <c:pt idx="280">
                  <c:v>0.26183533469396691</c:v>
                </c:pt>
                <c:pt idx="281">
                  <c:v>0.26289830067835035</c:v>
                </c:pt>
                <c:pt idx="282">
                  <c:v>0.26406481812404398</c:v>
                </c:pt>
                <c:pt idx="283">
                  <c:v>0.26522070017585825</c:v>
                </c:pt>
                <c:pt idx="284">
                  <c:v>0.26625280104505789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DC1-4D34-853E-DDFBC45566B2}"/>
            </c:ext>
          </c:extLst>
        </c:ser>
        <c:ser>
          <c:idx val="2"/>
          <c:order val="2"/>
          <c:tx>
            <c:strRef>
              <c:f>Planètes!$H$3</c:f>
              <c:strCache>
                <c:ptCount val="1"/>
                <c:pt idx="0">
                  <c:v>Body2</c:v>
                </c:pt>
              </c:strCache>
            </c:strRef>
          </c:tx>
          <c:spPr>
            <a:ln w="6350">
              <a:solidFill>
                <a:srgbClr val="008000"/>
              </a:solidFill>
            </a:ln>
          </c:spPr>
          <c:marker>
            <c:symbol val="none"/>
          </c:marker>
          <c:xVal>
            <c:numRef>
              <c:f>Planètes!$H$6:$H$290</c:f>
              <c:numCache>
                <c:formatCode>General</c:formatCode>
                <c:ptCount val="285"/>
                <c:pt idx="0">
                  <c:v>3.7158282606028138E-2</c:v>
                </c:pt>
                <c:pt idx="1">
                  <c:v>3.924934456739463E-2</c:v>
                </c:pt>
                <c:pt idx="2">
                  <c:v>3.9969875414361714E-2</c:v>
                </c:pt>
                <c:pt idx="3">
                  <c:v>3.9249344567394637E-2</c:v>
                </c:pt>
                <c:pt idx="4">
                  <c:v>3.7158282606028138E-2</c:v>
                </c:pt>
                <c:pt idx="5">
                  <c:v>3.390137724432616E-2</c:v>
                </c:pt>
                <c:pt idx="6">
                  <c:v>2.9797437071286084E-2</c:v>
                </c:pt>
                <c:pt idx="7">
                  <c:v>2.5248184344877592E-2</c:v>
                </c:pt>
                <c:pt idx="8">
                  <c:v>2.0698931618469103E-2</c:v>
                </c:pt>
                <c:pt idx="9">
                  <c:v>1.6594991445429016E-2</c:v>
                </c:pt>
                <c:pt idx="10">
                  <c:v>1.3338086083727042E-2</c:v>
                </c:pt>
                <c:pt idx="11">
                  <c:v>1.1247024122360543E-2</c:v>
                </c:pt>
                <c:pt idx="12">
                  <c:v>1.0526493275393466E-2</c:v>
                </c:pt>
                <c:pt idx="13">
                  <c:v>1.1247024122360543E-2</c:v>
                </c:pt>
                <c:pt idx="14">
                  <c:v>1.3338086083727038E-2</c:v>
                </c:pt>
                <c:pt idx="15">
                  <c:v>1.659499144542901E-2</c:v>
                </c:pt>
                <c:pt idx="16">
                  <c:v>2.0698931618469096E-2</c:v>
                </c:pt>
                <c:pt idx="17">
                  <c:v>2.5248184344877585E-2</c:v>
                </c:pt>
                <c:pt idx="18">
                  <c:v>2.9797437071286081E-2</c:v>
                </c:pt>
                <c:pt idx="19">
                  <c:v>3.390137724432616E-2</c:v>
                </c:pt>
                <c:pt idx="20">
                  <c:v>3.7158282606028131E-2</c:v>
                </c:pt>
                <c:pt idx="22">
                  <c:v>3.6800979658193615E-2</c:v>
                </c:pt>
                <c:pt idx="23">
                  <c:v>3.8829309760719119E-2</c:v>
                </c:pt>
                <c:pt idx="24">
                  <c:v>3.9528224682277194E-2</c:v>
                </c:pt>
                <c:pt idx="25">
                  <c:v>3.8829309760719126E-2</c:v>
                </c:pt>
                <c:pt idx="26">
                  <c:v>3.6800979658193622E-2</c:v>
                </c:pt>
                <c:pt idx="27">
                  <c:v>3.3641781457342701E-2</c:v>
                </c:pt>
                <c:pt idx="28">
                  <c:v>2.9660959489493828E-2</c:v>
                </c:pt>
                <c:pt idx="29">
                  <c:v>2.5248184344877592E-2</c:v>
                </c:pt>
                <c:pt idx="30">
                  <c:v>2.0835409200261355E-2</c:v>
                </c:pt>
                <c:pt idx="31">
                  <c:v>1.6854587232412472E-2</c:v>
                </c:pt>
                <c:pt idx="32">
                  <c:v>1.3695389031561558E-2</c:v>
                </c:pt>
                <c:pt idx="33">
                  <c:v>1.1667058929036054E-2</c:v>
                </c:pt>
                <c:pt idx="34">
                  <c:v>1.096814400747799E-2</c:v>
                </c:pt>
                <c:pt idx="35">
                  <c:v>1.1667058929036057E-2</c:v>
                </c:pt>
                <c:pt idx="36">
                  <c:v>1.3695389031561554E-2</c:v>
                </c:pt>
                <c:pt idx="37">
                  <c:v>1.6854587232412468E-2</c:v>
                </c:pt>
                <c:pt idx="38">
                  <c:v>2.0835409200261352E-2</c:v>
                </c:pt>
                <c:pt idx="39">
                  <c:v>2.5248184344877588E-2</c:v>
                </c:pt>
                <c:pt idx="40">
                  <c:v>2.9660959489493821E-2</c:v>
                </c:pt>
                <c:pt idx="41">
                  <c:v>3.3641781457342701E-2</c:v>
                </c:pt>
                <c:pt idx="42">
                  <c:v>3.6800979658193615E-2</c:v>
                </c:pt>
                <c:pt idx="44">
                  <c:v>3.5490868849467061E-2</c:v>
                </c:pt>
                <c:pt idx="45">
                  <c:v>3.7289182136242244E-2</c:v>
                </c:pt>
                <c:pt idx="46">
                  <c:v>3.7908838664633938E-2</c:v>
                </c:pt>
                <c:pt idx="47">
                  <c:v>3.7289182136242251E-2</c:v>
                </c:pt>
                <c:pt idx="48">
                  <c:v>3.5490868849467061E-2</c:v>
                </c:pt>
                <c:pt idx="49">
                  <c:v>3.2689930238403359E-2</c:v>
                </c:pt>
                <c:pt idx="50">
                  <c:v>2.9160541689588891E-2</c:v>
                </c:pt>
                <c:pt idx="51">
                  <c:v>2.5248184344877592E-2</c:v>
                </c:pt>
                <c:pt idx="52">
                  <c:v>2.1335827000166292E-2</c:v>
                </c:pt>
                <c:pt idx="53">
                  <c:v>1.7806438451351818E-2</c:v>
                </c:pt>
                <c:pt idx="54">
                  <c:v>1.5005499840288119E-2</c:v>
                </c:pt>
                <c:pt idx="55">
                  <c:v>1.3207186553512929E-2</c:v>
                </c:pt>
                <c:pt idx="56">
                  <c:v>1.2587530025121241E-2</c:v>
                </c:pt>
                <c:pt idx="57">
                  <c:v>1.3207186553512933E-2</c:v>
                </c:pt>
                <c:pt idx="58">
                  <c:v>1.5005499840288115E-2</c:v>
                </c:pt>
                <c:pt idx="59">
                  <c:v>1.7806438451351811E-2</c:v>
                </c:pt>
                <c:pt idx="60">
                  <c:v>2.1335827000166285E-2</c:v>
                </c:pt>
                <c:pt idx="61">
                  <c:v>2.5248184344877588E-2</c:v>
                </c:pt>
                <c:pt idx="62">
                  <c:v>2.9160541689588888E-2</c:v>
                </c:pt>
                <c:pt idx="63">
                  <c:v>3.2689930238403359E-2</c:v>
                </c:pt>
                <c:pt idx="64">
                  <c:v>3.5490868849467061E-2</c:v>
                </c:pt>
                <c:pt idx="66">
                  <c:v>3.3108849197236952E-2</c:v>
                </c:pt>
                <c:pt idx="67">
                  <c:v>3.4488950091738836E-2</c:v>
                </c:pt>
                <c:pt idx="68">
                  <c:v>3.496450045073711E-2</c:v>
                </c:pt>
                <c:pt idx="69">
                  <c:v>3.4488950091738836E-2</c:v>
                </c:pt>
                <c:pt idx="70">
                  <c:v>3.3108849197236952E-2</c:v>
                </c:pt>
                <c:pt idx="71">
                  <c:v>3.0959291658513646E-2</c:v>
                </c:pt>
                <c:pt idx="72">
                  <c:v>2.8250691144307193E-2</c:v>
                </c:pt>
                <c:pt idx="73">
                  <c:v>2.5248184344877588E-2</c:v>
                </c:pt>
                <c:pt idx="74">
                  <c:v>2.2245677545447991E-2</c:v>
                </c:pt>
                <c:pt idx="75">
                  <c:v>1.953707703124153E-2</c:v>
                </c:pt>
                <c:pt idx="76">
                  <c:v>1.7387519492518232E-2</c:v>
                </c:pt>
                <c:pt idx="77">
                  <c:v>1.600741859801634E-2</c:v>
                </c:pt>
                <c:pt idx="78">
                  <c:v>1.553186823901807E-2</c:v>
                </c:pt>
                <c:pt idx="79">
                  <c:v>1.600741859801634E-2</c:v>
                </c:pt>
                <c:pt idx="80">
                  <c:v>1.7387519492518225E-2</c:v>
                </c:pt>
                <c:pt idx="81">
                  <c:v>1.953707703124153E-2</c:v>
                </c:pt>
                <c:pt idx="82">
                  <c:v>2.2245677545447987E-2</c:v>
                </c:pt>
                <c:pt idx="83">
                  <c:v>2.5248184344877588E-2</c:v>
                </c:pt>
                <c:pt idx="84">
                  <c:v>2.8250691144307186E-2</c:v>
                </c:pt>
                <c:pt idx="85">
                  <c:v>3.0959291658513643E-2</c:v>
                </c:pt>
                <c:pt idx="86">
                  <c:v>3.3108849197236952E-2</c:v>
                </c:pt>
                <c:pt idx="88">
                  <c:v>2.8821213823222752E-2</c:v>
                </c:pt>
                <c:pt idx="89">
                  <c:v>2.9448532411632703E-2</c:v>
                </c:pt>
                <c:pt idx="90">
                  <c:v>2.9664691665722824E-2</c:v>
                </c:pt>
                <c:pt idx="91">
                  <c:v>2.9448532411632707E-2</c:v>
                </c:pt>
                <c:pt idx="92">
                  <c:v>2.8821213823222752E-2</c:v>
                </c:pt>
                <c:pt idx="93">
                  <c:v>2.784414221471216E-2</c:v>
                </c:pt>
                <c:pt idx="94">
                  <c:v>2.6612960162800139E-2</c:v>
                </c:pt>
                <c:pt idx="95">
                  <c:v>2.5248184344877592E-2</c:v>
                </c:pt>
                <c:pt idx="96">
                  <c:v>2.3883408526955044E-2</c:v>
                </c:pt>
                <c:pt idx="97">
                  <c:v>2.2652226475043016E-2</c:v>
                </c:pt>
                <c:pt idx="98">
                  <c:v>2.1675154866532424E-2</c:v>
                </c:pt>
                <c:pt idx="99">
                  <c:v>2.1047836278122473E-2</c:v>
                </c:pt>
                <c:pt idx="100">
                  <c:v>2.0831677024032352E-2</c:v>
                </c:pt>
                <c:pt idx="101">
                  <c:v>2.1047836278122477E-2</c:v>
                </c:pt>
                <c:pt idx="102">
                  <c:v>2.1675154866532421E-2</c:v>
                </c:pt>
                <c:pt idx="103">
                  <c:v>2.2652226475043016E-2</c:v>
                </c:pt>
                <c:pt idx="104">
                  <c:v>2.388340852695504E-2</c:v>
                </c:pt>
                <c:pt idx="105">
                  <c:v>2.5248184344877592E-2</c:v>
                </c:pt>
                <c:pt idx="106">
                  <c:v>2.6612960162800132E-2</c:v>
                </c:pt>
                <c:pt idx="107">
                  <c:v>2.784414221471216E-2</c:v>
                </c:pt>
                <c:pt idx="108">
                  <c:v>2.8821213823222752E-2</c:v>
                </c:pt>
                <c:pt idx="110">
                  <c:v>3.6800979658193615E-2</c:v>
                </c:pt>
                <c:pt idx="111">
                  <c:v>3.8829309760719119E-2</c:v>
                </c:pt>
                <c:pt idx="112">
                  <c:v>3.9528224682277194E-2</c:v>
                </c:pt>
                <c:pt idx="113">
                  <c:v>3.8829309760719126E-2</c:v>
                </c:pt>
                <c:pt idx="114">
                  <c:v>3.6800979658193622E-2</c:v>
                </c:pt>
                <c:pt idx="115">
                  <c:v>3.3641781457342701E-2</c:v>
                </c:pt>
                <c:pt idx="116">
                  <c:v>2.9660959489493828E-2</c:v>
                </c:pt>
                <c:pt idx="117">
                  <c:v>2.5248184344877592E-2</c:v>
                </c:pt>
                <c:pt idx="118">
                  <c:v>2.0835409200261355E-2</c:v>
                </c:pt>
                <c:pt idx="119">
                  <c:v>1.6854587232412472E-2</c:v>
                </c:pt>
                <c:pt idx="120">
                  <c:v>1.3695389031561558E-2</c:v>
                </c:pt>
                <c:pt idx="121">
                  <c:v>1.1667058929036054E-2</c:v>
                </c:pt>
                <c:pt idx="122">
                  <c:v>1.096814400747799E-2</c:v>
                </c:pt>
                <c:pt idx="123">
                  <c:v>1.1667058929036057E-2</c:v>
                </c:pt>
                <c:pt idx="124">
                  <c:v>1.3695389031561554E-2</c:v>
                </c:pt>
                <c:pt idx="125">
                  <c:v>1.6854587232412468E-2</c:v>
                </c:pt>
                <c:pt idx="126">
                  <c:v>2.0835409200261352E-2</c:v>
                </c:pt>
                <c:pt idx="127">
                  <c:v>2.5248184344877588E-2</c:v>
                </c:pt>
                <c:pt idx="128">
                  <c:v>2.9660959489493821E-2</c:v>
                </c:pt>
                <c:pt idx="129">
                  <c:v>3.3641781457342701E-2</c:v>
                </c:pt>
                <c:pt idx="130">
                  <c:v>3.6800979658193615E-2</c:v>
                </c:pt>
                <c:pt idx="132">
                  <c:v>3.5490868849467061E-2</c:v>
                </c:pt>
                <c:pt idx="133">
                  <c:v>3.7289182136242244E-2</c:v>
                </c:pt>
                <c:pt idx="134">
                  <c:v>3.7908838664633938E-2</c:v>
                </c:pt>
                <c:pt idx="135">
                  <c:v>3.7289182136242251E-2</c:v>
                </c:pt>
                <c:pt idx="136">
                  <c:v>3.5490868849467061E-2</c:v>
                </c:pt>
                <c:pt idx="137">
                  <c:v>3.2689930238403359E-2</c:v>
                </c:pt>
                <c:pt idx="138">
                  <c:v>2.9160541689588891E-2</c:v>
                </c:pt>
                <c:pt idx="139">
                  <c:v>2.5248184344877592E-2</c:v>
                </c:pt>
                <c:pt idx="140">
                  <c:v>2.1335827000166292E-2</c:v>
                </c:pt>
                <c:pt idx="141">
                  <c:v>1.7806438451351818E-2</c:v>
                </c:pt>
                <c:pt idx="142">
                  <c:v>1.5005499840288119E-2</c:v>
                </c:pt>
                <c:pt idx="143">
                  <c:v>1.3207186553512929E-2</c:v>
                </c:pt>
                <c:pt idx="144">
                  <c:v>1.2587530025121241E-2</c:v>
                </c:pt>
                <c:pt idx="145">
                  <c:v>1.3207186553512933E-2</c:v>
                </c:pt>
                <c:pt idx="146">
                  <c:v>1.5005499840288115E-2</c:v>
                </c:pt>
                <c:pt idx="147">
                  <c:v>1.7806438451351811E-2</c:v>
                </c:pt>
                <c:pt idx="148">
                  <c:v>2.1335827000166285E-2</c:v>
                </c:pt>
                <c:pt idx="149">
                  <c:v>2.5248184344877588E-2</c:v>
                </c:pt>
                <c:pt idx="150">
                  <c:v>2.9160541689588888E-2</c:v>
                </c:pt>
                <c:pt idx="151">
                  <c:v>3.2689930238403359E-2</c:v>
                </c:pt>
                <c:pt idx="152">
                  <c:v>3.5490868849467061E-2</c:v>
                </c:pt>
                <c:pt idx="154">
                  <c:v>3.3108849197236952E-2</c:v>
                </c:pt>
                <c:pt idx="155">
                  <c:v>3.4488950091738836E-2</c:v>
                </c:pt>
                <c:pt idx="156">
                  <c:v>3.496450045073711E-2</c:v>
                </c:pt>
                <c:pt idx="157">
                  <c:v>3.4488950091738836E-2</c:v>
                </c:pt>
                <c:pt idx="158">
                  <c:v>3.3108849197236952E-2</c:v>
                </c:pt>
                <c:pt idx="159">
                  <c:v>3.0959291658513646E-2</c:v>
                </c:pt>
                <c:pt idx="160">
                  <c:v>2.8250691144307193E-2</c:v>
                </c:pt>
                <c:pt idx="161">
                  <c:v>2.5248184344877588E-2</c:v>
                </c:pt>
                <c:pt idx="162">
                  <c:v>2.2245677545447991E-2</c:v>
                </c:pt>
                <c:pt idx="163">
                  <c:v>1.953707703124153E-2</c:v>
                </c:pt>
                <c:pt idx="164">
                  <c:v>1.7387519492518232E-2</c:v>
                </c:pt>
                <c:pt idx="165">
                  <c:v>1.600741859801634E-2</c:v>
                </c:pt>
                <c:pt idx="166">
                  <c:v>1.553186823901807E-2</c:v>
                </c:pt>
                <c:pt idx="167">
                  <c:v>1.600741859801634E-2</c:v>
                </c:pt>
                <c:pt idx="168">
                  <c:v>1.7387519492518225E-2</c:v>
                </c:pt>
                <c:pt idx="169">
                  <c:v>1.953707703124153E-2</c:v>
                </c:pt>
                <c:pt idx="170">
                  <c:v>2.2245677545447987E-2</c:v>
                </c:pt>
                <c:pt idx="171">
                  <c:v>2.5248184344877588E-2</c:v>
                </c:pt>
                <c:pt idx="172">
                  <c:v>2.8250691144307186E-2</c:v>
                </c:pt>
                <c:pt idx="173">
                  <c:v>3.0959291658513643E-2</c:v>
                </c:pt>
                <c:pt idx="174">
                  <c:v>3.3108849197236952E-2</c:v>
                </c:pt>
                <c:pt idx="176">
                  <c:v>2.8821213823222752E-2</c:v>
                </c:pt>
                <c:pt idx="177">
                  <c:v>2.9448532411632703E-2</c:v>
                </c:pt>
                <c:pt idx="178">
                  <c:v>2.9664691665722824E-2</c:v>
                </c:pt>
                <c:pt idx="179">
                  <c:v>2.9448532411632707E-2</c:v>
                </c:pt>
                <c:pt idx="180">
                  <c:v>2.8821213823222752E-2</c:v>
                </c:pt>
                <c:pt idx="181">
                  <c:v>2.784414221471216E-2</c:v>
                </c:pt>
                <c:pt idx="182">
                  <c:v>2.6612960162800139E-2</c:v>
                </c:pt>
                <c:pt idx="183">
                  <c:v>2.5248184344877592E-2</c:v>
                </c:pt>
                <c:pt idx="184">
                  <c:v>2.3883408526955044E-2</c:v>
                </c:pt>
                <c:pt idx="185">
                  <c:v>2.2652226475043016E-2</c:v>
                </c:pt>
                <c:pt idx="186">
                  <c:v>2.1675154866532424E-2</c:v>
                </c:pt>
                <c:pt idx="187">
                  <c:v>2.1047836278122473E-2</c:v>
                </c:pt>
                <c:pt idx="188">
                  <c:v>2.0831677024032352E-2</c:v>
                </c:pt>
                <c:pt idx="189">
                  <c:v>2.1047836278122477E-2</c:v>
                </c:pt>
                <c:pt idx="190">
                  <c:v>2.1675154866532421E-2</c:v>
                </c:pt>
                <c:pt idx="191">
                  <c:v>2.2652226475043016E-2</c:v>
                </c:pt>
                <c:pt idx="192">
                  <c:v>2.388340852695504E-2</c:v>
                </c:pt>
                <c:pt idx="193">
                  <c:v>2.5248184344877592E-2</c:v>
                </c:pt>
                <c:pt idx="194">
                  <c:v>2.6612960162800132E-2</c:v>
                </c:pt>
                <c:pt idx="195">
                  <c:v>2.784414221471216E-2</c:v>
                </c:pt>
                <c:pt idx="196">
                  <c:v>2.8821213823222752E-2</c:v>
                </c:pt>
                <c:pt idx="198">
                  <c:v>2.5248184344877585E-2</c:v>
                </c:pt>
                <c:pt idx="199">
                  <c:v>2.8928607112248622E-2</c:v>
                </c:pt>
                <c:pt idx="200">
                  <c:v>3.2248764456136107E-2</c:v>
                </c:pt>
                <c:pt idx="201">
                  <c:v>3.4883656242823899E-2</c:v>
                </c:pt>
                <c:pt idx="202">
                  <c:v>3.6575360905860395E-2</c:v>
                </c:pt>
                <c:pt idx="203">
                  <c:v>3.7158282606028138E-2</c:v>
                </c:pt>
                <c:pt idx="204">
                  <c:v>3.6575360905860395E-2</c:v>
                </c:pt>
                <c:pt idx="205">
                  <c:v>3.4883656242823899E-2</c:v>
                </c:pt>
                <c:pt idx="206">
                  <c:v>3.2248764456136114E-2</c:v>
                </c:pt>
                <c:pt idx="207">
                  <c:v>2.8928607112248622E-2</c:v>
                </c:pt>
                <c:pt idx="208">
                  <c:v>2.5248184344877585E-2</c:v>
                </c:pt>
                <c:pt idx="209">
                  <c:v>2.1567761577506554E-2</c:v>
                </c:pt>
                <c:pt idx="210">
                  <c:v>1.8247604233619069E-2</c:v>
                </c:pt>
                <c:pt idx="211">
                  <c:v>1.5612712446931283E-2</c:v>
                </c:pt>
                <c:pt idx="212">
                  <c:v>1.392100778389478E-2</c:v>
                </c:pt>
                <c:pt idx="213">
                  <c:v>1.3338086083727038E-2</c:v>
                </c:pt>
                <c:pt idx="214">
                  <c:v>1.3921007783894778E-2</c:v>
                </c:pt>
                <c:pt idx="215">
                  <c:v>1.5612712446931281E-2</c:v>
                </c:pt>
                <c:pt idx="216">
                  <c:v>1.8247604233619062E-2</c:v>
                </c:pt>
                <c:pt idx="217">
                  <c:v>2.1567761577506554E-2</c:v>
                </c:pt>
                <c:pt idx="218">
                  <c:v>2.5248184344877585E-2</c:v>
                </c:pt>
                <c:pt idx="220">
                  <c:v>3.390137724432616E-2</c:v>
                </c:pt>
                <c:pt idx="221">
                  <c:v>3.3477859838657101E-2</c:v>
                </c:pt>
                <c:pt idx="222">
                  <c:v>3.2248764456136114E-2</c:v>
                </c:pt>
                <c:pt idx="223">
                  <c:v>3.0334403516415403E-2</c:v>
                </c:pt>
                <c:pt idx="224">
                  <c:v>2.7922168006411827E-2</c:v>
                </c:pt>
                <c:pt idx="225">
                  <c:v>2.5248184344877585E-2</c:v>
                </c:pt>
                <c:pt idx="226">
                  <c:v>2.2574200683343353E-2</c:v>
                </c:pt>
                <c:pt idx="227">
                  <c:v>2.016196517333977E-2</c:v>
                </c:pt>
                <c:pt idx="228">
                  <c:v>1.8247604233619066E-2</c:v>
                </c:pt>
                <c:pt idx="229">
                  <c:v>1.7018508851098069E-2</c:v>
                </c:pt>
                <c:pt idx="230">
                  <c:v>1.6594991445429013E-2</c:v>
                </c:pt>
                <c:pt idx="231">
                  <c:v>1.7018508851098069E-2</c:v>
                </c:pt>
                <c:pt idx="232">
                  <c:v>1.8247604233619066E-2</c:v>
                </c:pt>
                <c:pt idx="233">
                  <c:v>2.016196517333977E-2</c:v>
                </c:pt>
                <c:pt idx="234">
                  <c:v>2.2574200683343353E-2</c:v>
                </c:pt>
                <c:pt idx="235">
                  <c:v>2.5248184344877585E-2</c:v>
                </c:pt>
                <c:pt idx="236">
                  <c:v>2.792216800641182E-2</c:v>
                </c:pt>
                <c:pt idx="237">
                  <c:v>3.0334403516415399E-2</c:v>
                </c:pt>
                <c:pt idx="238">
                  <c:v>3.2248764456136114E-2</c:v>
                </c:pt>
                <c:pt idx="239">
                  <c:v>3.3477859838657101E-2</c:v>
                </c:pt>
                <c:pt idx="240">
                  <c:v>3.390137724432616E-2</c:v>
                </c:pt>
                <c:pt idx="242">
                  <c:v>2.5248184344877585E-2</c:v>
                </c:pt>
                <c:pt idx="243">
                  <c:v>2.9741428221171894E-2</c:v>
                </c:pt>
                <c:pt idx="244">
                  <c:v>3.379484208058358E-2</c:v>
                </c:pt>
                <c:pt idx="245">
                  <c:v>3.7011649532758407E-2</c:v>
                </c:pt>
                <c:pt idx="246">
                  <c:v>3.9076967051462103E-2</c:v>
                </c:pt>
                <c:pt idx="247">
                  <c:v>3.9788626968050619E-2</c:v>
                </c:pt>
                <c:pt idx="248">
                  <c:v>3.9076967051462103E-2</c:v>
                </c:pt>
                <c:pt idx="249">
                  <c:v>3.7011649532758407E-2</c:v>
                </c:pt>
                <c:pt idx="250">
                  <c:v>3.379484208058358E-2</c:v>
                </c:pt>
                <c:pt idx="251">
                  <c:v>2.9741428221171901E-2</c:v>
                </c:pt>
                <c:pt idx="252">
                  <c:v>2.5248184344877592E-2</c:v>
                </c:pt>
                <c:pt idx="253">
                  <c:v>2.0754940468583279E-2</c:v>
                </c:pt>
                <c:pt idx="254">
                  <c:v>1.67015266091716E-2</c:v>
                </c:pt>
                <c:pt idx="255">
                  <c:v>1.3484719156996769E-2</c:v>
                </c:pt>
                <c:pt idx="256">
                  <c:v>1.1419401638293081E-2</c:v>
                </c:pt>
                <c:pt idx="257">
                  <c:v>1.0707741721704557E-2</c:v>
                </c:pt>
                <c:pt idx="258">
                  <c:v>1.1419401638293081E-2</c:v>
                </c:pt>
                <c:pt idx="259">
                  <c:v>1.3484719156996765E-2</c:v>
                </c:pt>
                <c:pt idx="260">
                  <c:v>1.6701526609171596E-2</c:v>
                </c:pt>
                <c:pt idx="261">
                  <c:v>2.0754940468583279E-2</c:v>
                </c:pt>
                <c:pt idx="262">
                  <c:v>2.5248184344877585E-2</c:v>
                </c:pt>
                <c:pt idx="264">
                  <c:v>2.2945204477935299E-2</c:v>
                </c:pt>
                <c:pt idx="265">
                  <c:v>2.3057920335525575E-2</c:v>
                </c:pt>
                <c:pt idx="266">
                  <c:v>2.3385034494817922E-2</c:v>
                </c:pt>
                <c:pt idx="267">
                  <c:v>2.3894526742762427E-2</c:v>
                </c:pt>
                <c:pt idx="268">
                  <c:v>2.4536524428289068E-2</c:v>
                </c:pt>
                <c:pt idx="269">
                  <c:v>2.5248184344877585E-2</c:v>
                </c:pt>
                <c:pt idx="270">
                  <c:v>2.5959844261466115E-2</c:v>
                </c:pt>
                <c:pt idx="271">
                  <c:v>2.6601841946992749E-2</c:v>
                </c:pt>
                <c:pt idx="272">
                  <c:v>2.7111334194937258E-2</c:v>
                </c:pt>
                <c:pt idx="273">
                  <c:v>2.7438448354229605E-2</c:v>
                </c:pt>
                <c:pt idx="274">
                  <c:v>2.7551164211819877E-2</c:v>
                </c:pt>
                <c:pt idx="275">
                  <c:v>2.7438448354229605E-2</c:v>
                </c:pt>
                <c:pt idx="276">
                  <c:v>2.7111334194937255E-2</c:v>
                </c:pt>
                <c:pt idx="277">
                  <c:v>2.6601841946992753E-2</c:v>
                </c:pt>
                <c:pt idx="278">
                  <c:v>2.5959844261466115E-2</c:v>
                </c:pt>
                <c:pt idx="279">
                  <c:v>2.5248184344877585E-2</c:v>
                </c:pt>
                <c:pt idx="280">
                  <c:v>2.4536524428289068E-2</c:v>
                </c:pt>
                <c:pt idx="281">
                  <c:v>2.3894526742762427E-2</c:v>
                </c:pt>
                <c:pt idx="282">
                  <c:v>2.3385034494817922E-2</c:v>
                </c:pt>
                <c:pt idx="283">
                  <c:v>2.3057920335525575E-2</c:v>
                </c:pt>
                <c:pt idx="284">
                  <c:v>2.2945204477935299E-2</c:v>
                </c:pt>
              </c:numCache>
            </c:numRef>
          </c:xVal>
          <c:yVal>
            <c:numRef>
              <c:f>Planètes!$I$6:$I$290</c:f>
              <c:numCache>
                <c:formatCode>General</c:formatCode>
                <c:ptCount val="285"/>
                <c:pt idx="0">
                  <c:v>2.5355450630712401E-2</c:v>
                </c:pt>
                <c:pt idx="1">
                  <c:v>2.7882088492294496E-2</c:v>
                </c:pt>
                <c:pt idx="2">
                  <c:v>3.0682888137464417E-2</c:v>
                </c:pt>
                <c:pt idx="3">
                  <c:v>3.3483687782634344E-2</c:v>
                </c:pt>
                <c:pt idx="4">
                  <c:v>3.601032564421644E-2</c:v>
                </c:pt>
                <c:pt idx="5">
                  <c:v>3.8015476804197923E-2</c:v>
                </c:pt>
                <c:pt idx="6">
                  <c:v>3.9302863096330187E-2</c:v>
                </c:pt>
                <c:pt idx="7">
                  <c:v>3.9746466180591584E-2</c:v>
                </c:pt>
                <c:pt idx="8">
                  <c:v>3.9302863096330187E-2</c:v>
                </c:pt>
                <c:pt idx="9">
                  <c:v>3.8015476804197923E-2</c:v>
                </c:pt>
                <c:pt idx="10">
                  <c:v>3.601032564421644E-2</c:v>
                </c:pt>
                <c:pt idx="11">
                  <c:v>3.3483687782634337E-2</c:v>
                </c:pt>
                <c:pt idx="12">
                  <c:v>3.068288813746442E-2</c:v>
                </c:pt>
                <c:pt idx="13">
                  <c:v>2.7882088492294496E-2</c:v>
                </c:pt>
                <c:pt idx="14">
                  <c:v>2.5355450630712401E-2</c:v>
                </c:pt>
                <c:pt idx="15">
                  <c:v>2.3350299470730914E-2</c:v>
                </c:pt>
                <c:pt idx="16">
                  <c:v>2.2062913178598653E-2</c:v>
                </c:pt>
                <c:pt idx="17">
                  <c:v>2.1619310094337256E-2</c:v>
                </c:pt>
                <c:pt idx="18">
                  <c:v>2.2062913178598653E-2</c:v>
                </c:pt>
                <c:pt idx="19">
                  <c:v>2.3350299470730911E-2</c:v>
                </c:pt>
                <c:pt idx="20">
                  <c:v>2.5355450630712397E-2</c:v>
                </c:pt>
                <c:pt idx="22">
                  <c:v>2.8415486474422342E-2</c:v>
                </c:pt>
                <c:pt idx="23">
                  <c:v>3.0866325200156974E-2</c:v>
                </c:pt>
                <c:pt idx="24">
                  <c:v>3.3583100855971798E-2</c:v>
                </c:pt>
                <c:pt idx="25">
                  <c:v>3.6299876511786622E-2</c:v>
                </c:pt>
                <c:pt idx="26">
                  <c:v>3.8750715237521258E-2</c:v>
                </c:pt>
                <c:pt idx="27">
                  <c:v>4.06957118627033E-2</c:v>
                </c:pt>
                <c:pt idx="28">
                  <c:v>4.1944476566071594E-2</c:v>
                </c:pt>
                <c:pt idx="29">
                  <c:v>4.2374771557805148E-2</c:v>
                </c:pt>
                <c:pt idx="30">
                  <c:v>4.1944476566071594E-2</c:v>
                </c:pt>
                <c:pt idx="31">
                  <c:v>4.06957118627033E-2</c:v>
                </c:pt>
                <c:pt idx="32">
                  <c:v>3.8750715237521258E-2</c:v>
                </c:pt>
                <c:pt idx="33">
                  <c:v>3.6299876511786622E-2</c:v>
                </c:pt>
                <c:pt idx="34">
                  <c:v>3.3583100855971798E-2</c:v>
                </c:pt>
                <c:pt idx="35">
                  <c:v>3.0866325200156974E-2</c:v>
                </c:pt>
                <c:pt idx="36">
                  <c:v>2.8415486474422342E-2</c:v>
                </c:pt>
                <c:pt idx="37">
                  <c:v>2.6470489849240303E-2</c:v>
                </c:pt>
                <c:pt idx="38">
                  <c:v>2.5221725145872009E-2</c:v>
                </c:pt>
                <c:pt idx="39">
                  <c:v>2.4791430154138452E-2</c:v>
                </c:pt>
                <c:pt idx="40">
                  <c:v>2.5221725145872006E-2</c:v>
                </c:pt>
                <c:pt idx="41">
                  <c:v>2.6470489849240299E-2</c:v>
                </c:pt>
                <c:pt idx="42">
                  <c:v>2.8415486474422338E-2</c:v>
                </c:pt>
                <c:pt idx="44">
                  <c:v>3.1901717318672446E-2</c:v>
                </c:pt>
                <c:pt idx="45">
                  <c:v>3.4074625879633051E-2</c:v>
                </c:pt>
                <c:pt idx="46">
                  <c:v>3.648331357447919E-2</c:v>
                </c:pt>
                <c:pt idx="47">
                  <c:v>3.8892001269325321E-2</c:v>
                </c:pt>
                <c:pt idx="48">
                  <c:v>4.106490983028592E-2</c:v>
                </c:pt>
                <c:pt idx="49">
                  <c:v>4.2789339827870004E-2</c:v>
                </c:pt>
                <c:pt idx="50">
                  <c:v>4.3896492039103743E-2</c:v>
                </c:pt>
                <c:pt idx="51">
                  <c:v>4.4277990691568542E-2</c:v>
                </c:pt>
                <c:pt idx="52">
                  <c:v>4.3896492039103743E-2</c:v>
                </c:pt>
                <c:pt idx="53">
                  <c:v>4.2789339827869997E-2</c:v>
                </c:pt>
                <c:pt idx="54">
                  <c:v>4.106490983028592E-2</c:v>
                </c:pt>
                <c:pt idx="55">
                  <c:v>3.8892001269325314E-2</c:v>
                </c:pt>
                <c:pt idx="56">
                  <c:v>3.6483313574479183E-2</c:v>
                </c:pt>
                <c:pt idx="57">
                  <c:v>3.4074625879633051E-2</c:v>
                </c:pt>
                <c:pt idx="58">
                  <c:v>3.1901717318672446E-2</c:v>
                </c:pt>
                <c:pt idx="59">
                  <c:v>3.0177287321088372E-2</c:v>
                </c:pt>
                <c:pt idx="60">
                  <c:v>2.9070135109854629E-2</c:v>
                </c:pt>
                <c:pt idx="61">
                  <c:v>2.8688636457389824E-2</c:v>
                </c:pt>
                <c:pt idx="62">
                  <c:v>2.9070135109854626E-2</c:v>
                </c:pt>
                <c:pt idx="63">
                  <c:v>3.0177287321088368E-2</c:v>
                </c:pt>
                <c:pt idx="64">
                  <c:v>3.1901717318672446E-2</c:v>
                </c:pt>
                <c:pt idx="66">
                  <c:v>3.5867417538530233E-2</c:v>
                </c:pt>
                <c:pt idx="67">
                  <c:v>3.7534998527174422E-2</c:v>
                </c:pt>
                <c:pt idx="68">
                  <c:v>3.9383526292986568E-2</c:v>
                </c:pt>
                <c:pt idx="69">
                  <c:v>4.123205405879872E-2</c:v>
                </c:pt>
                <c:pt idx="70">
                  <c:v>4.2899635047442902E-2</c:v>
                </c:pt>
                <c:pt idx="71">
                  <c:v>4.4223034813030679E-2</c:v>
                </c:pt>
                <c:pt idx="72">
                  <c:v>4.5072709765837972E-2</c:v>
                </c:pt>
                <c:pt idx="73">
                  <c:v>4.5365487801450499E-2</c:v>
                </c:pt>
                <c:pt idx="74">
                  <c:v>4.5072709765837972E-2</c:v>
                </c:pt>
                <c:pt idx="75">
                  <c:v>4.4223034813030686E-2</c:v>
                </c:pt>
                <c:pt idx="76">
                  <c:v>4.2899635047442902E-2</c:v>
                </c:pt>
                <c:pt idx="77">
                  <c:v>4.123205405879872E-2</c:v>
                </c:pt>
                <c:pt idx="78">
                  <c:v>3.9383526292986568E-2</c:v>
                </c:pt>
                <c:pt idx="79">
                  <c:v>3.7534998527174422E-2</c:v>
                </c:pt>
                <c:pt idx="80">
                  <c:v>3.586741753853024E-2</c:v>
                </c:pt>
                <c:pt idx="81">
                  <c:v>3.4544017772942456E-2</c:v>
                </c:pt>
                <c:pt idx="82">
                  <c:v>3.3694342820135163E-2</c:v>
                </c:pt>
                <c:pt idx="83">
                  <c:v>3.3401564784522643E-2</c:v>
                </c:pt>
                <c:pt idx="84">
                  <c:v>3.369434282013517E-2</c:v>
                </c:pt>
                <c:pt idx="85">
                  <c:v>3.4544017772942456E-2</c:v>
                </c:pt>
                <c:pt idx="86">
                  <c:v>3.5867417538530233E-2</c:v>
                </c:pt>
                <c:pt idx="88">
                  <c:v>4.010546521576687E-2</c:v>
                </c:pt>
                <c:pt idx="89">
                  <c:v>4.0863456574241501E-2</c:v>
                </c:pt>
                <c:pt idx="90">
                  <c:v>4.1703696467792477E-2</c:v>
                </c:pt>
                <c:pt idx="91">
                  <c:v>4.254393636134346E-2</c:v>
                </c:pt>
                <c:pt idx="92">
                  <c:v>4.3301927719818084E-2</c:v>
                </c:pt>
                <c:pt idx="93">
                  <c:v>4.3903473067812532E-2</c:v>
                </c:pt>
                <c:pt idx="94">
                  <c:v>4.4289688955452211E-2</c:v>
                </c:pt>
                <c:pt idx="95">
                  <c:v>4.4422769880730628E-2</c:v>
                </c:pt>
                <c:pt idx="96">
                  <c:v>4.4289688955452211E-2</c:v>
                </c:pt>
                <c:pt idx="97">
                  <c:v>4.3903473067812532E-2</c:v>
                </c:pt>
                <c:pt idx="98">
                  <c:v>4.3301927719818084E-2</c:v>
                </c:pt>
                <c:pt idx="99">
                  <c:v>4.2543936361343453E-2</c:v>
                </c:pt>
                <c:pt idx="100">
                  <c:v>4.1703696467792477E-2</c:v>
                </c:pt>
                <c:pt idx="101">
                  <c:v>4.0863456574241501E-2</c:v>
                </c:pt>
                <c:pt idx="102">
                  <c:v>4.0105465215766876E-2</c:v>
                </c:pt>
                <c:pt idx="103">
                  <c:v>3.9503919867772429E-2</c:v>
                </c:pt>
                <c:pt idx="104">
                  <c:v>3.9117703980132749E-2</c:v>
                </c:pt>
                <c:pt idx="105">
                  <c:v>3.8984623054854325E-2</c:v>
                </c:pt>
                <c:pt idx="106">
                  <c:v>3.9117703980132749E-2</c:v>
                </c:pt>
                <c:pt idx="107">
                  <c:v>3.9503919867772422E-2</c:v>
                </c:pt>
                <c:pt idx="108">
                  <c:v>4.010546521576687E-2</c:v>
                </c:pt>
                <c:pt idx="110">
                  <c:v>2.2615061037407583E-2</c:v>
                </c:pt>
                <c:pt idx="111">
                  <c:v>2.5065899763142219E-2</c:v>
                </c:pt>
                <c:pt idx="112">
                  <c:v>2.7782675418957042E-2</c:v>
                </c:pt>
                <c:pt idx="113">
                  <c:v>3.0499451074771866E-2</c:v>
                </c:pt>
                <c:pt idx="114">
                  <c:v>3.2950289800506502E-2</c:v>
                </c:pt>
                <c:pt idx="115">
                  <c:v>3.4895286425688538E-2</c:v>
                </c:pt>
                <c:pt idx="116">
                  <c:v>3.6144051129056831E-2</c:v>
                </c:pt>
                <c:pt idx="117">
                  <c:v>3.6574346120790385E-2</c:v>
                </c:pt>
                <c:pt idx="118">
                  <c:v>3.6144051129056831E-2</c:v>
                </c:pt>
                <c:pt idx="119">
                  <c:v>3.4895286425688544E-2</c:v>
                </c:pt>
                <c:pt idx="120">
                  <c:v>3.2950289800506502E-2</c:v>
                </c:pt>
                <c:pt idx="121">
                  <c:v>3.0499451074771863E-2</c:v>
                </c:pt>
                <c:pt idx="122">
                  <c:v>2.7782675418957042E-2</c:v>
                </c:pt>
                <c:pt idx="123">
                  <c:v>2.5065899763142215E-2</c:v>
                </c:pt>
                <c:pt idx="124">
                  <c:v>2.2615061037407583E-2</c:v>
                </c:pt>
                <c:pt idx="125">
                  <c:v>2.0670064412225544E-2</c:v>
                </c:pt>
                <c:pt idx="126">
                  <c:v>1.9421299708857247E-2</c:v>
                </c:pt>
                <c:pt idx="127">
                  <c:v>1.8991004717123693E-2</c:v>
                </c:pt>
                <c:pt idx="128">
                  <c:v>1.9421299708857247E-2</c:v>
                </c:pt>
                <c:pt idx="129">
                  <c:v>2.067006441222554E-2</c:v>
                </c:pt>
                <c:pt idx="130">
                  <c:v>2.2615061037407583E-2</c:v>
                </c:pt>
                <c:pt idx="132">
                  <c:v>2.0300866444642914E-2</c:v>
                </c:pt>
                <c:pt idx="133">
                  <c:v>2.2473775005603519E-2</c:v>
                </c:pt>
                <c:pt idx="134">
                  <c:v>2.4882462700449654E-2</c:v>
                </c:pt>
                <c:pt idx="135">
                  <c:v>2.7291150395295789E-2</c:v>
                </c:pt>
                <c:pt idx="136">
                  <c:v>2.9464058956256391E-2</c:v>
                </c:pt>
                <c:pt idx="137">
                  <c:v>3.1188488953840469E-2</c:v>
                </c:pt>
                <c:pt idx="138">
                  <c:v>3.2295641165074211E-2</c:v>
                </c:pt>
                <c:pt idx="139">
                  <c:v>3.2677139817539017E-2</c:v>
                </c:pt>
                <c:pt idx="140">
                  <c:v>3.2295641165074211E-2</c:v>
                </c:pt>
                <c:pt idx="141">
                  <c:v>3.1188488953840465E-2</c:v>
                </c:pt>
                <c:pt idx="142">
                  <c:v>2.9464058956256388E-2</c:v>
                </c:pt>
                <c:pt idx="143">
                  <c:v>2.7291150395295786E-2</c:v>
                </c:pt>
                <c:pt idx="144">
                  <c:v>2.4882462700449654E-2</c:v>
                </c:pt>
                <c:pt idx="145">
                  <c:v>2.2473775005603519E-2</c:v>
                </c:pt>
                <c:pt idx="146">
                  <c:v>2.0300866444642914E-2</c:v>
                </c:pt>
                <c:pt idx="147">
                  <c:v>1.857643644705884E-2</c:v>
                </c:pt>
                <c:pt idx="148">
                  <c:v>1.7469284235825097E-2</c:v>
                </c:pt>
                <c:pt idx="149">
                  <c:v>1.7087785583360292E-2</c:v>
                </c:pt>
                <c:pt idx="150">
                  <c:v>1.7469284235825094E-2</c:v>
                </c:pt>
                <c:pt idx="151">
                  <c:v>1.8576436447058836E-2</c:v>
                </c:pt>
                <c:pt idx="152">
                  <c:v>2.0300866444642914E-2</c:v>
                </c:pt>
                <c:pt idx="154">
                  <c:v>1.8466141227485935E-2</c:v>
                </c:pt>
                <c:pt idx="155">
                  <c:v>2.013372221613012E-2</c:v>
                </c:pt>
                <c:pt idx="156">
                  <c:v>2.1982249981942269E-2</c:v>
                </c:pt>
                <c:pt idx="157">
                  <c:v>2.3830777747754418E-2</c:v>
                </c:pt>
                <c:pt idx="158">
                  <c:v>2.5498358736398601E-2</c:v>
                </c:pt>
                <c:pt idx="159">
                  <c:v>2.6821758501986381E-2</c:v>
                </c:pt>
                <c:pt idx="160">
                  <c:v>2.7671433454793674E-2</c:v>
                </c:pt>
                <c:pt idx="161">
                  <c:v>2.7964211490406194E-2</c:v>
                </c:pt>
                <c:pt idx="162">
                  <c:v>2.7671433454793674E-2</c:v>
                </c:pt>
                <c:pt idx="163">
                  <c:v>2.6821758501986381E-2</c:v>
                </c:pt>
                <c:pt idx="164">
                  <c:v>2.5498358736398601E-2</c:v>
                </c:pt>
                <c:pt idx="165">
                  <c:v>2.3830777747754415E-2</c:v>
                </c:pt>
                <c:pt idx="166">
                  <c:v>2.1982249981942269E-2</c:v>
                </c:pt>
                <c:pt idx="167">
                  <c:v>2.013372221613012E-2</c:v>
                </c:pt>
                <c:pt idx="168">
                  <c:v>1.8466141227485938E-2</c:v>
                </c:pt>
                <c:pt idx="169">
                  <c:v>1.7142741461898155E-2</c:v>
                </c:pt>
                <c:pt idx="170">
                  <c:v>1.6293066509090862E-2</c:v>
                </c:pt>
                <c:pt idx="171">
                  <c:v>1.6000288473478341E-2</c:v>
                </c:pt>
                <c:pt idx="172">
                  <c:v>1.6293066509090865E-2</c:v>
                </c:pt>
                <c:pt idx="173">
                  <c:v>1.7142741461898155E-2</c:v>
                </c:pt>
                <c:pt idx="174">
                  <c:v>1.8466141227485935E-2</c:v>
                </c:pt>
                <c:pt idx="176">
                  <c:v>1.8063848555110756E-2</c:v>
                </c:pt>
                <c:pt idx="177">
                  <c:v>1.8821839913585388E-2</c:v>
                </c:pt>
                <c:pt idx="178">
                  <c:v>1.9662079807136364E-2</c:v>
                </c:pt>
                <c:pt idx="179">
                  <c:v>2.0502319700687343E-2</c:v>
                </c:pt>
                <c:pt idx="180">
                  <c:v>2.1260311059161971E-2</c:v>
                </c:pt>
                <c:pt idx="181">
                  <c:v>2.1861856407156419E-2</c:v>
                </c:pt>
                <c:pt idx="182">
                  <c:v>2.2248072294796094E-2</c:v>
                </c:pt>
                <c:pt idx="183">
                  <c:v>2.2381153220074515E-2</c:v>
                </c:pt>
                <c:pt idx="184">
                  <c:v>2.2248072294796098E-2</c:v>
                </c:pt>
                <c:pt idx="185">
                  <c:v>2.1861856407156419E-2</c:v>
                </c:pt>
                <c:pt idx="186">
                  <c:v>2.1260311059161971E-2</c:v>
                </c:pt>
                <c:pt idx="187">
                  <c:v>2.0502319700687339E-2</c:v>
                </c:pt>
                <c:pt idx="188">
                  <c:v>1.9662079807136367E-2</c:v>
                </c:pt>
                <c:pt idx="189">
                  <c:v>1.8821839913585388E-2</c:v>
                </c:pt>
                <c:pt idx="190">
                  <c:v>1.806384855511076E-2</c:v>
                </c:pt>
                <c:pt idx="191">
                  <c:v>1.7462303207116316E-2</c:v>
                </c:pt>
                <c:pt idx="192">
                  <c:v>1.7076087319476636E-2</c:v>
                </c:pt>
                <c:pt idx="193">
                  <c:v>1.6943006394198216E-2</c:v>
                </c:pt>
                <c:pt idx="194">
                  <c:v>1.7076087319476636E-2</c:v>
                </c:pt>
                <c:pt idx="195">
                  <c:v>1.7462303207116312E-2</c:v>
                </c:pt>
                <c:pt idx="196">
                  <c:v>1.8063848555110756E-2</c:v>
                </c:pt>
                <c:pt idx="198">
                  <c:v>4.2283739011493945E-2</c:v>
                </c:pt>
                <c:pt idx="199">
                  <c:v>4.0069684229721667E-2</c:v>
                </c:pt>
                <c:pt idx="200">
                  <c:v>3.6936784444785153E-2</c:v>
                </c:pt>
                <c:pt idx="201">
                  <c:v>3.3191709715830346E-2</c:v>
                </c:pt>
                <c:pt idx="202">
                  <c:v>2.9201054050797287E-2</c:v>
                </c:pt>
                <c:pt idx="203">
                  <c:v>2.5355450630712401E-2</c:v>
                </c:pt>
                <c:pt idx="204">
                  <c:v>2.2031333912228116E-2</c:v>
                </c:pt>
                <c:pt idx="205">
                  <c:v>1.9554091600232727E-2</c:v>
                </c:pt>
                <c:pt idx="206">
                  <c:v>1.816621343218644E-2</c:v>
                </c:pt>
                <c:pt idx="207">
                  <c:v>1.8003554593093433E-2</c:v>
                </c:pt>
                <c:pt idx="208">
                  <c:v>1.9082037263434888E-2</c:v>
                </c:pt>
                <c:pt idx="209">
                  <c:v>2.1296092045207181E-2</c:v>
                </c:pt>
                <c:pt idx="210">
                  <c:v>2.442899183014368E-2</c:v>
                </c:pt>
                <c:pt idx="211">
                  <c:v>2.8174066559098491E-2</c:v>
                </c:pt>
                <c:pt idx="212">
                  <c:v>3.2164722224131546E-2</c:v>
                </c:pt>
                <c:pt idx="213">
                  <c:v>3.601032564421644E-2</c:v>
                </c:pt>
                <c:pt idx="214">
                  <c:v>3.9334442362700714E-2</c:v>
                </c:pt>
                <c:pt idx="215">
                  <c:v>4.1811684674696099E-2</c:v>
                </c:pt>
                <c:pt idx="216">
                  <c:v>4.3199562842742394E-2</c:v>
                </c:pt>
                <c:pt idx="217">
                  <c:v>4.3362221681835414E-2</c:v>
                </c:pt>
                <c:pt idx="218">
                  <c:v>4.2283739011493945E-2</c:v>
                </c:pt>
                <c:pt idx="220">
                  <c:v>3.8015476804197923E-2</c:v>
                </c:pt>
                <c:pt idx="221">
                  <c:v>4.1241454439557894E-2</c:v>
                </c:pt>
                <c:pt idx="222">
                  <c:v>4.3433886039411777E-2</c:v>
                </c:pt>
                <c:pt idx="223">
                  <c:v>4.4378161123196654E-2</c:v>
                </c:pt>
                <c:pt idx="224">
                  <c:v>4.3981847466560337E-2</c:v>
                </c:pt>
                <c:pt idx="225">
                  <c:v>4.2283739011493945E-2</c:v>
                </c:pt>
                <c:pt idx="226">
                  <c:v>3.9450058444996751E-2</c:v>
                </c:pt>
                <c:pt idx="227">
                  <c:v>3.5758186164330893E-2</c:v>
                </c:pt>
                <c:pt idx="228">
                  <c:v>3.1569508351114689E-2</c:v>
                </c:pt>
                <c:pt idx="229">
                  <c:v>2.7294041973940111E-2</c:v>
                </c:pt>
                <c:pt idx="230">
                  <c:v>2.3350299470730914E-2</c:v>
                </c:pt>
                <c:pt idx="231">
                  <c:v>2.0124321835370936E-2</c:v>
                </c:pt>
                <c:pt idx="232">
                  <c:v>1.793189023551707E-2</c:v>
                </c:pt>
                <c:pt idx="233">
                  <c:v>1.698761515173218E-2</c:v>
                </c:pt>
                <c:pt idx="234">
                  <c:v>1.7383928808368514E-2</c:v>
                </c:pt>
                <c:pt idx="235">
                  <c:v>1.9082037263434885E-2</c:v>
                </c:pt>
                <c:pt idx="236">
                  <c:v>2.191571782993209E-2</c:v>
                </c:pt>
                <c:pt idx="237">
                  <c:v>2.560759011059794E-2</c:v>
                </c:pt>
                <c:pt idx="238">
                  <c:v>2.9796267923814155E-2</c:v>
                </c:pt>
                <c:pt idx="239">
                  <c:v>3.4071734300988726E-2</c:v>
                </c:pt>
                <c:pt idx="240">
                  <c:v>3.8015476804197923E-2</c:v>
                </c:pt>
                <c:pt idx="242">
                  <c:v>4.2283739011493945E-2</c:v>
                </c:pt>
                <c:pt idx="243">
                  <c:v>4.215409454995557E-2</c:v>
                </c:pt>
                <c:pt idx="244">
                  <c:v>4.0901568480167787E-2</c:v>
                </c:pt>
                <c:pt idx="245">
                  <c:v>3.8648766780703746E-2</c:v>
                </c:pt>
                <c:pt idx="246">
                  <c:v>3.5616209378099353E-2</c:v>
                </c:pt>
                <c:pt idx="247">
                  <c:v>3.2100744119991399E-2</c:v>
                </c:pt>
                <c:pt idx="248">
                  <c:v>2.8446489239530186E-2</c:v>
                </c:pt>
                <c:pt idx="249">
                  <c:v>2.5011148665106127E-2</c:v>
                </c:pt>
                <c:pt idx="250">
                  <c:v>2.2130997467569073E-2</c:v>
                </c:pt>
                <c:pt idx="251">
                  <c:v>2.008796491332733E-2</c:v>
                </c:pt>
                <c:pt idx="252">
                  <c:v>1.9082037263434888E-2</c:v>
                </c:pt>
                <c:pt idx="253">
                  <c:v>1.9211681724973281E-2</c:v>
                </c:pt>
                <c:pt idx="254">
                  <c:v>2.046420779476105E-2</c:v>
                </c:pt>
                <c:pt idx="255">
                  <c:v>2.2717009494225095E-2</c:v>
                </c:pt>
                <c:pt idx="256">
                  <c:v>2.574956689682948E-2</c:v>
                </c:pt>
                <c:pt idx="257">
                  <c:v>2.9265032154937438E-2</c:v>
                </c:pt>
                <c:pt idx="258">
                  <c:v>3.2919287035398648E-2</c:v>
                </c:pt>
                <c:pt idx="259">
                  <c:v>3.63546276098227E-2</c:v>
                </c:pt>
                <c:pt idx="260">
                  <c:v>3.923477880735976E-2</c:v>
                </c:pt>
                <c:pt idx="261">
                  <c:v>4.1277811361601517E-2</c:v>
                </c:pt>
                <c:pt idx="262">
                  <c:v>4.2283739011493945E-2</c:v>
                </c:pt>
                <c:pt idx="264">
                  <c:v>3.963487849473521E-2</c:v>
                </c:pt>
                <c:pt idx="265">
                  <c:v>4.2781596969842767E-2</c:v>
                </c:pt>
                <c:pt idx="266">
                  <c:v>4.4744009527775963E-2</c:v>
                </c:pt>
                <c:pt idx="267">
                  <c:v>4.5330021554431971E-2</c:v>
                </c:pt>
                <c:pt idx="268">
                  <c:v>4.4482270109655879E-2</c:v>
                </c:pt>
                <c:pt idx="269">
                  <c:v>4.2283739011493945E-2</c:v>
                </c:pt>
                <c:pt idx="270">
                  <c:v>3.8949635801901208E-2</c:v>
                </c:pt>
                <c:pt idx="271">
                  <c:v>3.4806325733095569E-2</c:v>
                </c:pt>
                <c:pt idx="272">
                  <c:v>3.0259384862750503E-2</c:v>
                </c:pt>
                <c:pt idx="273">
                  <c:v>2.5753899443655234E-2</c:v>
                </c:pt>
                <c:pt idx="274">
                  <c:v>2.1730897780193624E-2</c:v>
                </c:pt>
                <c:pt idx="275">
                  <c:v>1.858417930508606E-2</c:v>
                </c:pt>
                <c:pt idx="276">
                  <c:v>1.6621766747152884E-2</c:v>
                </c:pt>
                <c:pt idx="277">
                  <c:v>1.6035754720496859E-2</c:v>
                </c:pt>
                <c:pt idx="278">
                  <c:v>1.6883506165272968E-2</c:v>
                </c:pt>
                <c:pt idx="279">
                  <c:v>1.9082037263434885E-2</c:v>
                </c:pt>
                <c:pt idx="280">
                  <c:v>2.2416140473027632E-2</c:v>
                </c:pt>
                <c:pt idx="281">
                  <c:v>2.6559450541833261E-2</c:v>
                </c:pt>
                <c:pt idx="282">
                  <c:v>3.1106391412178334E-2</c:v>
                </c:pt>
                <c:pt idx="283">
                  <c:v>3.5611876831273599E-2</c:v>
                </c:pt>
                <c:pt idx="284">
                  <c:v>3.963487849473521E-2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DC1-4D34-853E-DDFBC45566B2}"/>
            </c:ext>
          </c:extLst>
        </c:ser>
        <c:ser>
          <c:idx val="6"/>
          <c:order val="3"/>
          <c:tx>
            <c:strRef>
              <c:f>Planètes!$J$3</c:f>
              <c:strCache>
                <c:ptCount val="1"/>
                <c:pt idx="0">
                  <c:v>Body3</c:v>
                </c:pt>
              </c:strCache>
            </c:strRef>
          </c:tx>
          <c:spPr>
            <a:ln w="6350">
              <a:solidFill>
                <a:srgbClr val="3333FF"/>
              </a:solidFill>
            </a:ln>
          </c:spPr>
          <c:marker>
            <c:symbol val="none"/>
          </c:marker>
          <c:xVal>
            <c:numRef>
              <c:f>Planètes!$J$6:$J$290</c:f>
              <c:numCache>
                <c:formatCode>General</c:formatCode>
                <c:ptCount val="285"/>
                <c:pt idx="0">
                  <c:v>0.22395314610602049</c:v>
                </c:pt>
                <c:pt idx="1">
                  <c:v>0.22488246049173555</c:v>
                </c:pt>
                <c:pt idx="2">
                  <c:v>0.22520268040573579</c:v>
                </c:pt>
                <c:pt idx="3">
                  <c:v>0.22488246049173555</c:v>
                </c:pt>
                <c:pt idx="4">
                  <c:v>0.22395314610602046</c:v>
                </c:pt>
                <c:pt idx="5">
                  <c:v>0.22250570501557851</c:v>
                </c:pt>
                <c:pt idx="6">
                  <c:v>0.22068182283925708</c:v>
                </c:pt>
                <c:pt idx="7">
                  <c:v>0.21866003387220895</c:v>
                </c:pt>
                <c:pt idx="8">
                  <c:v>0.21663824490516084</c:v>
                </c:pt>
                <c:pt idx="9">
                  <c:v>0.21481436272883941</c:v>
                </c:pt>
                <c:pt idx="10">
                  <c:v>0.21336692163839743</c:v>
                </c:pt>
                <c:pt idx="11">
                  <c:v>0.2124376072526824</c:v>
                </c:pt>
                <c:pt idx="12">
                  <c:v>0.21211738733868216</c:v>
                </c:pt>
                <c:pt idx="13">
                  <c:v>0.2124376072526824</c:v>
                </c:pt>
                <c:pt idx="14">
                  <c:v>0.21336692163839743</c:v>
                </c:pt>
                <c:pt idx="15">
                  <c:v>0.21481436272883944</c:v>
                </c:pt>
                <c:pt idx="16">
                  <c:v>0.21663824490516087</c:v>
                </c:pt>
                <c:pt idx="17">
                  <c:v>0.218660033872209</c:v>
                </c:pt>
                <c:pt idx="18">
                  <c:v>0.22068182283925711</c:v>
                </c:pt>
                <c:pt idx="19">
                  <c:v>0.22250570501557854</c:v>
                </c:pt>
                <c:pt idx="20">
                  <c:v>0.22395314610602049</c:v>
                </c:pt>
                <c:pt idx="22">
                  <c:v>0.22379435273900616</c:v>
                </c:pt>
                <c:pt idx="23">
                  <c:v>0.22469578769314974</c:v>
                </c:pt>
                <c:pt idx="24">
                  <c:v>0.22500640100972996</c:v>
                </c:pt>
                <c:pt idx="25">
                  <c:v>0.22469578769314974</c:v>
                </c:pt>
                <c:pt idx="26">
                  <c:v>0.22379435273900616</c:v>
                </c:pt>
                <c:pt idx="27">
                  <c:v>0.22239033488127741</c:v>
                </c:pt>
                <c:pt idx="28">
                  <c:v>0.22062116917024566</c:v>
                </c:pt>
                <c:pt idx="29">
                  <c:v>0.218660033872209</c:v>
                </c:pt>
                <c:pt idx="30">
                  <c:v>0.21669889857417229</c:v>
                </c:pt>
                <c:pt idx="31">
                  <c:v>0.21492973286314054</c:v>
                </c:pt>
                <c:pt idx="32">
                  <c:v>0.21352571500541179</c:v>
                </c:pt>
                <c:pt idx="33">
                  <c:v>0.21262428005126821</c:v>
                </c:pt>
                <c:pt idx="34">
                  <c:v>0.21231366673468799</c:v>
                </c:pt>
                <c:pt idx="35">
                  <c:v>0.21262428005126821</c:v>
                </c:pt>
                <c:pt idx="36">
                  <c:v>0.21352571500541179</c:v>
                </c:pt>
                <c:pt idx="37">
                  <c:v>0.21492973286314054</c:v>
                </c:pt>
                <c:pt idx="38">
                  <c:v>0.21669889857417229</c:v>
                </c:pt>
                <c:pt idx="39">
                  <c:v>0.218660033872209</c:v>
                </c:pt>
                <c:pt idx="40">
                  <c:v>0.22062116917024563</c:v>
                </c:pt>
                <c:pt idx="41">
                  <c:v>0.22239033488127741</c:v>
                </c:pt>
                <c:pt idx="42">
                  <c:v>0.22379435273900616</c:v>
                </c:pt>
                <c:pt idx="44">
                  <c:v>0.22321211039328689</c:v>
                </c:pt>
                <c:pt idx="45">
                  <c:v>0.2240113207650018</c:v>
                </c:pt>
                <c:pt idx="46">
                  <c:v>0.22428670989104205</c:v>
                </c:pt>
                <c:pt idx="47">
                  <c:v>0.22401132076500183</c:v>
                </c:pt>
                <c:pt idx="48">
                  <c:v>0.22321211039328687</c:v>
                </c:pt>
                <c:pt idx="49">
                  <c:v>0.22196731105550679</c:v>
                </c:pt>
                <c:pt idx="50">
                  <c:v>0.22039877238387034</c:v>
                </c:pt>
                <c:pt idx="51">
                  <c:v>0.21866003387220898</c:v>
                </c:pt>
                <c:pt idx="52">
                  <c:v>0.21692129536054761</c:v>
                </c:pt>
                <c:pt idx="53">
                  <c:v>0.21535275668891118</c:v>
                </c:pt>
                <c:pt idx="54">
                  <c:v>0.21410795735113106</c:v>
                </c:pt>
                <c:pt idx="55">
                  <c:v>0.21330874697941615</c:v>
                </c:pt>
                <c:pt idx="56">
                  <c:v>0.2130333578533759</c:v>
                </c:pt>
                <c:pt idx="57">
                  <c:v>0.21330874697941613</c:v>
                </c:pt>
                <c:pt idx="58">
                  <c:v>0.21410795735113103</c:v>
                </c:pt>
                <c:pt idx="59">
                  <c:v>0.21535275668891118</c:v>
                </c:pt>
                <c:pt idx="60">
                  <c:v>0.21692129536054755</c:v>
                </c:pt>
                <c:pt idx="61">
                  <c:v>0.21866003387220898</c:v>
                </c:pt>
                <c:pt idx="62">
                  <c:v>0.22039877238387034</c:v>
                </c:pt>
                <c:pt idx="63">
                  <c:v>0.22196731105550677</c:v>
                </c:pt>
                <c:pt idx="64">
                  <c:v>0.22321211039328689</c:v>
                </c:pt>
                <c:pt idx="66">
                  <c:v>0.22215348794652456</c:v>
                </c:pt>
                <c:pt idx="67">
                  <c:v>0.22276683544109649</c:v>
                </c:pt>
                <c:pt idx="68">
                  <c:v>0.22297818058433666</c:v>
                </c:pt>
                <c:pt idx="69">
                  <c:v>0.22276683544109652</c:v>
                </c:pt>
                <c:pt idx="70">
                  <c:v>0.22215348794652459</c:v>
                </c:pt>
                <c:pt idx="71">
                  <c:v>0.22119817682683288</c:v>
                </c:pt>
                <c:pt idx="72">
                  <c:v>0.21999441459046076</c:v>
                </c:pt>
                <c:pt idx="73">
                  <c:v>0.21866003387220898</c:v>
                </c:pt>
                <c:pt idx="74">
                  <c:v>0.21732565315395722</c:v>
                </c:pt>
                <c:pt idx="75">
                  <c:v>0.21612189091758507</c:v>
                </c:pt>
                <c:pt idx="76">
                  <c:v>0.21516657979789336</c:v>
                </c:pt>
                <c:pt idx="77">
                  <c:v>0.21455323230332143</c:v>
                </c:pt>
                <c:pt idx="78">
                  <c:v>0.21434188716008126</c:v>
                </c:pt>
                <c:pt idx="79">
                  <c:v>0.21455323230332143</c:v>
                </c:pt>
                <c:pt idx="80">
                  <c:v>0.21516657979789339</c:v>
                </c:pt>
                <c:pt idx="81">
                  <c:v>0.21612189091758507</c:v>
                </c:pt>
                <c:pt idx="82">
                  <c:v>0.21732565315395722</c:v>
                </c:pt>
                <c:pt idx="83">
                  <c:v>0.21866003387220898</c:v>
                </c:pt>
                <c:pt idx="84">
                  <c:v>0.21999441459046071</c:v>
                </c:pt>
                <c:pt idx="85">
                  <c:v>0.22119817682683285</c:v>
                </c:pt>
                <c:pt idx="86">
                  <c:v>0.22215348794652456</c:v>
                </c:pt>
                <c:pt idx="88">
                  <c:v>0.22024796754235243</c:v>
                </c:pt>
                <c:pt idx="89">
                  <c:v>0.22052676185806697</c:v>
                </c:pt>
                <c:pt idx="90">
                  <c:v>0.220622827832267</c:v>
                </c:pt>
                <c:pt idx="91">
                  <c:v>0.22052676185806694</c:v>
                </c:pt>
                <c:pt idx="92">
                  <c:v>0.22024796754235243</c:v>
                </c:pt>
                <c:pt idx="93">
                  <c:v>0.21981373521521982</c:v>
                </c:pt>
                <c:pt idx="94">
                  <c:v>0.2192665705623234</c:v>
                </c:pt>
                <c:pt idx="95">
                  <c:v>0.21866003387220898</c:v>
                </c:pt>
                <c:pt idx="96">
                  <c:v>0.21805349718209455</c:v>
                </c:pt>
                <c:pt idx="97">
                  <c:v>0.2175063325291981</c:v>
                </c:pt>
                <c:pt idx="98">
                  <c:v>0.21707210020206552</c:v>
                </c:pt>
                <c:pt idx="99">
                  <c:v>0.21679330588635098</c:v>
                </c:pt>
                <c:pt idx="100">
                  <c:v>0.21669723991215095</c:v>
                </c:pt>
                <c:pt idx="101">
                  <c:v>0.21679330588635101</c:v>
                </c:pt>
                <c:pt idx="102">
                  <c:v>0.21707210020206552</c:v>
                </c:pt>
                <c:pt idx="103">
                  <c:v>0.21750633252919813</c:v>
                </c:pt>
                <c:pt idx="104">
                  <c:v>0.21805349718209455</c:v>
                </c:pt>
                <c:pt idx="105">
                  <c:v>0.21866003387220898</c:v>
                </c:pt>
                <c:pt idx="106">
                  <c:v>0.2192665705623234</c:v>
                </c:pt>
                <c:pt idx="107">
                  <c:v>0.21981373521521985</c:v>
                </c:pt>
                <c:pt idx="108">
                  <c:v>0.22024796754235243</c:v>
                </c:pt>
                <c:pt idx="110">
                  <c:v>0.22379435273900616</c:v>
                </c:pt>
                <c:pt idx="111">
                  <c:v>0.22469578769314974</c:v>
                </c:pt>
                <c:pt idx="112">
                  <c:v>0.22500640100972996</c:v>
                </c:pt>
                <c:pt idx="113">
                  <c:v>0.22469578769314974</c:v>
                </c:pt>
                <c:pt idx="114">
                  <c:v>0.22379435273900616</c:v>
                </c:pt>
                <c:pt idx="115">
                  <c:v>0.22239033488127741</c:v>
                </c:pt>
                <c:pt idx="116">
                  <c:v>0.22062116917024566</c:v>
                </c:pt>
                <c:pt idx="117">
                  <c:v>0.218660033872209</c:v>
                </c:pt>
                <c:pt idx="118">
                  <c:v>0.21669889857417229</c:v>
                </c:pt>
                <c:pt idx="119">
                  <c:v>0.21492973286314054</c:v>
                </c:pt>
                <c:pt idx="120">
                  <c:v>0.21352571500541179</c:v>
                </c:pt>
                <c:pt idx="121">
                  <c:v>0.21262428005126821</c:v>
                </c:pt>
                <c:pt idx="122">
                  <c:v>0.21231366673468799</c:v>
                </c:pt>
                <c:pt idx="123">
                  <c:v>0.21262428005126821</c:v>
                </c:pt>
                <c:pt idx="124">
                  <c:v>0.21352571500541179</c:v>
                </c:pt>
                <c:pt idx="125">
                  <c:v>0.21492973286314054</c:v>
                </c:pt>
                <c:pt idx="126">
                  <c:v>0.21669889857417229</c:v>
                </c:pt>
                <c:pt idx="127">
                  <c:v>0.218660033872209</c:v>
                </c:pt>
                <c:pt idx="128">
                  <c:v>0.22062116917024563</c:v>
                </c:pt>
                <c:pt idx="129">
                  <c:v>0.22239033488127741</c:v>
                </c:pt>
                <c:pt idx="130">
                  <c:v>0.22379435273900616</c:v>
                </c:pt>
                <c:pt idx="132">
                  <c:v>0.22321211039328689</c:v>
                </c:pt>
                <c:pt idx="133">
                  <c:v>0.2240113207650018</c:v>
                </c:pt>
                <c:pt idx="134">
                  <c:v>0.22428670989104205</c:v>
                </c:pt>
                <c:pt idx="135">
                  <c:v>0.22401132076500183</c:v>
                </c:pt>
                <c:pt idx="136">
                  <c:v>0.22321211039328687</c:v>
                </c:pt>
                <c:pt idx="137">
                  <c:v>0.22196731105550679</c:v>
                </c:pt>
                <c:pt idx="138">
                  <c:v>0.22039877238387034</c:v>
                </c:pt>
                <c:pt idx="139">
                  <c:v>0.21866003387220898</c:v>
                </c:pt>
                <c:pt idx="140">
                  <c:v>0.21692129536054761</c:v>
                </c:pt>
                <c:pt idx="141">
                  <c:v>0.21535275668891118</c:v>
                </c:pt>
                <c:pt idx="142">
                  <c:v>0.21410795735113106</c:v>
                </c:pt>
                <c:pt idx="143">
                  <c:v>0.21330874697941615</c:v>
                </c:pt>
                <c:pt idx="144">
                  <c:v>0.2130333578533759</c:v>
                </c:pt>
                <c:pt idx="145">
                  <c:v>0.21330874697941613</c:v>
                </c:pt>
                <c:pt idx="146">
                  <c:v>0.21410795735113103</c:v>
                </c:pt>
                <c:pt idx="147">
                  <c:v>0.21535275668891118</c:v>
                </c:pt>
                <c:pt idx="148">
                  <c:v>0.21692129536054755</c:v>
                </c:pt>
                <c:pt idx="149">
                  <c:v>0.21866003387220898</c:v>
                </c:pt>
                <c:pt idx="150">
                  <c:v>0.22039877238387034</c:v>
                </c:pt>
                <c:pt idx="151">
                  <c:v>0.22196731105550677</c:v>
                </c:pt>
                <c:pt idx="152">
                  <c:v>0.22321211039328689</c:v>
                </c:pt>
                <c:pt idx="154">
                  <c:v>0.22215348794652456</c:v>
                </c:pt>
                <c:pt idx="155">
                  <c:v>0.22276683544109649</c:v>
                </c:pt>
                <c:pt idx="156">
                  <c:v>0.22297818058433666</c:v>
                </c:pt>
                <c:pt idx="157">
                  <c:v>0.22276683544109652</c:v>
                </c:pt>
                <c:pt idx="158">
                  <c:v>0.22215348794652459</c:v>
                </c:pt>
                <c:pt idx="159">
                  <c:v>0.22119817682683288</c:v>
                </c:pt>
                <c:pt idx="160">
                  <c:v>0.21999441459046076</c:v>
                </c:pt>
                <c:pt idx="161">
                  <c:v>0.21866003387220898</c:v>
                </c:pt>
                <c:pt idx="162">
                  <c:v>0.21732565315395722</c:v>
                </c:pt>
                <c:pt idx="163">
                  <c:v>0.21612189091758507</c:v>
                </c:pt>
                <c:pt idx="164">
                  <c:v>0.21516657979789336</c:v>
                </c:pt>
                <c:pt idx="165">
                  <c:v>0.21455323230332143</c:v>
                </c:pt>
                <c:pt idx="166">
                  <c:v>0.21434188716008126</c:v>
                </c:pt>
                <c:pt idx="167">
                  <c:v>0.21455323230332143</c:v>
                </c:pt>
                <c:pt idx="168">
                  <c:v>0.21516657979789339</c:v>
                </c:pt>
                <c:pt idx="169">
                  <c:v>0.21612189091758507</c:v>
                </c:pt>
                <c:pt idx="170">
                  <c:v>0.21732565315395722</c:v>
                </c:pt>
                <c:pt idx="171">
                  <c:v>0.21866003387220898</c:v>
                </c:pt>
                <c:pt idx="172">
                  <c:v>0.21999441459046071</c:v>
                </c:pt>
                <c:pt idx="173">
                  <c:v>0.22119817682683285</c:v>
                </c:pt>
                <c:pt idx="174">
                  <c:v>0.22215348794652456</c:v>
                </c:pt>
                <c:pt idx="176">
                  <c:v>0.22024796754235243</c:v>
                </c:pt>
                <c:pt idx="177">
                  <c:v>0.22052676185806697</c:v>
                </c:pt>
                <c:pt idx="178">
                  <c:v>0.220622827832267</c:v>
                </c:pt>
                <c:pt idx="179">
                  <c:v>0.22052676185806694</c:v>
                </c:pt>
                <c:pt idx="180">
                  <c:v>0.22024796754235243</c:v>
                </c:pt>
                <c:pt idx="181">
                  <c:v>0.21981373521521982</c:v>
                </c:pt>
                <c:pt idx="182">
                  <c:v>0.2192665705623234</c:v>
                </c:pt>
                <c:pt idx="183">
                  <c:v>0.21866003387220898</c:v>
                </c:pt>
                <c:pt idx="184">
                  <c:v>0.21805349718209455</c:v>
                </c:pt>
                <c:pt idx="185">
                  <c:v>0.2175063325291981</c:v>
                </c:pt>
                <c:pt idx="186">
                  <c:v>0.21707210020206552</c:v>
                </c:pt>
                <c:pt idx="187">
                  <c:v>0.21679330588635098</c:v>
                </c:pt>
                <c:pt idx="188">
                  <c:v>0.21669723991215095</c:v>
                </c:pt>
                <c:pt idx="189">
                  <c:v>0.21679330588635101</c:v>
                </c:pt>
                <c:pt idx="190">
                  <c:v>0.21707210020206552</c:v>
                </c:pt>
                <c:pt idx="191">
                  <c:v>0.21750633252919813</c:v>
                </c:pt>
                <c:pt idx="192">
                  <c:v>0.21805349718209455</c:v>
                </c:pt>
                <c:pt idx="193">
                  <c:v>0.21866003387220898</c:v>
                </c:pt>
                <c:pt idx="194">
                  <c:v>0.2192665705623234</c:v>
                </c:pt>
                <c:pt idx="195">
                  <c:v>0.21981373521521985</c:v>
                </c:pt>
                <c:pt idx="196">
                  <c:v>0.22024796754235243</c:v>
                </c:pt>
                <c:pt idx="198">
                  <c:v>0.21866003387220898</c:v>
                </c:pt>
                <c:pt idx="199">
                  <c:v>0.22029569550559069</c:v>
                </c:pt>
                <c:pt idx="200">
                  <c:v>0.22177124718197228</c:v>
                </c:pt>
                <c:pt idx="201">
                  <c:v>0.22294225162249645</c:v>
                </c:pt>
                <c:pt idx="202">
                  <c:v>0.22369408275365704</c:v>
                </c:pt>
                <c:pt idx="203">
                  <c:v>0.22395314610602049</c:v>
                </c:pt>
                <c:pt idx="204">
                  <c:v>0.22369408275365704</c:v>
                </c:pt>
                <c:pt idx="205">
                  <c:v>0.22294225162249645</c:v>
                </c:pt>
                <c:pt idx="206">
                  <c:v>0.22177124718197228</c:v>
                </c:pt>
                <c:pt idx="207">
                  <c:v>0.22029569550559069</c:v>
                </c:pt>
                <c:pt idx="208">
                  <c:v>0.21866003387220898</c:v>
                </c:pt>
                <c:pt idx="209">
                  <c:v>0.21702437223882726</c:v>
                </c:pt>
                <c:pt idx="210">
                  <c:v>0.21554882056244568</c:v>
                </c:pt>
                <c:pt idx="211">
                  <c:v>0.2143778161219215</c:v>
                </c:pt>
                <c:pt idx="212">
                  <c:v>0.21362598499076091</c:v>
                </c:pt>
                <c:pt idx="213">
                  <c:v>0.21336692163839743</c:v>
                </c:pt>
                <c:pt idx="214">
                  <c:v>0.21362598499076091</c:v>
                </c:pt>
                <c:pt idx="215">
                  <c:v>0.2143778161219215</c:v>
                </c:pt>
                <c:pt idx="216">
                  <c:v>0.21554882056244568</c:v>
                </c:pt>
                <c:pt idx="217">
                  <c:v>0.21702437223882726</c:v>
                </c:pt>
                <c:pt idx="218">
                  <c:v>0.21866003387220898</c:v>
                </c:pt>
                <c:pt idx="220">
                  <c:v>0.22250570501557851</c:v>
                </c:pt>
                <c:pt idx="221">
                  <c:v>0.22231748447263877</c:v>
                </c:pt>
                <c:pt idx="222">
                  <c:v>0.22177124718197225</c:v>
                </c:pt>
                <c:pt idx="223">
                  <c:v>0.22092046265544832</c:v>
                </c:pt>
                <c:pt idx="224">
                  <c:v>0.21984841161028748</c:v>
                </c:pt>
                <c:pt idx="225">
                  <c:v>0.21866003387220898</c:v>
                </c:pt>
                <c:pt idx="226">
                  <c:v>0.21747165613413047</c:v>
                </c:pt>
                <c:pt idx="227">
                  <c:v>0.21639960508896963</c:v>
                </c:pt>
                <c:pt idx="228">
                  <c:v>0.2155488205624457</c:v>
                </c:pt>
                <c:pt idx="229">
                  <c:v>0.21500258327177915</c:v>
                </c:pt>
                <c:pt idx="230">
                  <c:v>0.21481436272883944</c:v>
                </c:pt>
                <c:pt idx="231">
                  <c:v>0.21500258327177915</c:v>
                </c:pt>
                <c:pt idx="232">
                  <c:v>0.2155488205624457</c:v>
                </c:pt>
                <c:pt idx="233">
                  <c:v>0.21639960508896963</c:v>
                </c:pt>
                <c:pt idx="234">
                  <c:v>0.21747165613413047</c:v>
                </c:pt>
                <c:pt idx="235">
                  <c:v>0.21866003387220898</c:v>
                </c:pt>
                <c:pt idx="236">
                  <c:v>0.21984841161028748</c:v>
                </c:pt>
                <c:pt idx="237">
                  <c:v>0.22092046265544832</c:v>
                </c:pt>
                <c:pt idx="238">
                  <c:v>0.22177124718197225</c:v>
                </c:pt>
                <c:pt idx="239">
                  <c:v>0.22231748447263877</c:v>
                </c:pt>
                <c:pt idx="240">
                  <c:v>0.22250570501557851</c:v>
                </c:pt>
                <c:pt idx="242">
                  <c:v>0.21866003387220898</c:v>
                </c:pt>
                <c:pt idx="243">
                  <c:v>0.22065693126210628</c:v>
                </c:pt>
                <c:pt idx="244">
                  <c:v>0.22245835842227824</c:v>
                </c:pt>
                <c:pt idx="245">
                  <c:v>0.22388797911100608</c:v>
                </c:pt>
                <c:pt idx="246">
                  <c:v>0.22480585209452414</c:v>
                </c:pt>
                <c:pt idx="247">
                  <c:v>0.2251221295700086</c:v>
                </c:pt>
                <c:pt idx="248">
                  <c:v>0.22480585209452414</c:v>
                </c:pt>
                <c:pt idx="249">
                  <c:v>0.22388797911100608</c:v>
                </c:pt>
                <c:pt idx="250">
                  <c:v>0.22245835842227824</c:v>
                </c:pt>
                <c:pt idx="251">
                  <c:v>0.22065693126210631</c:v>
                </c:pt>
                <c:pt idx="252">
                  <c:v>0.21866003387220898</c:v>
                </c:pt>
                <c:pt idx="253">
                  <c:v>0.21666313648231164</c:v>
                </c:pt>
                <c:pt idx="254">
                  <c:v>0.21486170932213972</c:v>
                </c:pt>
                <c:pt idx="255">
                  <c:v>0.21343208863341184</c:v>
                </c:pt>
                <c:pt idx="256">
                  <c:v>0.21251421564989378</c:v>
                </c:pt>
                <c:pt idx="257">
                  <c:v>0.21219793817440935</c:v>
                </c:pt>
                <c:pt idx="258">
                  <c:v>0.21251421564989378</c:v>
                </c:pt>
                <c:pt idx="259">
                  <c:v>0.21343208863341184</c:v>
                </c:pt>
                <c:pt idx="260">
                  <c:v>0.21486170932213972</c:v>
                </c:pt>
                <c:pt idx="261">
                  <c:v>0.21666313648231164</c:v>
                </c:pt>
                <c:pt idx="262">
                  <c:v>0.21866003387220898</c:v>
                </c:pt>
                <c:pt idx="264">
                  <c:v>0.21763653846178938</c:v>
                </c:pt>
                <c:pt idx="265">
                  <c:v>0.21768663189273121</c:v>
                </c:pt>
                <c:pt idx="266">
                  <c:v>0.21783200869151476</c:v>
                </c:pt>
                <c:pt idx="267">
                  <c:v>0.21805843836417532</c:v>
                </c:pt>
                <c:pt idx="268">
                  <c:v>0.21834375639672457</c:v>
                </c:pt>
                <c:pt idx="269">
                  <c:v>0.21866003387220898</c:v>
                </c:pt>
                <c:pt idx="270">
                  <c:v>0.21897631134769335</c:v>
                </c:pt>
                <c:pt idx="271">
                  <c:v>0.21926162938024263</c:v>
                </c:pt>
                <c:pt idx="272">
                  <c:v>0.21948805905290314</c:v>
                </c:pt>
                <c:pt idx="273">
                  <c:v>0.21963343585168671</c:v>
                </c:pt>
                <c:pt idx="274">
                  <c:v>0.21968352928262858</c:v>
                </c:pt>
                <c:pt idx="275">
                  <c:v>0.21963343585168671</c:v>
                </c:pt>
                <c:pt idx="276">
                  <c:v>0.21948805905290314</c:v>
                </c:pt>
                <c:pt idx="277">
                  <c:v>0.21926162938024263</c:v>
                </c:pt>
                <c:pt idx="278">
                  <c:v>0.21897631134769338</c:v>
                </c:pt>
                <c:pt idx="279">
                  <c:v>0.21866003387220898</c:v>
                </c:pt>
                <c:pt idx="280">
                  <c:v>0.21834375639672457</c:v>
                </c:pt>
                <c:pt idx="281">
                  <c:v>0.21805843836417532</c:v>
                </c:pt>
                <c:pt idx="282">
                  <c:v>0.21783200869151476</c:v>
                </c:pt>
                <c:pt idx="283">
                  <c:v>0.21768663189273121</c:v>
                </c:pt>
                <c:pt idx="284">
                  <c:v>0.21763653846178938</c:v>
                </c:pt>
              </c:numCache>
            </c:numRef>
          </c:xVal>
          <c:yVal>
            <c:numRef>
              <c:f>Planètes!$K$6:$K$290</c:f>
              <c:numCache>
                <c:formatCode>General</c:formatCode>
                <c:ptCount val="285"/>
                <c:pt idx="0">
                  <c:v>-8.3073575897327445E-2</c:v>
                </c:pt>
                <c:pt idx="1">
                  <c:v>-8.1950681905833239E-2</c:v>
                </c:pt>
                <c:pt idx="2">
                  <c:v>-8.0705944327583268E-2</c:v>
                </c:pt>
                <c:pt idx="3">
                  <c:v>-7.9461206749333269E-2</c:v>
                </c:pt>
                <c:pt idx="4">
                  <c:v>-7.8338312757839063E-2</c:v>
                </c:pt>
                <c:pt idx="5">
                  <c:v>-7.7447179040650543E-2</c:v>
                </c:pt>
                <c:pt idx="6">
                  <c:v>-7.6875035974899891E-2</c:v>
                </c:pt>
                <c:pt idx="7">
                  <c:v>-7.6677888910217831E-2</c:v>
                </c:pt>
                <c:pt idx="8">
                  <c:v>-7.6875035974899877E-2</c:v>
                </c:pt>
                <c:pt idx="9">
                  <c:v>-7.7447179040650543E-2</c:v>
                </c:pt>
                <c:pt idx="10">
                  <c:v>-7.8338312757839063E-2</c:v>
                </c:pt>
                <c:pt idx="11">
                  <c:v>-7.9461206749333241E-2</c:v>
                </c:pt>
                <c:pt idx="12">
                  <c:v>-8.0705944327583254E-2</c:v>
                </c:pt>
                <c:pt idx="13">
                  <c:v>-8.1950681905833239E-2</c:v>
                </c:pt>
                <c:pt idx="14">
                  <c:v>-8.3073575897327417E-2</c:v>
                </c:pt>
                <c:pt idx="15">
                  <c:v>-8.3964709614515964E-2</c:v>
                </c:pt>
                <c:pt idx="16">
                  <c:v>-8.4536852680266616E-2</c:v>
                </c:pt>
                <c:pt idx="17">
                  <c:v>-8.4733999744948663E-2</c:v>
                </c:pt>
                <c:pt idx="18">
                  <c:v>-8.4536852680266644E-2</c:v>
                </c:pt>
                <c:pt idx="19">
                  <c:v>-8.3964709614515937E-2</c:v>
                </c:pt>
                <c:pt idx="20">
                  <c:v>-8.3073575897327445E-2</c:v>
                </c:pt>
                <c:pt idx="22">
                  <c:v>-8.1713627993868387E-2</c:v>
                </c:pt>
                <c:pt idx="23">
                  <c:v>-8.0624420822119E-2</c:v>
                </c:pt>
                <c:pt idx="24">
                  <c:v>-7.9417025371216504E-2</c:v>
                </c:pt>
                <c:pt idx="25">
                  <c:v>-7.8209629920313994E-2</c:v>
                </c:pt>
                <c:pt idx="26">
                  <c:v>-7.7120422748564621E-2</c:v>
                </c:pt>
                <c:pt idx="27">
                  <c:v>-7.6256023042891807E-2</c:v>
                </c:pt>
                <c:pt idx="28">
                  <c:v>-7.5701044269113615E-2</c:v>
                </c:pt>
                <c:pt idx="29">
                  <c:v>-7.5509811616372047E-2</c:v>
                </c:pt>
                <c:pt idx="30">
                  <c:v>-7.5701044269113643E-2</c:v>
                </c:pt>
                <c:pt idx="31">
                  <c:v>-7.6256023042891793E-2</c:v>
                </c:pt>
                <c:pt idx="32">
                  <c:v>-7.7120422748564649E-2</c:v>
                </c:pt>
                <c:pt idx="33">
                  <c:v>-7.8209629920314008E-2</c:v>
                </c:pt>
                <c:pt idx="34">
                  <c:v>-7.9417025371216504E-2</c:v>
                </c:pt>
                <c:pt idx="35">
                  <c:v>-8.0624420822118986E-2</c:v>
                </c:pt>
                <c:pt idx="36">
                  <c:v>-8.1713627993868374E-2</c:v>
                </c:pt>
                <c:pt idx="37">
                  <c:v>-8.2578027699541229E-2</c:v>
                </c:pt>
                <c:pt idx="38">
                  <c:v>-8.3133006473319379E-2</c:v>
                </c:pt>
                <c:pt idx="39">
                  <c:v>-8.3324239126060962E-2</c:v>
                </c:pt>
                <c:pt idx="40">
                  <c:v>-8.3133006473319393E-2</c:v>
                </c:pt>
                <c:pt idx="41">
                  <c:v>-8.2578027699541215E-2</c:v>
                </c:pt>
                <c:pt idx="42">
                  <c:v>-8.1713627993868387E-2</c:v>
                </c:pt>
                <c:pt idx="44">
                  <c:v>-8.0164269564829832E-2</c:v>
                </c:pt>
                <c:pt idx="45">
                  <c:v>-7.9198580732144794E-2</c:v>
                </c:pt>
                <c:pt idx="46">
                  <c:v>-7.8128106414849796E-2</c:v>
                </c:pt>
                <c:pt idx="47">
                  <c:v>-7.7057632097554812E-2</c:v>
                </c:pt>
                <c:pt idx="48">
                  <c:v>-7.6091943264869816E-2</c:v>
                </c:pt>
                <c:pt idx="49">
                  <c:v>-7.5325568268087673E-2</c:v>
                </c:pt>
                <c:pt idx="50">
                  <c:v>-7.4833525231542117E-2</c:v>
                </c:pt>
                <c:pt idx="51">
                  <c:v>-7.4663978755915544E-2</c:v>
                </c:pt>
                <c:pt idx="52">
                  <c:v>-7.4833525231542103E-2</c:v>
                </c:pt>
                <c:pt idx="53">
                  <c:v>-7.5325568268087686E-2</c:v>
                </c:pt>
                <c:pt idx="54">
                  <c:v>-7.6091943264869802E-2</c:v>
                </c:pt>
                <c:pt idx="55">
                  <c:v>-7.7057632097554812E-2</c:v>
                </c:pt>
                <c:pt idx="56">
                  <c:v>-7.812810641484981E-2</c:v>
                </c:pt>
                <c:pt idx="57">
                  <c:v>-7.919858073214478E-2</c:v>
                </c:pt>
                <c:pt idx="58">
                  <c:v>-8.0164269564829804E-2</c:v>
                </c:pt>
                <c:pt idx="59">
                  <c:v>-8.093064456161192E-2</c:v>
                </c:pt>
                <c:pt idx="60">
                  <c:v>-8.1422687598157503E-2</c:v>
                </c:pt>
                <c:pt idx="61">
                  <c:v>-8.1592234073784048E-2</c:v>
                </c:pt>
                <c:pt idx="62">
                  <c:v>-8.1422687598157517E-2</c:v>
                </c:pt>
                <c:pt idx="63">
                  <c:v>-8.093064456161192E-2</c:v>
                </c:pt>
                <c:pt idx="64">
                  <c:v>-8.0164269564829832E-2</c:v>
                </c:pt>
                <c:pt idx="66">
                  <c:v>-7.8401824294514241E-2</c:v>
                </c:pt>
                <c:pt idx="67">
                  <c:v>-7.766071426012805E-2</c:v>
                </c:pt>
                <c:pt idx="68">
                  <c:v>-7.6839187458483074E-2</c:v>
                </c:pt>
                <c:pt idx="69">
                  <c:v>-7.6017660656838071E-2</c:v>
                </c:pt>
                <c:pt idx="70">
                  <c:v>-7.5276550622451893E-2</c:v>
                </c:pt>
                <c:pt idx="71">
                  <c:v>-7.4688402369107482E-2</c:v>
                </c:pt>
                <c:pt idx="72">
                  <c:v>-7.4310787945712026E-2</c:v>
                </c:pt>
                <c:pt idx="73">
                  <c:v>-7.4180670883021882E-2</c:v>
                </c:pt>
                <c:pt idx="74">
                  <c:v>-7.4310787945712053E-2</c:v>
                </c:pt>
                <c:pt idx="75">
                  <c:v>-7.4688402369107482E-2</c:v>
                </c:pt>
                <c:pt idx="76">
                  <c:v>-7.5276550622451907E-2</c:v>
                </c:pt>
                <c:pt idx="77">
                  <c:v>-7.6017660656838085E-2</c:v>
                </c:pt>
                <c:pt idx="78">
                  <c:v>-7.683918745848306E-2</c:v>
                </c:pt>
                <c:pt idx="79">
                  <c:v>-7.766071426012805E-2</c:v>
                </c:pt>
                <c:pt idx="80">
                  <c:v>-7.8401824294514227E-2</c:v>
                </c:pt>
                <c:pt idx="81">
                  <c:v>-7.8989972547858639E-2</c:v>
                </c:pt>
                <c:pt idx="82">
                  <c:v>-7.9367586971254095E-2</c:v>
                </c:pt>
                <c:pt idx="83">
                  <c:v>-7.9497704033944239E-2</c:v>
                </c:pt>
                <c:pt idx="84">
                  <c:v>-7.9367586971254109E-2</c:v>
                </c:pt>
                <c:pt idx="85">
                  <c:v>-7.8989972547858653E-2</c:v>
                </c:pt>
                <c:pt idx="86">
                  <c:v>-7.8401824294514241E-2</c:v>
                </c:pt>
                <c:pt idx="88">
                  <c:v>-7.6518341764312992E-2</c:v>
                </c:pt>
                <c:pt idx="89">
                  <c:v>-7.6181473566864721E-2</c:v>
                </c:pt>
                <c:pt idx="90">
                  <c:v>-7.5808052293389716E-2</c:v>
                </c:pt>
                <c:pt idx="91">
                  <c:v>-7.5434631019914711E-2</c:v>
                </c:pt>
                <c:pt idx="92">
                  <c:v>-7.5097762822466468E-2</c:v>
                </c:pt>
                <c:pt idx="93">
                  <c:v>-7.4830422707309913E-2</c:v>
                </c:pt>
                <c:pt idx="94">
                  <c:v>-7.46587797875847E-2</c:v>
                </c:pt>
                <c:pt idx="95">
                  <c:v>-7.4599635668180092E-2</c:v>
                </c:pt>
                <c:pt idx="96">
                  <c:v>-7.46587797875847E-2</c:v>
                </c:pt>
                <c:pt idx="97">
                  <c:v>-7.4830422707309899E-2</c:v>
                </c:pt>
                <c:pt idx="98">
                  <c:v>-7.5097762822466468E-2</c:v>
                </c:pt>
                <c:pt idx="99">
                  <c:v>-7.5434631019914725E-2</c:v>
                </c:pt>
                <c:pt idx="100">
                  <c:v>-7.5808052293389716E-2</c:v>
                </c:pt>
                <c:pt idx="101">
                  <c:v>-7.6181473566864721E-2</c:v>
                </c:pt>
                <c:pt idx="102">
                  <c:v>-7.6518341764312992E-2</c:v>
                </c:pt>
                <c:pt idx="103">
                  <c:v>-7.678568187946952E-2</c:v>
                </c:pt>
                <c:pt idx="104">
                  <c:v>-7.6957324799194746E-2</c:v>
                </c:pt>
                <c:pt idx="105">
                  <c:v>-7.701646891859934E-2</c:v>
                </c:pt>
                <c:pt idx="106">
                  <c:v>-7.6957324799194732E-2</c:v>
                </c:pt>
                <c:pt idx="107">
                  <c:v>-7.6785681879469547E-2</c:v>
                </c:pt>
                <c:pt idx="108">
                  <c:v>-7.6518341764312992E-2</c:v>
                </c:pt>
                <c:pt idx="110">
                  <c:v>-8.4291465906601831E-2</c:v>
                </c:pt>
                <c:pt idx="111">
                  <c:v>-8.3202258734852444E-2</c:v>
                </c:pt>
                <c:pt idx="112">
                  <c:v>-8.1994863283949948E-2</c:v>
                </c:pt>
                <c:pt idx="113">
                  <c:v>-8.0787467833047438E-2</c:v>
                </c:pt>
                <c:pt idx="114">
                  <c:v>-7.9698260661298065E-2</c:v>
                </c:pt>
                <c:pt idx="115">
                  <c:v>-7.8833860955625251E-2</c:v>
                </c:pt>
                <c:pt idx="116">
                  <c:v>-7.8278882181847059E-2</c:v>
                </c:pt>
                <c:pt idx="117">
                  <c:v>-7.8087649529105491E-2</c:v>
                </c:pt>
                <c:pt idx="118">
                  <c:v>-7.8278882181847087E-2</c:v>
                </c:pt>
                <c:pt idx="119">
                  <c:v>-7.8833860955625237E-2</c:v>
                </c:pt>
                <c:pt idx="120">
                  <c:v>-7.9698260661298093E-2</c:v>
                </c:pt>
                <c:pt idx="121">
                  <c:v>-8.0787467833047452E-2</c:v>
                </c:pt>
                <c:pt idx="122">
                  <c:v>-8.1994863283949948E-2</c:v>
                </c:pt>
                <c:pt idx="123">
                  <c:v>-8.320225873485243E-2</c:v>
                </c:pt>
                <c:pt idx="124">
                  <c:v>-8.4291465906601817E-2</c:v>
                </c:pt>
                <c:pt idx="125">
                  <c:v>-8.5155865612274673E-2</c:v>
                </c:pt>
                <c:pt idx="126">
                  <c:v>-8.5710844386052823E-2</c:v>
                </c:pt>
                <c:pt idx="127">
                  <c:v>-8.5902077038794405E-2</c:v>
                </c:pt>
                <c:pt idx="128">
                  <c:v>-8.5710844386052837E-2</c:v>
                </c:pt>
                <c:pt idx="129">
                  <c:v>-8.5155865612274659E-2</c:v>
                </c:pt>
                <c:pt idx="130">
                  <c:v>-8.4291465906601831E-2</c:v>
                </c:pt>
                <c:pt idx="132">
                  <c:v>-8.5319945390296692E-2</c:v>
                </c:pt>
                <c:pt idx="133">
                  <c:v>-8.4354256557611654E-2</c:v>
                </c:pt>
                <c:pt idx="134">
                  <c:v>-8.3283782240316656E-2</c:v>
                </c:pt>
                <c:pt idx="135">
                  <c:v>-8.2213307923021672E-2</c:v>
                </c:pt>
                <c:pt idx="136">
                  <c:v>-8.1247619090336676E-2</c:v>
                </c:pt>
                <c:pt idx="137">
                  <c:v>-8.0481244093554533E-2</c:v>
                </c:pt>
                <c:pt idx="138">
                  <c:v>-7.9989201057008977E-2</c:v>
                </c:pt>
                <c:pt idx="139">
                  <c:v>-7.9819654581382404E-2</c:v>
                </c:pt>
                <c:pt idx="140">
                  <c:v>-7.9989201057008963E-2</c:v>
                </c:pt>
                <c:pt idx="141">
                  <c:v>-8.0481244093554546E-2</c:v>
                </c:pt>
                <c:pt idx="142">
                  <c:v>-8.1247619090336662E-2</c:v>
                </c:pt>
                <c:pt idx="143">
                  <c:v>-8.2213307923021672E-2</c:v>
                </c:pt>
                <c:pt idx="144">
                  <c:v>-8.328378224031667E-2</c:v>
                </c:pt>
                <c:pt idx="145">
                  <c:v>-8.435425655761164E-2</c:v>
                </c:pt>
                <c:pt idx="146">
                  <c:v>-8.5319945390296664E-2</c:v>
                </c:pt>
                <c:pt idx="147">
                  <c:v>-8.608632038707878E-2</c:v>
                </c:pt>
                <c:pt idx="148">
                  <c:v>-8.6578363423624363E-2</c:v>
                </c:pt>
                <c:pt idx="149">
                  <c:v>-8.6747909899250908E-2</c:v>
                </c:pt>
                <c:pt idx="150">
                  <c:v>-8.6578363423624377E-2</c:v>
                </c:pt>
                <c:pt idx="151">
                  <c:v>-8.608632038707878E-2</c:v>
                </c:pt>
                <c:pt idx="152">
                  <c:v>-8.5319945390296692E-2</c:v>
                </c:pt>
                <c:pt idx="154">
                  <c:v>-8.6135338032714545E-2</c:v>
                </c:pt>
                <c:pt idx="155">
                  <c:v>-8.5394227998328354E-2</c:v>
                </c:pt>
                <c:pt idx="156">
                  <c:v>-8.4572701196683378E-2</c:v>
                </c:pt>
                <c:pt idx="157">
                  <c:v>-8.3751174395038375E-2</c:v>
                </c:pt>
                <c:pt idx="158">
                  <c:v>-8.3010064360652197E-2</c:v>
                </c:pt>
                <c:pt idx="159">
                  <c:v>-8.2421916107307786E-2</c:v>
                </c:pt>
                <c:pt idx="160">
                  <c:v>-8.204430168391233E-2</c:v>
                </c:pt>
                <c:pt idx="161">
                  <c:v>-8.1914184621222186E-2</c:v>
                </c:pt>
                <c:pt idx="162">
                  <c:v>-8.2044301683912357E-2</c:v>
                </c:pt>
                <c:pt idx="163">
                  <c:v>-8.2421916107307786E-2</c:v>
                </c:pt>
                <c:pt idx="164">
                  <c:v>-8.3010064360652211E-2</c:v>
                </c:pt>
                <c:pt idx="165">
                  <c:v>-8.3751174395038389E-2</c:v>
                </c:pt>
                <c:pt idx="166">
                  <c:v>-8.4572701196683364E-2</c:v>
                </c:pt>
                <c:pt idx="167">
                  <c:v>-8.5394227998328354E-2</c:v>
                </c:pt>
                <c:pt idx="168">
                  <c:v>-8.6135338032714531E-2</c:v>
                </c:pt>
                <c:pt idx="169">
                  <c:v>-8.6723486286058943E-2</c:v>
                </c:pt>
                <c:pt idx="170">
                  <c:v>-8.7101100709454399E-2</c:v>
                </c:pt>
                <c:pt idx="171">
                  <c:v>-8.7231217772144543E-2</c:v>
                </c:pt>
                <c:pt idx="172">
                  <c:v>-8.7101100709454413E-2</c:v>
                </c:pt>
                <c:pt idx="173">
                  <c:v>-8.6723486286058957E-2</c:v>
                </c:pt>
                <c:pt idx="174">
                  <c:v>-8.6135338032714545E-2</c:v>
                </c:pt>
                <c:pt idx="176">
                  <c:v>-8.6314125832700012E-2</c:v>
                </c:pt>
                <c:pt idx="177">
                  <c:v>-8.5977257635251741E-2</c:v>
                </c:pt>
                <c:pt idx="178">
                  <c:v>-8.5603836361776736E-2</c:v>
                </c:pt>
                <c:pt idx="179">
                  <c:v>-8.5230415088301731E-2</c:v>
                </c:pt>
                <c:pt idx="180">
                  <c:v>-8.4893546890853488E-2</c:v>
                </c:pt>
                <c:pt idx="181">
                  <c:v>-8.4626206775696933E-2</c:v>
                </c:pt>
                <c:pt idx="182">
                  <c:v>-8.445456385597172E-2</c:v>
                </c:pt>
                <c:pt idx="183">
                  <c:v>-8.4395419736567112E-2</c:v>
                </c:pt>
                <c:pt idx="184">
                  <c:v>-8.445456385597172E-2</c:v>
                </c:pt>
                <c:pt idx="185">
                  <c:v>-8.4626206775696919E-2</c:v>
                </c:pt>
                <c:pt idx="186">
                  <c:v>-8.4893546890853488E-2</c:v>
                </c:pt>
                <c:pt idx="187">
                  <c:v>-8.5230415088301745E-2</c:v>
                </c:pt>
                <c:pt idx="188">
                  <c:v>-8.5603836361776736E-2</c:v>
                </c:pt>
                <c:pt idx="189">
                  <c:v>-8.5977257635251741E-2</c:v>
                </c:pt>
                <c:pt idx="190">
                  <c:v>-8.6314125832700012E-2</c:v>
                </c:pt>
                <c:pt idx="191">
                  <c:v>-8.658146594785654E-2</c:v>
                </c:pt>
                <c:pt idx="192">
                  <c:v>-8.6753108867581766E-2</c:v>
                </c:pt>
                <c:pt idx="193">
                  <c:v>-8.681225298698636E-2</c:v>
                </c:pt>
                <c:pt idx="194">
                  <c:v>-8.6753108867581752E-2</c:v>
                </c:pt>
                <c:pt idx="195">
                  <c:v>-8.6581465947856567E-2</c:v>
                </c:pt>
                <c:pt idx="196">
                  <c:v>-8.6314125832700012E-2</c:v>
                </c:pt>
                <c:pt idx="198">
                  <c:v>-7.5550268502116352E-2</c:v>
                </c:pt>
                <c:pt idx="199">
                  <c:v>-7.6534243629337168E-2</c:v>
                </c:pt>
                <c:pt idx="200">
                  <c:v>-7.7926573886850176E-2</c:v>
                </c:pt>
                <c:pt idx="201">
                  <c:v>-7.9590968288114655E-2</c:v>
                </c:pt>
                <c:pt idx="202">
                  <c:v>-8.1364504312617228E-2</c:v>
                </c:pt>
                <c:pt idx="203">
                  <c:v>-8.3073575897327445E-2</c:v>
                </c:pt>
                <c:pt idx="204">
                  <c:v>-8.455088720773192E-2</c:v>
                </c:pt>
                <c:pt idx="205">
                  <c:v>-8.5651828719735174E-2</c:v>
                </c:pt>
                <c:pt idx="206">
                  <c:v>-8.6268632607431728E-2</c:v>
                </c:pt>
                <c:pt idx="207">
                  <c:v>-8.6340921808768484E-2</c:v>
                </c:pt>
                <c:pt idx="208">
                  <c:v>-8.5861620153050128E-2</c:v>
                </c:pt>
                <c:pt idx="209">
                  <c:v>-8.4877645025829285E-2</c:v>
                </c:pt>
                <c:pt idx="210">
                  <c:v>-8.3485314768316304E-2</c:v>
                </c:pt>
                <c:pt idx="211">
                  <c:v>-8.1820920367051797E-2</c:v>
                </c:pt>
                <c:pt idx="212">
                  <c:v>-8.0047384342549224E-2</c:v>
                </c:pt>
                <c:pt idx="213">
                  <c:v>-7.8338312757839063E-2</c:v>
                </c:pt>
                <c:pt idx="214">
                  <c:v>-7.6861001447434532E-2</c:v>
                </c:pt>
                <c:pt idx="215">
                  <c:v>-7.5760059935431279E-2</c:v>
                </c:pt>
                <c:pt idx="216">
                  <c:v>-7.5143256047734752E-2</c:v>
                </c:pt>
                <c:pt idx="217">
                  <c:v>-7.5070966846397968E-2</c:v>
                </c:pt>
                <c:pt idx="218">
                  <c:v>-7.5550268502116352E-2</c:v>
                </c:pt>
                <c:pt idx="220">
                  <c:v>-7.7447179040650543E-2</c:v>
                </c:pt>
                <c:pt idx="221">
                  <c:v>-7.6013482918812103E-2</c:v>
                </c:pt>
                <c:pt idx="222">
                  <c:v>-7.5039117613965256E-2</c:v>
                </c:pt>
                <c:pt idx="223">
                  <c:v>-7.4619460790950776E-2</c:v>
                </c:pt>
                <c:pt idx="224">
                  <c:v>-7.4795591383526205E-2</c:v>
                </c:pt>
                <c:pt idx="225">
                  <c:v>-7.5550268502116352E-2</c:v>
                </c:pt>
                <c:pt idx="226">
                  <c:v>-7.6809619092208903E-2</c:v>
                </c:pt>
                <c:pt idx="227">
                  <c:v>-7.8450369143634152E-2</c:v>
                </c:pt>
                <c:pt idx="228">
                  <c:v>-8.0311910609580678E-2</c:v>
                </c:pt>
                <c:pt idx="229">
                  <c:v>-8.2212022841239657E-2</c:v>
                </c:pt>
                <c:pt idx="230">
                  <c:v>-8.3964709614515964E-2</c:v>
                </c:pt>
                <c:pt idx="231">
                  <c:v>-8.5398405736354349E-2</c:v>
                </c:pt>
                <c:pt idx="232">
                  <c:v>-8.6372771041201196E-2</c:v>
                </c:pt>
                <c:pt idx="233">
                  <c:v>-8.6792427864215704E-2</c:v>
                </c:pt>
                <c:pt idx="234">
                  <c:v>-8.6616297271640219E-2</c:v>
                </c:pt>
                <c:pt idx="235">
                  <c:v>-8.5861620153050128E-2</c:v>
                </c:pt>
                <c:pt idx="236">
                  <c:v>-8.4602269562957522E-2</c:v>
                </c:pt>
                <c:pt idx="237">
                  <c:v>-8.2961519511532328E-2</c:v>
                </c:pt>
                <c:pt idx="238">
                  <c:v>-8.1099978045585774E-2</c:v>
                </c:pt>
                <c:pt idx="239">
                  <c:v>-7.9199865813926795E-2</c:v>
                </c:pt>
                <c:pt idx="240">
                  <c:v>-7.7447179040650543E-2</c:v>
                </c:pt>
                <c:pt idx="242">
                  <c:v>-7.5550268502116352E-2</c:v>
                </c:pt>
                <c:pt idx="243">
                  <c:v>-7.5607885380698542E-2</c:v>
                </c:pt>
                <c:pt idx="244">
                  <c:v>-7.6164535789267157E-2</c:v>
                </c:pt>
                <c:pt idx="245">
                  <c:v>-7.716573090741996E-2</c:v>
                </c:pt>
                <c:pt idx="246">
                  <c:v>-7.8513466781255703E-2</c:v>
                </c:pt>
                <c:pt idx="247">
                  <c:v>-8.0075817633215293E-2</c:v>
                </c:pt>
                <c:pt idx="248">
                  <c:v>-8.1699849676370395E-2</c:v>
                </c:pt>
                <c:pt idx="249">
                  <c:v>-8.3226591339040479E-2</c:v>
                </c:pt>
                <c:pt idx="250">
                  <c:v>-8.4506594509848709E-2</c:v>
                </c:pt>
                <c:pt idx="251">
                  <c:v>-8.5414563560129858E-2</c:v>
                </c:pt>
                <c:pt idx="252">
                  <c:v>-8.5861620153050128E-2</c:v>
                </c:pt>
                <c:pt idx="253">
                  <c:v>-8.5804003274467883E-2</c:v>
                </c:pt>
                <c:pt idx="254">
                  <c:v>-8.5247352865899309E-2</c:v>
                </c:pt>
                <c:pt idx="255">
                  <c:v>-8.4246157747746492E-2</c:v>
                </c:pt>
                <c:pt idx="256">
                  <c:v>-8.2898421873910735E-2</c:v>
                </c:pt>
                <c:pt idx="257">
                  <c:v>-8.1336071021951201E-2</c:v>
                </c:pt>
                <c:pt idx="258">
                  <c:v>-7.9712038978796043E-2</c:v>
                </c:pt>
                <c:pt idx="259">
                  <c:v>-7.8185297316125973E-2</c:v>
                </c:pt>
                <c:pt idx="260">
                  <c:v>-7.6905294145317757E-2</c:v>
                </c:pt>
                <c:pt idx="261">
                  <c:v>-7.5997325095036566E-2</c:v>
                </c:pt>
                <c:pt idx="262">
                  <c:v>-7.5550268502116352E-2</c:v>
                </c:pt>
                <c:pt idx="264">
                  <c:v>-7.6727480956580343E-2</c:v>
                </c:pt>
                <c:pt idx="265">
                  <c:v>-7.5329009366191982E-2</c:v>
                </c:pt>
                <c:pt idx="266">
                  <c:v>-7.445686963313336E-2</c:v>
                </c:pt>
                <c:pt idx="267">
                  <c:v>-7.4196432871031143E-2</c:v>
                </c:pt>
                <c:pt idx="268">
                  <c:v>-7.4573192444729403E-2</c:v>
                </c:pt>
                <c:pt idx="269">
                  <c:v>-7.5550268502116352E-2</c:v>
                </c:pt>
                <c:pt idx="270">
                  <c:v>-7.7032018031005706E-2</c:v>
                </c:pt>
                <c:pt idx="271">
                  <c:v>-7.8873397063553771E-2</c:v>
                </c:pt>
                <c:pt idx="272">
                  <c:v>-8.089415859041256E-2</c:v>
                </c:pt>
                <c:pt idx="273">
                  <c:v>-8.2896496393859764E-2</c:v>
                </c:pt>
                <c:pt idx="274">
                  <c:v>-8.468440769858615E-2</c:v>
                </c:pt>
                <c:pt idx="275">
                  <c:v>-8.6082879288974457E-2</c:v>
                </c:pt>
                <c:pt idx="276">
                  <c:v>-8.6955019022033078E-2</c:v>
                </c:pt>
                <c:pt idx="277">
                  <c:v>-8.7215455784135323E-2</c:v>
                </c:pt>
                <c:pt idx="278">
                  <c:v>-8.6838696210437022E-2</c:v>
                </c:pt>
                <c:pt idx="279">
                  <c:v>-8.5861620153050128E-2</c:v>
                </c:pt>
                <c:pt idx="280">
                  <c:v>-8.4379870624160719E-2</c:v>
                </c:pt>
                <c:pt idx="281">
                  <c:v>-8.2538491591612695E-2</c:v>
                </c:pt>
                <c:pt idx="282">
                  <c:v>-8.0517730064753879E-2</c:v>
                </c:pt>
                <c:pt idx="283">
                  <c:v>-7.8515392261306674E-2</c:v>
                </c:pt>
                <c:pt idx="284">
                  <c:v>-7.6727480956580343E-2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DC1-4D34-853E-DDFBC45566B2}"/>
            </c:ext>
          </c:extLst>
        </c:ser>
        <c:ser>
          <c:idx val="8"/>
          <c:order val="4"/>
          <c:tx>
            <c:strRef>
              <c:f>Planètes!$L$3</c:f>
              <c:strCache>
                <c:ptCount val="1"/>
                <c:pt idx="0">
                  <c:v>Body4</c:v>
                </c:pt>
              </c:strCache>
            </c:strRef>
          </c:tx>
          <c:spPr>
            <a:ln w="6350">
              <a:solidFill>
                <a:srgbClr val="CC0000"/>
              </a:solidFill>
            </a:ln>
          </c:spPr>
          <c:marker>
            <c:symbol val="none"/>
          </c:marker>
          <c:xVal>
            <c:numRef>
              <c:f>Planètes!$L$6:$L$290</c:f>
              <c:numCache>
                <c:formatCode>General</c:formatCode>
                <c:ptCount val="285"/>
                <c:pt idx="0">
                  <c:v>-8.7643398181133508E-2</c:v>
                </c:pt>
                <c:pt idx="1">
                  <c:v>-8.6435017569580302E-2</c:v>
                </c:pt>
                <c:pt idx="2">
                  <c:v>-8.60186379875367E-2</c:v>
                </c:pt>
                <c:pt idx="3">
                  <c:v>-8.6435017569580302E-2</c:v>
                </c:pt>
                <c:pt idx="4">
                  <c:v>-8.7643398181133522E-2</c:v>
                </c:pt>
                <c:pt idx="5">
                  <c:v>-8.9525495108654748E-2</c:v>
                </c:pt>
                <c:pt idx="6">
                  <c:v>-9.1897075591537841E-2</c:v>
                </c:pt>
                <c:pt idx="7">
                  <c:v>-9.4525992808345352E-2</c:v>
                </c:pt>
                <c:pt idx="8">
                  <c:v>-9.7154910025152877E-2</c:v>
                </c:pt>
                <c:pt idx="9">
                  <c:v>-9.9526490508035956E-2</c:v>
                </c:pt>
                <c:pt idx="10">
                  <c:v>-0.1014085874355572</c:v>
                </c:pt>
                <c:pt idx="11">
                  <c:v>-0.10261696804711042</c:v>
                </c:pt>
                <c:pt idx="12">
                  <c:v>-0.10303334762915403</c:v>
                </c:pt>
                <c:pt idx="13">
                  <c:v>-0.1026169680471104</c:v>
                </c:pt>
                <c:pt idx="14">
                  <c:v>-0.1014085874355572</c:v>
                </c:pt>
                <c:pt idx="15">
                  <c:v>-9.952649050803597E-2</c:v>
                </c:pt>
                <c:pt idx="16">
                  <c:v>-9.7154910025152863E-2</c:v>
                </c:pt>
                <c:pt idx="17">
                  <c:v>-9.4525992808345352E-2</c:v>
                </c:pt>
                <c:pt idx="18">
                  <c:v>-9.1897075591537841E-2</c:v>
                </c:pt>
                <c:pt idx="19">
                  <c:v>-8.9525495108654762E-2</c:v>
                </c:pt>
                <c:pt idx="20">
                  <c:v>-8.7643398181133508E-2</c:v>
                </c:pt>
                <c:pt idx="22">
                  <c:v>-8.7849876019949868E-2</c:v>
                </c:pt>
                <c:pt idx="23">
                  <c:v>-8.6677746826743257E-2</c:v>
                </c:pt>
                <c:pt idx="24">
                  <c:v>-8.6273858632160957E-2</c:v>
                </c:pt>
                <c:pt idx="25">
                  <c:v>-8.6677746826743243E-2</c:v>
                </c:pt>
                <c:pt idx="26">
                  <c:v>-8.7849876019949868E-2</c:v>
                </c:pt>
                <c:pt idx="27">
                  <c:v>-8.9675510039645467E-2</c:v>
                </c:pt>
                <c:pt idx="28">
                  <c:v>-9.197594310804208E-2</c:v>
                </c:pt>
                <c:pt idx="29">
                  <c:v>-9.4525992808345352E-2</c:v>
                </c:pt>
                <c:pt idx="30">
                  <c:v>-9.7076042508648638E-2</c:v>
                </c:pt>
                <c:pt idx="31">
                  <c:v>-9.9376475577045237E-2</c:v>
                </c:pt>
                <c:pt idx="32">
                  <c:v>-0.10120210959674084</c:v>
                </c:pt>
                <c:pt idx="33">
                  <c:v>-0.10237423878994747</c:v>
                </c:pt>
                <c:pt idx="34">
                  <c:v>-0.10277812698452975</c:v>
                </c:pt>
                <c:pt idx="35">
                  <c:v>-0.10237423878994746</c:v>
                </c:pt>
                <c:pt idx="36">
                  <c:v>-0.10120210959674084</c:v>
                </c:pt>
                <c:pt idx="37">
                  <c:v>-9.9376475577045237E-2</c:v>
                </c:pt>
                <c:pt idx="38">
                  <c:v>-9.7076042508648652E-2</c:v>
                </c:pt>
                <c:pt idx="39">
                  <c:v>-9.4525992808345366E-2</c:v>
                </c:pt>
                <c:pt idx="40">
                  <c:v>-9.197594310804208E-2</c:v>
                </c:pt>
                <c:pt idx="41">
                  <c:v>-8.9675510039645467E-2</c:v>
                </c:pt>
                <c:pt idx="42">
                  <c:v>-8.7849876019949868E-2</c:v>
                </c:pt>
                <c:pt idx="44">
                  <c:v>-8.8606961428943171E-2</c:v>
                </c:pt>
                <c:pt idx="45">
                  <c:v>-8.7567754103007406E-2</c:v>
                </c:pt>
                <c:pt idx="46">
                  <c:v>-8.7209667662449905E-2</c:v>
                </c:pt>
                <c:pt idx="47">
                  <c:v>-8.7567754103007392E-2</c:v>
                </c:pt>
                <c:pt idx="48">
                  <c:v>-8.8606961428943171E-2</c:v>
                </c:pt>
                <c:pt idx="49">
                  <c:v>-9.0225564786611437E-2</c:v>
                </c:pt>
                <c:pt idx="50">
                  <c:v>-9.2265124001890908E-2</c:v>
                </c:pt>
                <c:pt idx="51">
                  <c:v>-9.4525992808345352E-2</c:v>
                </c:pt>
                <c:pt idx="52">
                  <c:v>-9.678686161479981E-2</c:v>
                </c:pt>
                <c:pt idx="53">
                  <c:v>-9.8826420830079281E-2</c:v>
                </c:pt>
                <c:pt idx="54">
                  <c:v>-0.10044502418774753</c:v>
                </c:pt>
                <c:pt idx="55">
                  <c:v>-0.10148423151368333</c:v>
                </c:pt>
                <c:pt idx="56">
                  <c:v>-0.10184231795424079</c:v>
                </c:pt>
                <c:pt idx="57">
                  <c:v>-0.10148423151368333</c:v>
                </c:pt>
                <c:pt idx="58">
                  <c:v>-0.10044502418774753</c:v>
                </c:pt>
                <c:pt idx="59">
                  <c:v>-9.8826420830079281E-2</c:v>
                </c:pt>
                <c:pt idx="60">
                  <c:v>-9.6786861614799824E-2</c:v>
                </c:pt>
                <c:pt idx="61">
                  <c:v>-9.4525992808345366E-2</c:v>
                </c:pt>
                <c:pt idx="62">
                  <c:v>-9.2265124001890908E-2</c:v>
                </c:pt>
                <c:pt idx="63">
                  <c:v>-9.0225564786611451E-2</c:v>
                </c:pt>
                <c:pt idx="64">
                  <c:v>-8.8606961428943171E-2</c:v>
                </c:pt>
                <c:pt idx="66">
                  <c:v>-8.9983480354385539E-2</c:v>
                </c:pt>
                <c:pt idx="67">
                  <c:v>-8.9185949150760419E-2</c:v>
                </c:pt>
                <c:pt idx="68">
                  <c:v>-8.8911138626611652E-2</c:v>
                </c:pt>
                <c:pt idx="69">
                  <c:v>-8.9185949150760419E-2</c:v>
                </c:pt>
                <c:pt idx="70">
                  <c:v>-8.9983480354385553E-2</c:v>
                </c:pt>
                <c:pt idx="71">
                  <c:v>-9.1225664326549549E-2</c:v>
                </c:pt>
                <c:pt idx="72">
                  <c:v>-9.2790907445252396E-2</c:v>
                </c:pt>
                <c:pt idx="73">
                  <c:v>-9.4525992808345352E-2</c:v>
                </c:pt>
                <c:pt idx="74">
                  <c:v>-9.6261078171438322E-2</c:v>
                </c:pt>
                <c:pt idx="75">
                  <c:v>-9.7826321290141155E-2</c:v>
                </c:pt>
                <c:pt idx="76">
                  <c:v>-9.9068505262305165E-2</c:v>
                </c:pt>
                <c:pt idx="77">
                  <c:v>-9.9866036465930286E-2</c:v>
                </c:pt>
                <c:pt idx="78">
                  <c:v>-0.10014084699007908</c:v>
                </c:pt>
                <c:pt idx="79">
                  <c:v>-9.98660364659303E-2</c:v>
                </c:pt>
                <c:pt idx="80">
                  <c:v>-9.9068505262305179E-2</c:v>
                </c:pt>
                <c:pt idx="81">
                  <c:v>-9.7826321290141155E-2</c:v>
                </c:pt>
                <c:pt idx="82">
                  <c:v>-9.6261078171438308E-2</c:v>
                </c:pt>
                <c:pt idx="83">
                  <c:v>-9.4525992808345366E-2</c:v>
                </c:pt>
                <c:pt idx="84">
                  <c:v>-9.2790907445252396E-2</c:v>
                </c:pt>
                <c:pt idx="85">
                  <c:v>-9.1225664326549563E-2</c:v>
                </c:pt>
                <c:pt idx="86">
                  <c:v>-8.9983480354385539E-2</c:v>
                </c:pt>
                <c:pt idx="88">
                  <c:v>-9.2461214420181806E-2</c:v>
                </c:pt>
                <c:pt idx="89">
                  <c:v>-9.2098700236715847E-2</c:v>
                </c:pt>
                <c:pt idx="90">
                  <c:v>-9.1973786362102766E-2</c:v>
                </c:pt>
                <c:pt idx="91">
                  <c:v>-9.2098700236715833E-2</c:v>
                </c:pt>
                <c:pt idx="92">
                  <c:v>-9.246121442018182E-2</c:v>
                </c:pt>
                <c:pt idx="93">
                  <c:v>-9.3025843498438177E-2</c:v>
                </c:pt>
                <c:pt idx="94">
                  <c:v>-9.3737317643303092E-2</c:v>
                </c:pt>
                <c:pt idx="95">
                  <c:v>-9.4525992808345366E-2</c:v>
                </c:pt>
                <c:pt idx="96">
                  <c:v>-9.5314667973387598E-2</c:v>
                </c:pt>
                <c:pt idx="97">
                  <c:v>-9.6026142118252542E-2</c:v>
                </c:pt>
                <c:pt idx="98">
                  <c:v>-9.6590771196508912E-2</c:v>
                </c:pt>
                <c:pt idx="99">
                  <c:v>-9.6953285379974871E-2</c:v>
                </c:pt>
                <c:pt idx="100">
                  <c:v>-9.7078199254587952E-2</c:v>
                </c:pt>
                <c:pt idx="101">
                  <c:v>-9.6953285379974885E-2</c:v>
                </c:pt>
                <c:pt idx="102">
                  <c:v>-9.6590771196508912E-2</c:v>
                </c:pt>
                <c:pt idx="103">
                  <c:v>-9.6026142118252542E-2</c:v>
                </c:pt>
                <c:pt idx="104">
                  <c:v>-9.5314667973387612E-2</c:v>
                </c:pt>
                <c:pt idx="105">
                  <c:v>-9.4525992808345352E-2</c:v>
                </c:pt>
                <c:pt idx="106">
                  <c:v>-9.373731764330312E-2</c:v>
                </c:pt>
                <c:pt idx="107">
                  <c:v>-9.3025843498438177E-2</c:v>
                </c:pt>
                <c:pt idx="108">
                  <c:v>-9.2461214420181806E-2</c:v>
                </c:pt>
                <c:pt idx="110">
                  <c:v>-8.7849876019949868E-2</c:v>
                </c:pt>
                <c:pt idx="111">
                  <c:v>-8.6677746826743257E-2</c:v>
                </c:pt>
                <c:pt idx="112">
                  <c:v>-8.6273858632160957E-2</c:v>
                </c:pt>
                <c:pt idx="113">
                  <c:v>-8.6677746826743243E-2</c:v>
                </c:pt>
                <c:pt idx="114">
                  <c:v>-8.7849876019949868E-2</c:v>
                </c:pt>
                <c:pt idx="115">
                  <c:v>-8.9675510039645467E-2</c:v>
                </c:pt>
                <c:pt idx="116">
                  <c:v>-9.197594310804208E-2</c:v>
                </c:pt>
                <c:pt idx="117">
                  <c:v>-9.4525992808345352E-2</c:v>
                </c:pt>
                <c:pt idx="118">
                  <c:v>-9.7076042508648638E-2</c:v>
                </c:pt>
                <c:pt idx="119">
                  <c:v>-9.9376475577045237E-2</c:v>
                </c:pt>
                <c:pt idx="120">
                  <c:v>-0.10120210959674084</c:v>
                </c:pt>
                <c:pt idx="121">
                  <c:v>-0.10237423878994747</c:v>
                </c:pt>
                <c:pt idx="122">
                  <c:v>-0.10277812698452975</c:v>
                </c:pt>
                <c:pt idx="123">
                  <c:v>-0.10237423878994746</c:v>
                </c:pt>
                <c:pt idx="124">
                  <c:v>-0.10120210959674084</c:v>
                </c:pt>
                <c:pt idx="125">
                  <c:v>-9.9376475577045237E-2</c:v>
                </c:pt>
                <c:pt idx="126">
                  <c:v>-9.7076042508648652E-2</c:v>
                </c:pt>
                <c:pt idx="127">
                  <c:v>-9.4525992808345366E-2</c:v>
                </c:pt>
                <c:pt idx="128">
                  <c:v>-9.197594310804208E-2</c:v>
                </c:pt>
                <c:pt idx="129">
                  <c:v>-8.9675510039645467E-2</c:v>
                </c:pt>
                <c:pt idx="130">
                  <c:v>-8.7849876019949868E-2</c:v>
                </c:pt>
                <c:pt idx="132">
                  <c:v>-8.8606961428943171E-2</c:v>
                </c:pt>
                <c:pt idx="133">
                  <c:v>-8.7567754103007406E-2</c:v>
                </c:pt>
                <c:pt idx="134">
                  <c:v>-8.7209667662449905E-2</c:v>
                </c:pt>
                <c:pt idx="135">
                  <c:v>-8.7567754103007392E-2</c:v>
                </c:pt>
                <c:pt idx="136">
                  <c:v>-8.8606961428943171E-2</c:v>
                </c:pt>
                <c:pt idx="137">
                  <c:v>-9.0225564786611437E-2</c:v>
                </c:pt>
                <c:pt idx="138">
                  <c:v>-9.2265124001890908E-2</c:v>
                </c:pt>
                <c:pt idx="139">
                  <c:v>-9.4525992808345352E-2</c:v>
                </c:pt>
                <c:pt idx="140">
                  <c:v>-9.678686161479981E-2</c:v>
                </c:pt>
                <c:pt idx="141">
                  <c:v>-9.8826420830079281E-2</c:v>
                </c:pt>
                <c:pt idx="142">
                  <c:v>-0.10044502418774753</c:v>
                </c:pt>
                <c:pt idx="143">
                  <c:v>-0.10148423151368333</c:v>
                </c:pt>
                <c:pt idx="144">
                  <c:v>-0.10184231795424079</c:v>
                </c:pt>
                <c:pt idx="145">
                  <c:v>-0.10148423151368333</c:v>
                </c:pt>
                <c:pt idx="146">
                  <c:v>-0.10044502418774753</c:v>
                </c:pt>
                <c:pt idx="147">
                  <c:v>-9.8826420830079281E-2</c:v>
                </c:pt>
                <c:pt idx="148">
                  <c:v>-9.6786861614799824E-2</c:v>
                </c:pt>
                <c:pt idx="149">
                  <c:v>-9.4525992808345366E-2</c:v>
                </c:pt>
                <c:pt idx="150">
                  <c:v>-9.2265124001890908E-2</c:v>
                </c:pt>
                <c:pt idx="151">
                  <c:v>-9.0225564786611451E-2</c:v>
                </c:pt>
                <c:pt idx="152">
                  <c:v>-8.8606961428943171E-2</c:v>
                </c:pt>
                <c:pt idx="154">
                  <c:v>-8.9983480354385539E-2</c:v>
                </c:pt>
                <c:pt idx="155">
                  <c:v>-8.9185949150760419E-2</c:v>
                </c:pt>
                <c:pt idx="156">
                  <c:v>-8.8911138626611652E-2</c:v>
                </c:pt>
                <c:pt idx="157">
                  <c:v>-8.9185949150760419E-2</c:v>
                </c:pt>
                <c:pt idx="158">
                  <c:v>-8.9983480354385553E-2</c:v>
                </c:pt>
                <c:pt idx="159">
                  <c:v>-9.1225664326549549E-2</c:v>
                </c:pt>
                <c:pt idx="160">
                  <c:v>-9.2790907445252396E-2</c:v>
                </c:pt>
                <c:pt idx="161">
                  <c:v>-9.4525992808345352E-2</c:v>
                </c:pt>
                <c:pt idx="162">
                  <c:v>-9.6261078171438322E-2</c:v>
                </c:pt>
                <c:pt idx="163">
                  <c:v>-9.7826321290141155E-2</c:v>
                </c:pt>
                <c:pt idx="164">
                  <c:v>-9.9068505262305165E-2</c:v>
                </c:pt>
                <c:pt idx="165">
                  <c:v>-9.9866036465930286E-2</c:v>
                </c:pt>
                <c:pt idx="166">
                  <c:v>-0.10014084699007908</c:v>
                </c:pt>
                <c:pt idx="167">
                  <c:v>-9.98660364659303E-2</c:v>
                </c:pt>
                <c:pt idx="168">
                  <c:v>-9.9068505262305179E-2</c:v>
                </c:pt>
                <c:pt idx="169">
                  <c:v>-9.7826321290141155E-2</c:v>
                </c:pt>
                <c:pt idx="170">
                  <c:v>-9.6261078171438308E-2</c:v>
                </c:pt>
                <c:pt idx="171">
                  <c:v>-9.4525992808345366E-2</c:v>
                </c:pt>
                <c:pt idx="172">
                  <c:v>-9.2790907445252396E-2</c:v>
                </c:pt>
                <c:pt idx="173">
                  <c:v>-9.1225664326549563E-2</c:v>
                </c:pt>
                <c:pt idx="174">
                  <c:v>-8.9983480354385539E-2</c:v>
                </c:pt>
                <c:pt idx="176">
                  <c:v>-9.2461214420181806E-2</c:v>
                </c:pt>
                <c:pt idx="177">
                  <c:v>-9.2098700236715847E-2</c:v>
                </c:pt>
                <c:pt idx="178">
                  <c:v>-9.1973786362102766E-2</c:v>
                </c:pt>
                <c:pt idx="179">
                  <c:v>-9.2098700236715833E-2</c:v>
                </c:pt>
                <c:pt idx="180">
                  <c:v>-9.246121442018182E-2</c:v>
                </c:pt>
                <c:pt idx="181">
                  <c:v>-9.3025843498438177E-2</c:v>
                </c:pt>
                <c:pt idx="182">
                  <c:v>-9.3737317643303092E-2</c:v>
                </c:pt>
                <c:pt idx="183">
                  <c:v>-9.4525992808345366E-2</c:v>
                </c:pt>
                <c:pt idx="184">
                  <c:v>-9.5314667973387598E-2</c:v>
                </c:pt>
                <c:pt idx="185">
                  <c:v>-9.6026142118252542E-2</c:v>
                </c:pt>
                <c:pt idx="186">
                  <c:v>-9.6590771196508912E-2</c:v>
                </c:pt>
                <c:pt idx="187">
                  <c:v>-9.6953285379974871E-2</c:v>
                </c:pt>
                <c:pt idx="188">
                  <c:v>-9.7078199254587952E-2</c:v>
                </c:pt>
                <c:pt idx="189">
                  <c:v>-9.6953285379974885E-2</c:v>
                </c:pt>
                <c:pt idx="190">
                  <c:v>-9.6590771196508912E-2</c:v>
                </c:pt>
                <c:pt idx="191">
                  <c:v>-9.6026142118252542E-2</c:v>
                </c:pt>
                <c:pt idx="192">
                  <c:v>-9.5314667973387612E-2</c:v>
                </c:pt>
                <c:pt idx="193">
                  <c:v>-9.4525992808345352E-2</c:v>
                </c:pt>
                <c:pt idx="194">
                  <c:v>-9.373731764330312E-2</c:v>
                </c:pt>
                <c:pt idx="195">
                  <c:v>-9.3025843498438177E-2</c:v>
                </c:pt>
                <c:pt idx="196">
                  <c:v>-9.2461214420181806E-2</c:v>
                </c:pt>
                <c:pt idx="198">
                  <c:v>-9.4525992808345366E-2</c:v>
                </c:pt>
                <c:pt idx="199">
                  <c:v>-9.23991541031432E-2</c:v>
                </c:pt>
                <c:pt idx="200">
                  <c:v>-9.0480505188962834E-2</c:v>
                </c:pt>
                <c:pt idx="201">
                  <c:v>-8.8957856789537271E-2</c:v>
                </c:pt>
                <c:pt idx="202">
                  <c:v>-8.7980256339117519E-2</c:v>
                </c:pt>
                <c:pt idx="203">
                  <c:v>-8.7643398181133508E-2</c:v>
                </c:pt>
                <c:pt idx="204">
                  <c:v>-8.7980256339117519E-2</c:v>
                </c:pt>
                <c:pt idx="205">
                  <c:v>-8.8957856789537271E-2</c:v>
                </c:pt>
                <c:pt idx="206">
                  <c:v>-9.0480505188962834E-2</c:v>
                </c:pt>
                <c:pt idx="207">
                  <c:v>-9.23991541031432E-2</c:v>
                </c:pt>
                <c:pt idx="208">
                  <c:v>-9.4525992808345366E-2</c:v>
                </c:pt>
                <c:pt idx="209">
                  <c:v>-9.6652831513547519E-2</c:v>
                </c:pt>
                <c:pt idx="210">
                  <c:v>-9.8571480427727884E-2</c:v>
                </c:pt>
                <c:pt idx="211">
                  <c:v>-0.10009412882715345</c:v>
                </c:pt>
                <c:pt idx="212">
                  <c:v>-0.10107172927757319</c:v>
                </c:pt>
                <c:pt idx="213">
                  <c:v>-0.1014085874355572</c:v>
                </c:pt>
                <c:pt idx="214">
                  <c:v>-0.10107172927757319</c:v>
                </c:pt>
                <c:pt idx="215">
                  <c:v>-0.10009412882715345</c:v>
                </c:pt>
                <c:pt idx="216">
                  <c:v>-9.8571480427727884E-2</c:v>
                </c:pt>
                <c:pt idx="217">
                  <c:v>-9.6652831513547519E-2</c:v>
                </c:pt>
                <c:pt idx="218">
                  <c:v>-9.4525992808345366E-2</c:v>
                </c:pt>
                <c:pt idx="220">
                  <c:v>-8.9525495108654748E-2</c:v>
                </c:pt>
                <c:pt idx="221">
                  <c:v>-8.9770236886335689E-2</c:v>
                </c:pt>
                <c:pt idx="222">
                  <c:v>-9.0480505188962834E-2</c:v>
                </c:pt>
                <c:pt idx="223">
                  <c:v>-9.1586774006344782E-2</c:v>
                </c:pt>
                <c:pt idx="224">
                  <c:v>-9.2980754038808122E-2</c:v>
                </c:pt>
                <c:pt idx="225">
                  <c:v>-9.4525992808345366E-2</c:v>
                </c:pt>
                <c:pt idx="226">
                  <c:v>-9.6071231577882582E-2</c:v>
                </c:pt>
                <c:pt idx="227">
                  <c:v>-9.7465211610345936E-2</c:v>
                </c:pt>
                <c:pt idx="228">
                  <c:v>-9.8571480427727884E-2</c:v>
                </c:pt>
                <c:pt idx="229">
                  <c:v>-9.9281748730355029E-2</c:v>
                </c:pt>
                <c:pt idx="230">
                  <c:v>-9.952649050803597E-2</c:v>
                </c:pt>
                <c:pt idx="231">
                  <c:v>-9.9281748730355029E-2</c:v>
                </c:pt>
                <c:pt idx="232">
                  <c:v>-9.8571480427727884E-2</c:v>
                </c:pt>
                <c:pt idx="233">
                  <c:v>-9.7465211610345936E-2</c:v>
                </c:pt>
                <c:pt idx="234">
                  <c:v>-9.6071231577882582E-2</c:v>
                </c:pt>
                <c:pt idx="235">
                  <c:v>-9.4525992808345366E-2</c:v>
                </c:pt>
                <c:pt idx="236">
                  <c:v>-9.2980754038808122E-2</c:v>
                </c:pt>
                <c:pt idx="237">
                  <c:v>-9.1586774006344782E-2</c:v>
                </c:pt>
                <c:pt idx="238">
                  <c:v>-9.0480505188962834E-2</c:v>
                </c:pt>
                <c:pt idx="239">
                  <c:v>-8.9770236886335689E-2</c:v>
                </c:pt>
                <c:pt idx="240">
                  <c:v>-8.9525495108654748E-2</c:v>
                </c:pt>
                <c:pt idx="242">
                  <c:v>-9.4525992808345366E-2</c:v>
                </c:pt>
                <c:pt idx="243">
                  <c:v>-9.1929441924914757E-2</c:v>
                </c:pt>
                <c:pt idx="244">
                  <c:v>-8.9587059533188129E-2</c:v>
                </c:pt>
                <c:pt idx="245">
                  <c:v>-8.7728134342005479E-2</c:v>
                </c:pt>
                <c:pt idx="246">
                  <c:v>-8.6534630900973145E-2</c:v>
                </c:pt>
                <c:pt idx="247">
                  <c:v>-8.612337764252681E-2</c:v>
                </c:pt>
                <c:pt idx="248">
                  <c:v>-8.6534630900973145E-2</c:v>
                </c:pt>
                <c:pt idx="249">
                  <c:v>-8.7728134342005479E-2</c:v>
                </c:pt>
                <c:pt idx="250">
                  <c:v>-8.9587059533188129E-2</c:v>
                </c:pt>
                <c:pt idx="251">
                  <c:v>-9.1929441924914757E-2</c:v>
                </c:pt>
                <c:pt idx="252">
                  <c:v>-9.4525992808345366E-2</c:v>
                </c:pt>
                <c:pt idx="253">
                  <c:v>-9.7122543691775962E-2</c:v>
                </c:pt>
                <c:pt idx="254">
                  <c:v>-9.9464926083502575E-2</c:v>
                </c:pt>
                <c:pt idx="255">
                  <c:v>-0.10132385127468524</c:v>
                </c:pt>
                <c:pt idx="256">
                  <c:v>-0.10251735471571756</c:v>
                </c:pt>
                <c:pt idx="257">
                  <c:v>-0.10292860797416389</c:v>
                </c:pt>
                <c:pt idx="258">
                  <c:v>-0.10251735471571756</c:v>
                </c:pt>
                <c:pt idx="259">
                  <c:v>-0.10132385127468524</c:v>
                </c:pt>
                <c:pt idx="260">
                  <c:v>-9.9464926083502575E-2</c:v>
                </c:pt>
                <c:pt idx="261">
                  <c:v>-9.7122543691775962E-2</c:v>
                </c:pt>
                <c:pt idx="262">
                  <c:v>-9.4525992808345366E-2</c:v>
                </c:pt>
                <c:pt idx="264">
                  <c:v>-9.5856836308645998E-2</c:v>
                </c:pt>
                <c:pt idx="265">
                  <c:v>-9.5791700191475315E-2</c:v>
                </c:pt>
                <c:pt idx="266">
                  <c:v>-9.5602667816942016E-2</c:v>
                </c:pt>
                <c:pt idx="267">
                  <c:v>-9.5308242990931352E-2</c:v>
                </c:pt>
                <c:pt idx="268">
                  <c:v>-9.4937246066791686E-2</c:v>
                </c:pt>
                <c:pt idx="269">
                  <c:v>-9.4525992808345366E-2</c:v>
                </c:pt>
                <c:pt idx="270">
                  <c:v>-9.4114739549899018E-2</c:v>
                </c:pt>
                <c:pt idx="271">
                  <c:v>-9.3743742625759352E-2</c:v>
                </c:pt>
                <c:pt idx="272">
                  <c:v>-9.3449317799748702E-2</c:v>
                </c:pt>
                <c:pt idx="273">
                  <c:v>-9.3260285425215389E-2</c:v>
                </c:pt>
                <c:pt idx="274">
                  <c:v>-9.3195149308044734E-2</c:v>
                </c:pt>
                <c:pt idx="275">
                  <c:v>-9.3260285425215389E-2</c:v>
                </c:pt>
                <c:pt idx="276">
                  <c:v>-9.3449317799748702E-2</c:v>
                </c:pt>
                <c:pt idx="277">
                  <c:v>-9.3743742625759352E-2</c:v>
                </c:pt>
                <c:pt idx="278">
                  <c:v>-9.4114739549899018E-2</c:v>
                </c:pt>
                <c:pt idx="279">
                  <c:v>-9.4525992808345366E-2</c:v>
                </c:pt>
                <c:pt idx="280">
                  <c:v>-9.4937246066791686E-2</c:v>
                </c:pt>
                <c:pt idx="281">
                  <c:v>-9.5308242990931352E-2</c:v>
                </c:pt>
                <c:pt idx="282">
                  <c:v>-9.5602667816942016E-2</c:v>
                </c:pt>
                <c:pt idx="283">
                  <c:v>-9.5791700191475315E-2</c:v>
                </c:pt>
                <c:pt idx="284">
                  <c:v>-9.5856836308645998E-2</c:v>
                </c:pt>
              </c:numCache>
            </c:numRef>
          </c:xVal>
          <c:yVal>
            <c:numRef>
              <c:f>Planètes!$M$6:$M$290</c:f>
              <c:numCache>
                <c:formatCode>General</c:formatCode>
                <c:ptCount val="285"/>
                <c:pt idx="0">
                  <c:v>-0.17497869912269728</c:v>
                </c:pt>
                <c:pt idx="1">
                  <c:v>-0.17351860838375194</c:v>
                </c:pt>
                <c:pt idx="2">
                  <c:v>-0.17190008533154319</c:v>
                </c:pt>
                <c:pt idx="3">
                  <c:v>-0.17028156227933447</c:v>
                </c:pt>
                <c:pt idx="4">
                  <c:v>-0.16882147154038912</c:v>
                </c:pt>
                <c:pt idx="5">
                  <c:v>-0.16766273696928549</c:v>
                </c:pt>
                <c:pt idx="6">
                  <c:v>-0.16691878357922174</c:v>
                </c:pt>
                <c:pt idx="7">
                  <c:v>-0.16666243471144529</c:v>
                </c:pt>
                <c:pt idx="8">
                  <c:v>-0.16691878357922171</c:v>
                </c:pt>
                <c:pt idx="9">
                  <c:v>-0.16766273696928549</c:v>
                </c:pt>
                <c:pt idx="10">
                  <c:v>-0.16882147154038912</c:v>
                </c:pt>
                <c:pt idx="11">
                  <c:v>-0.17028156227933447</c:v>
                </c:pt>
                <c:pt idx="12">
                  <c:v>-0.17190008533154319</c:v>
                </c:pt>
                <c:pt idx="13">
                  <c:v>-0.17351860838375194</c:v>
                </c:pt>
                <c:pt idx="14">
                  <c:v>-0.17497869912269726</c:v>
                </c:pt>
                <c:pt idx="15">
                  <c:v>-0.17613743369380089</c:v>
                </c:pt>
                <c:pt idx="16">
                  <c:v>-0.17688138708386467</c:v>
                </c:pt>
                <c:pt idx="17">
                  <c:v>-0.17713773595164109</c:v>
                </c:pt>
                <c:pt idx="18">
                  <c:v>-0.17688138708386467</c:v>
                </c:pt>
                <c:pt idx="19">
                  <c:v>-0.17613743369380089</c:v>
                </c:pt>
                <c:pt idx="20">
                  <c:v>-0.17497869912269728</c:v>
                </c:pt>
                <c:pt idx="22">
                  <c:v>-0.17321036893807634</c:v>
                </c:pt>
                <c:pt idx="23">
                  <c:v>-0.17179408092129936</c:v>
                </c:pt>
                <c:pt idx="24">
                  <c:v>-0.17022411356065689</c:v>
                </c:pt>
                <c:pt idx="25">
                  <c:v>-0.16865414620001443</c:v>
                </c:pt>
                <c:pt idx="26">
                  <c:v>-0.16723785818323744</c:v>
                </c:pt>
                <c:pt idx="27">
                  <c:v>-0.16611388564926693</c:v>
                </c:pt>
                <c:pt idx="28">
                  <c:v>-0.16539225086090506</c:v>
                </c:pt>
                <c:pt idx="29">
                  <c:v>-0.16514359245916194</c:v>
                </c:pt>
                <c:pt idx="30">
                  <c:v>-0.16539225086090506</c:v>
                </c:pt>
                <c:pt idx="31">
                  <c:v>-0.16611388564926693</c:v>
                </c:pt>
                <c:pt idx="32">
                  <c:v>-0.16723785818323744</c:v>
                </c:pt>
                <c:pt idx="33">
                  <c:v>-0.16865414620001443</c:v>
                </c:pt>
                <c:pt idx="34">
                  <c:v>-0.17022411356065689</c:v>
                </c:pt>
                <c:pt idx="35">
                  <c:v>-0.17179408092129939</c:v>
                </c:pt>
                <c:pt idx="36">
                  <c:v>-0.17321036893807634</c:v>
                </c:pt>
                <c:pt idx="37">
                  <c:v>-0.17433434147204685</c:v>
                </c:pt>
                <c:pt idx="38">
                  <c:v>-0.17505597626040872</c:v>
                </c:pt>
                <c:pt idx="39">
                  <c:v>-0.17530463466215188</c:v>
                </c:pt>
                <c:pt idx="40">
                  <c:v>-0.17505597626040872</c:v>
                </c:pt>
                <c:pt idx="41">
                  <c:v>-0.17433434147204685</c:v>
                </c:pt>
                <c:pt idx="42">
                  <c:v>-0.17321036893807634</c:v>
                </c:pt>
                <c:pt idx="44">
                  <c:v>-0.1711957496501631</c:v>
                </c:pt>
                <c:pt idx="45">
                  <c:v>-0.16994007161467012</c:v>
                </c:pt>
                <c:pt idx="46">
                  <c:v>-0.16854814178977059</c:v>
                </c:pt>
                <c:pt idx="47">
                  <c:v>-0.1671562119648711</c:v>
                </c:pt>
                <c:pt idx="48">
                  <c:v>-0.16590053392937809</c:v>
                </c:pt>
                <c:pt idx="49">
                  <c:v>-0.16490402219822897</c:v>
                </c:pt>
                <c:pt idx="50">
                  <c:v>-0.16426422228277415</c:v>
                </c:pt>
                <c:pt idx="51">
                  <c:v>-0.1640437622564864</c:v>
                </c:pt>
                <c:pt idx="52">
                  <c:v>-0.16426422228277412</c:v>
                </c:pt>
                <c:pt idx="53">
                  <c:v>-0.16490402219822897</c:v>
                </c:pt>
                <c:pt idx="54">
                  <c:v>-0.16590053392937809</c:v>
                </c:pt>
                <c:pt idx="55">
                  <c:v>-0.16715621196487107</c:v>
                </c:pt>
                <c:pt idx="56">
                  <c:v>-0.16854814178977059</c:v>
                </c:pt>
                <c:pt idx="57">
                  <c:v>-0.16994007161467012</c:v>
                </c:pt>
                <c:pt idx="58">
                  <c:v>-0.1711957496501631</c:v>
                </c:pt>
                <c:pt idx="59">
                  <c:v>-0.17219226138131222</c:v>
                </c:pt>
                <c:pt idx="60">
                  <c:v>-0.17283206129676706</c:v>
                </c:pt>
                <c:pt idx="61">
                  <c:v>-0.17305252132305482</c:v>
                </c:pt>
                <c:pt idx="62">
                  <c:v>-0.17283206129676706</c:v>
                </c:pt>
                <c:pt idx="63">
                  <c:v>-0.17219226138131222</c:v>
                </c:pt>
                <c:pt idx="64">
                  <c:v>-0.1711957496501631</c:v>
                </c:pt>
                <c:pt idx="66">
                  <c:v>-0.168904055121046</c:v>
                </c:pt>
                <c:pt idx="67">
                  <c:v>-0.16794039523334206</c:v>
                </c:pt>
                <c:pt idx="68">
                  <c:v>-0.1668721700188843</c:v>
                </c:pt>
                <c:pt idx="69">
                  <c:v>-0.16580394480442653</c:v>
                </c:pt>
                <c:pt idx="70">
                  <c:v>-0.16484028491672262</c:v>
                </c:pt>
                <c:pt idx="71">
                  <c:v>-0.16407552009979423</c:v>
                </c:pt>
                <c:pt idx="72">
                  <c:v>-0.16358451086235215</c:v>
                </c:pt>
                <c:pt idx="73">
                  <c:v>-0.16341532060961969</c:v>
                </c:pt>
                <c:pt idx="74">
                  <c:v>-0.16358451086235215</c:v>
                </c:pt>
                <c:pt idx="75">
                  <c:v>-0.16407552009979423</c:v>
                </c:pt>
                <c:pt idx="76">
                  <c:v>-0.16484028491672262</c:v>
                </c:pt>
                <c:pt idx="77">
                  <c:v>-0.16580394480442653</c:v>
                </c:pt>
                <c:pt idx="78">
                  <c:v>-0.1668721700188843</c:v>
                </c:pt>
                <c:pt idx="79">
                  <c:v>-0.16794039523334206</c:v>
                </c:pt>
                <c:pt idx="80">
                  <c:v>-0.168904055121046</c:v>
                </c:pt>
                <c:pt idx="81">
                  <c:v>-0.16966881993797439</c:v>
                </c:pt>
                <c:pt idx="82">
                  <c:v>-0.17015982917541647</c:v>
                </c:pt>
                <c:pt idx="83">
                  <c:v>-0.17032901942814893</c:v>
                </c:pt>
                <c:pt idx="84">
                  <c:v>-0.17015982917541647</c:v>
                </c:pt>
                <c:pt idx="85">
                  <c:v>-0.16966881993797439</c:v>
                </c:pt>
                <c:pt idx="86">
                  <c:v>-0.168904055121046</c:v>
                </c:pt>
                <c:pt idx="88">
                  <c:v>-0.16645497673952148</c:v>
                </c:pt>
                <c:pt idx="89">
                  <c:v>-0.16601694951783788</c:v>
                </c:pt>
                <c:pt idx="90">
                  <c:v>-0.16553139260217525</c:v>
                </c:pt>
                <c:pt idx="91">
                  <c:v>-0.16504583568651265</c:v>
                </c:pt>
                <c:pt idx="92">
                  <c:v>-0.16460780846482903</c:v>
                </c:pt>
                <c:pt idx="93">
                  <c:v>-0.16426018809349796</c:v>
                </c:pt>
                <c:pt idx="94">
                  <c:v>-0.16403700207647881</c:v>
                </c:pt>
                <c:pt idx="95">
                  <c:v>-0.16396009741614589</c:v>
                </c:pt>
                <c:pt idx="96">
                  <c:v>-0.16403700207647881</c:v>
                </c:pt>
                <c:pt idx="97">
                  <c:v>-0.16426018809349796</c:v>
                </c:pt>
                <c:pt idx="98">
                  <c:v>-0.16460780846482903</c:v>
                </c:pt>
                <c:pt idx="99">
                  <c:v>-0.16504583568651263</c:v>
                </c:pt>
                <c:pt idx="100">
                  <c:v>-0.16553139260217525</c:v>
                </c:pt>
                <c:pt idx="101">
                  <c:v>-0.16601694951783788</c:v>
                </c:pt>
                <c:pt idx="102">
                  <c:v>-0.16645497673952148</c:v>
                </c:pt>
                <c:pt idx="103">
                  <c:v>-0.16680259711085257</c:v>
                </c:pt>
                <c:pt idx="104">
                  <c:v>-0.1670257831278717</c:v>
                </c:pt>
                <c:pt idx="105">
                  <c:v>-0.16710268778820464</c:v>
                </c:pt>
                <c:pt idx="106">
                  <c:v>-0.1670257831278717</c:v>
                </c:pt>
                <c:pt idx="107">
                  <c:v>-0.16680259711085257</c:v>
                </c:pt>
                <c:pt idx="108">
                  <c:v>-0.16645497673952148</c:v>
                </c:pt>
                <c:pt idx="110">
                  <c:v>-0.17656231247984894</c:v>
                </c:pt>
                <c:pt idx="111">
                  <c:v>-0.17514602446307195</c:v>
                </c:pt>
                <c:pt idx="112">
                  <c:v>-0.17357605710242949</c:v>
                </c:pt>
                <c:pt idx="113">
                  <c:v>-0.17200608974178702</c:v>
                </c:pt>
                <c:pt idx="114">
                  <c:v>-0.17058980172501004</c:v>
                </c:pt>
                <c:pt idx="115">
                  <c:v>-0.16946582919103953</c:v>
                </c:pt>
                <c:pt idx="116">
                  <c:v>-0.16874419440267766</c:v>
                </c:pt>
                <c:pt idx="117">
                  <c:v>-0.16849553600093453</c:v>
                </c:pt>
                <c:pt idx="118">
                  <c:v>-0.16874419440267766</c:v>
                </c:pt>
                <c:pt idx="119">
                  <c:v>-0.16946582919103953</c:v>
                </c:pt>
                <c:pt idx="120">
                  <c:v>-0.17058980172501004</c:v>
                </c:pt>
                <c:pt idx="121">
                  <c:v>-0.17200608974178702</c:v>
                </c:pt>
                <c:pt idx="122">
                  <c:v>-0.17357605710242949</c:v>
                </c:pt>
                <c:pt idx="123">
                  <c:v>-0.17514602446307198</c:v>
                </c:pt>
                <c:pt idx="124">
                  <c:v>-0.17656231247984894</c:v>
                </c:pt>
                <c:pt idx="125">
                  <c:v>-0.17768628501381944</c:v>
                </c:pt>
                <c:pt idx="126">
                  <c:v>-0.17840791980218132</c:v>
                </c:pt>
                <c:pt idx="127">
                  <c:v>-0.17865657820392447</c:v>
                </c:pt>
                <c:pt idx="128">
                  <c:v>-0.17840791980218132</c:v>
                </c:pt>
                <c:pt idx="129">
                  <c:v>-0.17768628501381944</c:v>
                </c:pt>
                <c:pt idx="130">
                  <c:v>-0.17656231247984894</c:v>
                </c:pt>
                <c:pt idx="132">
                  <c:v>-0.17789963673370832</c:v>
                </c:pt>
                <c:pt idx="133">
                  <c:v>-0.17664395869821534</c:v>
                </c:pt>
                <c:pt idx="134">
                  <c:v>-0.17525202887331581</c:v>
                </c:pt>
                <c:pt idx="135">
                  <c:v>-0.17386009904841632</c:v>
                </c:pt>
                <c:pt idx="136">
                  <c:v>-0.17260442101292331</c:v>
                </c:pt>
                <c:pt idx="137">
                  <c:v>-0.17160790928177422</c:v>
                </c:pt>
                <c:pt idx="138">
                  <c:v>-0.17096810936631934</c:v>
                </c:pt>
                <c:pt idx="139">
                  <c:v>-0.17074764934003162</c:v>
                </c:pt>
                <c:pt idx="140">
                  <c:v>-0.17096810936631934</c:v>
                </c:pt>
                <c:pt idx="141">
                  <c:v>-0.17160790928177419</c:v>
                </c:pt>
                <c:pt idx="142">
                  <c:v>-0.17260442101292331</c:v>
                </c:pt>
                <c:pt idx="143">
                  <c:v>-0.17386009904841632</c:v>
                </c:pt>
                <c:pt idx="144">
                  <c:v>-0.17525202887331581</c:v>
                </c:pt>
                <c:pt idx="145">
                  <c:v>-0.17664395869821534</c:v>
                </c:pt>
                <c:pt idx="146">
                  <c:v>-0.17789963673370832</c:v>
                </c:pt>
                <c:pt idx="147">
                  <c:v>-0.17889614846485744</c:v>
                </c:pt>
                <c:pt idx="148">
                  <c:v>-0.17953594838031228</c:v>
                </c:pt>
                <c:pt idx="149">
                  <c:v>-0.17975640840660001</c:v>
                </c:pt>
                <c:pt idx="150">
                  <c:v>-0.17953594838031228</c:v>
                </c:pt>
                <c:pt idx="151">
                  <c:v>-0.17889614846485744</c:v>
                </c:pt>
                <c:pt idx="152">
                  <c:v>-0.17789963673370832</c:v>
                </c:pt>
                <c:pt idx="154">
                  <c:v>-0.17895988574636379</c:v>
                </c:pt>
                <c:pt idx="155">
                  <c:v>-0.17799622585865985</c:v>
                </c:pt>
                <c:pt idx="156">
                  <c:v>-0.17692800064420208</c:v>
                </c:pt>
                <c:pt idx="157">
                  <c:v>-0.17585977542974432</c:v>
                </c:pt>
                <c:pt idx="158">
                  <c:v>-0.1748961155420404</c:v>
                </c:pt>
                <c:pt idx="159">
                  <c:v>-0.17413135072511202</c:v>
                </c:pt>
                <c:pt idx="160">
                  <c:v>-0.17364034148766994</c:v>
                </c:pt>
                <c:pt idx="161">
                  <c:v>-0.17347115123493748</c:v>
                </c:pt>
                <c:pt idx="162">
                  <c:v>-0.17364034148766994</c:v>
                </c:pt>
                <c:pt idx="163">
                  <c:v>-0.17413135072511202</c:v>
                </c:pt>
                <c:pt idx="164">
                  <c:v>-0.1748961155420404</c:v>
                </c:pt>
                <c:pt idx="165">
                  <c:v>-0.17585977542974432</c:v>
                </c:pt>
                <c:pt idx="166">
                  <c:v>-0.17692800064420208</c:v>
                </c:pt>
                <c:pt idx="167">
                  <c:v>-0.17799622585865985</c:v>
                </c:pt>
                <c:pt idx="168">
                  <c:v>-0.17895988574636379</c:v>
                </c:pt>
                <c:pt idx="169">
                  <c:v>-0.17972465056329218</c:v>
                </c:pt>
                <c:pt idx="170">
                  <c:v>-0.18021565980073426</c:v>
                </c:pt>
                <c:pt idx="171">
                  <c:v>-0.18038485005346672</c:v>
                </c:pt>
                <c:pt idx="172">
                  <c:v>-0.18021565980073426</c:v>
                </c:pt>
                <c:pt idx="173">
                  <c:v>-0.17972465056329218</c:v>
                </c:pt>
                <c:pt idx="174">
                  <c:v>-0.17895988574636379</c:v>
                </c:pt>
                <c:pt idx="176">
                  <c:v>-0.17919236219825738</c:v>
                </c:pt>
                <c:pt idx="177">
                  <c:v>-0.17875433497657378</c:v>
                </c:pt>
                <c:pt idx="178">
                  <c:v>-0.17826877806091115</c:v>
                </c:pt>
                <c:pt idx="179">
                  <c:v>-0.17778322114524855</c:v>
                </c:pt>
                <c:pt idx="180">
                  <c:v>-0.17734519392356493</c:v>
                </c:pt>
                <c:pt idx="181">
                  <c:v>-0.17699757355223386</c:v>
                </c:pt>
                <c:pt idx="182">
                  <c:v>-0.17677438753521471</c:v>
                </c:pt>
                <c:pt idx="183">
                  <c:v>-0.17669748287488179</c:v>
                </c:pt>
                <c:pt idx="184">
                  <c:v>-0.17677438753521471</c:v>
                </c:pt>
                <c:pt idx="185">
                  <c:v>-0.17699757355223386</c:v>
                </c:pt>
                <c:pt idx="186">
                  <c:v>-0.17734519392356493</c:v>
                </c:pt>
                <c:pt idx="187">
                  <c:v>-0.17778322114524853</c:v>
                </c:pt>
                <c:pt idx="188">
                  <c:v>-0.17826877806091115</c:v>
                </c:pt>
                <c:pt idx="189">
                  <c:v>-0.17875433497657378</c:v>
                </c:pt>
                <c:pt idx="190">
                  <c:v>-0.17919236219825738</c:v>
                </c:pt>
                <c:pt idx="191">
                  <c:v>-0.17953998256958847</c:v>
                </c:pt>
                <c:pt idx="192">
                  <c:v>-0.1797631685866076</c:v>
                </c:pt>
                <c:pt idx="193">
                  <c:v>-0.17984007324694054</c:v>
                </c:pt>
                <c:pt idx="194">
                  <c:v>-0.1797631685866076</c:v>
                </c:pt>
                <c:pt idx="195">
                  <c:v>-0.17953998256958847</c:v>
                </c:pt>
                <c:pt idx="196">
                  <c:v>-0.17919236219825738</c:v>
                </c:pt>
                <c:pt idx="198">
                  <c:v>-0.165196198247998</c:v>
                </c:pt>
                <c:pt idx="199">
                  <c:v>-0.16647565381681428</c:v>
                </c:pt>
                <c:pt idx="200">
                  <c:v>-0.16828609053652901</c:v>
                </c:pt>
                <c:pt idx="201">
                  <c:v>-0.17045029024696207</c:v>
                </c:pt>
                <c:pt idx="202">
                  <c:v>-0.17275640600159023</c:v>
                </c:pt>
                <c:pt idx="203">
                  <c:v>-0.17497869912269728</c:v>
                </c:pt>
                <c:pt idx="204">
                  <c:v>-0.17689963607596257</c:v>
                </c:pt>
                <c:pt idx="205">
                  <c:v>-0.17833118216844579</c:v>
                </c:pt>
                <c:pt idx="206">
                  <c:v>-0.17913320769444654</c:v>
                </c:pt>
                <c:pt idx="207">
                  <c:v>-0.17922720480743948</c:v>
                </c:pt>
                <c:pt idx="208">
                  <c:v>-0.17860397241508841</c:v>
                </c:pt>
                <c:pt idx="209">
                  <c:v>-0.1773245168462721</c:v>
                </c:pt>
                <c:pt idx="210">
                  <c:v>-0.17551408012655736</c:v>
                </c:pt>
                <c:pt idx="211">
                  <c:v>-0.17334988041612431</c:v>
                </c:pt>
                <c:pt idx="212">
                  <c:v>-0.17104376466149615</c:v>
                </c:pt>
                <c:pt idx="213">
                  <c:v>-0.16882147154038912</c:v>
                </c:pt>
                <c:pt idx="214">
                  <c:v>-0.16690053458712381</c:v>
                </c:pt>
                <c:pt idx="215">
                  <c:v>-0.16546898849464059</c:v>
                </c:pt>
                <c:pt idx="216">
                  <c:v>-0.16466696296863984</c:v>
                </c:pt>
                <c:pt idx="217">
                  <c:v>-0.1645729658556469</c:v>
                </c:pt>
                <c:pt idx="218">
                  <c:v>-0.165196198247998</c:v>
                </c:pt>
                <c:pt idx="220">
                  <c:v>-0.16766273696928549</c:v>
                </c:pt>
                <c:pt idx="221">
                  <c:v>-0.16579851252261926</c:v>
                </c:pt>
                <c:pt idx="222">
                  <c:v>-0.16453155253464802</c:v>
                </c:pt>
                <c:pt idx="223">
                  <c:v>-0.16398587587642369</c:v>
                </c:pt>
                <c:pt idx="224">
                  <c:v>-0.16421489718120613</c:v>
                </c:pt>
                <c:pt idx="225">
                  <c:v>-0.165196198247998</c:v>
                </c:pt>
                <c:pt idx="226">
                  <c:v>-0.16683372249125508</c:v>
                </c:pt>
                <c:pt idx="227">
                  <c:v>-0.16896717762874516</c:v>
                </c:pt>
                <c:pt idx="228">
                  <c:v>-0.17138772620695464</c:v>
                </c:pt>
                <c:pt idx="229">
                  <c:v>-0.17385842806609481</c:v>
                </c:pt>
                <c:pt idx="230">
                  <c:v>-0.17613743369380089</c:v>
                </c:pt>
                <c:pt idx="231">
                  <c:v>-0.17800165814046714</c:v>
                </c:pt>
                <c:pt idx="232">
                  <c:v>-0.17926861812843836</c:v>
                </c:pt>
                <c:pt idx="233">
                  <c:v>-0.17981429478666269</c:v>
                </c:pt>
                <c:pt idx="234">
                  <c:v>-0.17958527348188028</c:v>
                </c:pt>
                <c:pt idx="235">
                  <c:v>-0.17860397241508841</c:v>
                </c:pt>
                <c:pt idx="236">
                  <c:v>-0.17696644817183133</c:v>
                </c:pt>
                <c:pt idx="237">
                  <c:v>-0.17483299303434122</c:v>
                </c:pt>
                <c:pt idx="238">
                  <c:v>-0.17241244445613174</c:v>
                </c:pt>
                <c:pt idx="239">
                  <c:v>-0.1699417425969916</c:v>
                </c:pt>
                <c:pt idx="240">
                  <c:v>-0.16766273696928549</c:v>
                </c:pt>
                <c:pt idx="242">
                  <c:v>-0.165196198247998</c:v>
                </c:pt>
                <c:pt idx="243">
                  <c:v>-0.16527111704840303</c:v>
                </c:pt>
                <c:pt idx="244">
                  <c:v>-0.16599492545109976</c:v>
                </c:pt>
                <c:pt idx="245">
                  <c:v>-0.16729677204656246</c:v>
                </c:pt>
                <c:pt idx="246">
                  <c:v>-0.16904922301952865</c:v>
                </c:pt>
                <c:pt idx="247">
                  <c:v>-0.17108073625872056</c:v>
                </c:pt>
                <c:pt idx="248">
                  <c:v>-0.17319245309390099</c:v>
                </c:pt>
                <c:pt idx="249">
                  <c:v>-0.17517766396804618</c:v>
                </c:pt>
                <c:pt idx="250">
                  <c:v>-0.17684204260901729</c:v>
                </c:pt>
                <c:pt idx="251">
                  <c:v>-0.17802266803902822</c:v>
                </c:pt>
                <c:pt idx="252">
                  <c:v>-0.17860397241508841</c:v>
                </c:pt>
                <c:pt idx="253">
                  <c:v>-0.17852905361468335</c:v>
                </c:pt>
                <c:pt idx="254">
                  <c:v>-0.17780524521198662</c:v>
                </c:pt>
                <c:pt idx="255">
                  <c:v>-0.17650339861652395</c:v>
                </c:pt>
                <c:pt idx="256">
                  <c:v>-0.17475094764355772</c:v>
                </c:pt>
                <c:pt idx="257">
                  <c:v>-0.17271943440436585</c:v>
                </c:pt>
                <c:pt idx="258">
                  <c:v>-0.17060771756918539</c:v>
                </c:pt>
                <c:pt idx="259">
                  <c:v>-0.16862250669504023</c:v>
                </c:pt>
                <c:pt idx="260">
                  <c:v>-0.16695812805406909</c:v>
                </c:pt>
                <c:pt idx="261">
                  <c:v>-0.16577750262405816</c:v>
                </c:pt>
                <c:pt idx="262">
                  <c:v>-0.165196198247998</c:v>
                </c:pt>
                <c:pt idx="264">
                  <c:v>-0.16672691888196159</c:v>
                </c:pt>
                <c:pt idx="265">
                  <c:v>-0.16490849663260299</c:v>
                </c:pt>
                <c:pt idx="266">
                  <c:v>-0.1637744597983595</c:v>
                </c:pt>
                <c:pt idx="267">
                  <c:v>-0.16343581580586616</c:v>
                </c:pt>
                <c:pt idx="268">
                  <c:v>-0.16392571348857957</c:v>
                </c:pt>
                <c:pt idx="269">
                  <c:v>-0.165196198247998</c:v>
                </c:pt>
                <c:pt idx="270">
                  <c:v>-0.16712290618388162</c:v>
                </c:pt>
                <c:pt idx="271">
                  <c:v>-0.16951723769930271</c:v>
                </c:pt>
                <c:pt idx="272">
                  <c:v>-0.17214481894324316</c:v>
                </c:pt>
                <c:pt idx="273">
                  <c:v>-0.17474844395611105</c:v>
                </c:pt>
                <c:pt idx="274">
                  <c:v>-0.17707325178112479</c:v>
                </c:pt>
                <c:pt idx="275">
                  <c:v>-0.17889167403048342</c:v>
                </c:pt>
                <c:pt idx="276">
                  <c:v>-0.18002571086472688</c:v>
                </c:pt>
                <c:pt idx="277">
                  <c:v>-0.18036435485722024</c:v>
                </c:pt>
                <c:pt idx="278">
                  <c:v>-0.17987445717450681</c:v>
                </c:pt>
                <c:pt idx="279">
                  <c:v>-0.17860397241508841</c:v>
                </c:pt>
                <c:pt idx="280">
                  <c:v>-0.17667726447920476</c:v>
                </c:pt>
                <c:pt idx="281">
                  <c:v>-0.17428293296378369</c:v>
                </c:pt>
                <c:pt idx="282">
                  <c:v>-0.17165535171984322</c:v>
                </c:pt>
                <c:pt idx="283">
                  <c:v>-0.16905172670697532</c:v>
                </c:pt>
                <c:pt idx="284">
                  <c:v>-0.16672691888196159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DC1-4D34-853E-DDFBC45566B2}"/>
            </c:ext>
          </c:extLst>
        </c:ser>
        <c:ser>
          <c:idx val="9"/>
          <c:order val="5"/>
          <c:tx>
            <c:strRef>
              <c:f>Planètes!$N$3</c:f>
              <c:strCache>
                <c:ptCount val="1"/>
                <c:pt idx="0">
                  <c:v>Body5</c:v>
                </c:pt>
              </c:strCache>
            </c:strRef>
          </c:tx>
          <c:spPr>
            <a:ln w="6350">
              <a:solidFill>
                <a:srgbClr val="9900CC"/>
              </a:solidFill>
            </a:ln>
          </c:spPr>
          <c:marker>
            <c:symbol val="none"/>
          </c:marker>
          <c:xVal>
            <c:numRef>
              <c:f>Planètes!$N$6:$N$290</c:f>
              <c:numCache>
                <c:formatCode>General</c:formatCode>
                <c:ptCount val="285"/>
                <c:pt idx="0">
                  <c:v>8.7128476801239044E-3</c:v>
                </c:pt>
                <c:pt idx="1">
                  <c:v>1.0092325080803431E-2</c:v>
                </c:pt>
                <c:pt idx="2">
                  <c:v>1.0567660598472174E-2</c:v>
                </c:pt>
                <c:pt idx="3">
                  <c:v>1.0092325080803431E-2</c:v>
                </c:pt>
                <c:pt idx="4">
                  <c:v>8.7128476801239026E-3</c:v>
                </c:pt>
                <c:pt idx="5">
                  <c:v>6.5642612557963191E-3</c:v>
                </c:pt>
                <c:pt idx="6">
                  <c:v>3.8568844171157409E-3</c:v>
                </c:pt>
                <c:pt idx="7">
                  <c:v>8.5573407245585244E-4</c:v>
                </c:pt>
                <c:pt idx="8">
                  <c:v>-2.1454162722040326E-3</c:v>
                </c:pt>
                <c:pt idx="9">
                  <c:v>-4.8527931108846151E-3</c:v>
                </c:pt>
                <c:pt idx="10">
                  <c:v>-7.0013795352121978E-3</c:v>
                </c:pt>
                <c:pt idx="11">
                  <c:v>-8.3808569358917277E-3</c:v>
                </c:pt>
                <c:pt idx="12">
                  <c:v>-8.856192453560471E-3</c:v>
                </c:pt>
                <c:pt idx="13">
                  <c:v>-8.380856935891726E-3</c:v>
                </c:pt>
                <c:pt idx="14">
                  <c:v>-7.0013795352121995E-3</c:v>
                </c:pt>
                <c:pt idx="15">
                  <c:v>-4.8527931108846151E-3</c:v>
                </c:pt>
                <c:pt idx="16">
                  <c:v>-2.1454162722040369E-3</c:v>
                </c:pt>
                <c:pt idx="17">
                  <c:v>8.5573407245585092E-4</c:v>
                </c:pt>
                <c:pt idx="18">
                  <c:v>3.85688441711574E-3</c:v>
                </c:pt>
                <c:pt idx="19">
                  <c:v>6.5642612557963182E-3</c:v>
                </c:pt>
                <c:pt idx="20">
                  <c:v>8.7128476801239026E-3</c:v>
                </c:pt>
                <c:pt idx="22">
                  <c:v>8.4771342718938623E-3</c:v>
                </c:pt>
                <c:pt idx="23">
                  <c:v>9.8152273505530026E-3</c:v>
                </c:pt>
                <c:pt idx="24">
                  <c:v>1.0276302802691687E-2</c:v>
                </c:pt>
                <c:pt idx="25">
                  <c:v>9.8152273505530026E-3</c:v>
                </c:pt>
                <c:pt idx="26">
                  <c:v>8.4771342718938641E-3</c:v>
                </c:pt>
                <c:pt idx="27">
                  <c:v>6.3930054402961062E-3</c:v>
                </c:pt>
                <c:pt idx="28">
                  <c:v>3.7668499067759469E-3</c:v>
                </c:pt>
                <c:pt idx="29">
                  <c:v>8.557340724558507E-4</c:v>
                </c:pt>
                <c:pt idx="30">
                  <c:v>-2.0553817618642369E-3</c:v>
                </c:pt>
                <c:pt idx="31">
                  <c:v>-4.6815372953843987E-3</c:v>
                </c:pt>
                <c:pt idx="32">
                  <c:v>-6.765666126982154E-3</c:v>
                </c:pt>
                <c:pt idx="33">
                  <c:v>-8.1037592056412977E-3</c:v>
                </c:pt>
                <c:pt idx="34">
                  <c:v>-8.5648346577799819E-3</c:v>
                </c:pt>
                <c:pt idx="35">
                  <c:v>-8.1037592056412977E-3</c:v>
                </c:pt>
                <c:pt idx="36">
                  <c:v>-6.7656661269821575E-3</c:v>
                </c:pt>
                <c:pt idx="37">
                  <c:v>-4.6815372953844013E-3</c:v>
                </c:pt>
                <c:pt idx="38">
                  <c:v>-2.0553817618642412E-3</c:v>
                </c:pt>
                <c:pt idx="39">
                  <c:v>8.5573407245585092E-4</c:v>
                </c:pt>
                <c:pt idx="40">
                  <c:v>3.7668499067759435E-3</c:v>
                </c:pt>
                <c:pt idx="41">
                  <c:v>6.3930054402961045E-3</c:v>
                </c:pt>
                <c:pt idx="42">
                  <c:v>8.4771342718938606E-3</c:v>
                </c:pt>
                <c:pt idx="44">
                  <c:v>7.6128517750503758E-3</c:v>
                </c:pt>
                <c:pt idx="45">
                  <c:v>8.799202339634769E-3</c:v>
                </c:pt>
                <c:pt idx="46">
                  <c:v>9.2079908848298909E-3</c:v>
                </c:pt>
                <c:pt idx="47">
                  <c:v>8.799202339634769E-3</c:v>
                </c:pt>
                <c:pt idx="48">
                  <c:v>7.6128517750503749E-3</c:v>
                </c:pt>
                <c:pt idx="49">
                  <c:v>5.7650674501286536E-3</c:v>
                </c:pt>
                <c:pt idx="50">
                  <c:v>3.4367233688633592E-3</c:v>
                </c:pt>
                <c:pt idx="51">
                  <c:v>8.5573407245585244E-4</c:v>
                </c:pt>
                <c:pt idx="52">
                  <c:v>-1.7252552239516526E-3</c:v>
                </c:pt>
                <c:pt idx="53">
                  <c:v>-4.0535993052169469E-3</c:v>
                </c:pt>
                <c:pt idx="54">
                  <c:v>-5.9013836301386692E-3</c:v>
                </c:pt>
                <c:pt idx="55">
                  <c:v>-7.087734194723065E-3</c:v>
                </c:pt>
                <c:pt idx="56">
                  <c:v>-7.496522739918186E-3</c:v>
                </c:pt>
                <c:pt idx="57">
                  <c:v>-7.0877341947230624E-3</c:v>
                </c:pt>
                <c:pt idx="58">
                  <c:v>-5.9013836301386718E-3</c:v>
                </c:pt>
                <c:pt idx="59">
                  <c:v>-4.0535993052169487E-3</c:v>
                </c:pt>
                <c:pt idx="60">
                  <c:v>-1.725255223951653E-3</c:v>
                </c:pt>
                <c:pt idx="61">
                  <c:v>8.5573407245585157E-4</c:v>
                </c:pt>
                <c:pt idx="62">
                  <c:v>3.4367233688633561E-3</c:v>
                </c:pt>
                <c:pt idx="63">
                  <c:v>5.7650674501286527E-3</c:v>
                </c:pt>
                <c:pt idx="64">
                  <c:v>7.6128517750503749E-3</c:v>
                </c:pt>
                <c:pt idx="66">
                  <c:v>6.0414290535167666E-3</c:v>
                </c:pt>
                <c:pt idx="67">
                  <c:v>6.9518841379652523E-3</c:v>
                </c:pt>
                <c:pt idx="68">
                  <c:v>7.2656055796266258E-3</c:v>
                </c:pt>
                <c:pt idx="69">
                  <c:v>6.9518841379652531E-3</c:v>
                </c:pt>
                <c:pt idx="70">
                  <c:v>6.0414290535167666E-3</c:v>
                </c:pt>
                <c:pt idx="71">
                  <c:v>4.6233620134605614E-3</c:v>
                </c:pt>
                <c:pt idx="72">
                  <c:v>2.8364932999313808E-3</c:v>
                </c:pt>
                <c:pt idx="73">
                  <c:v>8.5573407245585244E-4</c:v>
                </c:pt>
                <c:pt idx="74">
                  <c:v>-1.1250251550196724E-3</c:v>
                </c:pt>
                <c:pt idx="75">
                  <c:v>-2.9118938685488531E-3</c:v>
                </c:pt>
                <c:pt idx="76">
                  <c:v>-4.3299609086050609E-3</c:v>
                </c:pt>
                <c:pt idx="77">
                  <c:v>-5.2404159930535491E-3</c:v>
                </c:pt>
                <c:pt idx="78">
                  <c:v>-5.554137434714921E-3</c:v>
                </c:pt>
                <c:pt idx="79">
                  <c:v>-5.2404159930535474E-3</c:v>
                </c:pt>
                <c:pt idx="80">
                  <c:v>-4.32996090860506E-3</c:v>
                </c:pt>
                <c:pt idx="81">
                  <c:v>-2.9118938685488553E-3</c:v>
                </c:pt>
                <c:pt idx="82">
                  <c:v>-1.1250251550196737E-3</c:v>
                </c:pt>
                <c:pt idx="83">
                  <c:v>8.5573407245585114E-4</c:v>
                </c:pt>
                <c:pt idx="84">
                  <c:v>2.8364932999313786E-3</c:v>
                </c:pt>
                <c:pt idx="85">
                  <c:v>4.623362013460558E-3</c:v>
                </c:pt>
                <c:pt idx="86">
                  <c:v>6.0414290535167649E-3</c:v>
                </c:pt>
                <c:pt idx="88">
                  <c:v>3.2128681547562684E-3</c:v>
                </c:pt>
                <c:pt idx="89">
                  <c:v>3.6267113749601271E-3</c:v>
                </c:pt>
                <c:pt idx="90">
                  <c:v>3.7693120302607509E-3</c:v>
                </c:pt>
                <c:pt idx="91">
                  <c:v>3.6267113749601275E-3</c:v>
                </c:pt>
                <c:pt idx="92">
                  <c:v>3.2128681547562675E-3</c:v>
                </c:pt>
                <c:pt idx="93">
                  <c:v>2.5682922274579915E-3</c:v>
                </c:pt>
                <c:pt idx="94">
                  <c:v>1.7560791758538209E-3</c:v>
                </c:pt>
                <c:pt idx="95">
                  <c:v>8.5573407245585417E-4</c:v>
                </c:pt>
                <c:pt idx="96">
                  <c:v>-4.4611030942114278E-5</c:v>
                </c:pt>
                <c:pt idx="97">
                  <c:v>-8.5682408254628573E-4</c:v>
                </c:pt>
                <c:pt idx="98">
                  <c:v>-1.50140000984456E-3</c:v>
                </c:pt>
                <c:pt idx="99">
                  <c:v>-1.9152432300484201E-3</c:v>
                </c:pt>
                <c:pt idx="100">
                  <c:v>-2.0578438853490451E-3</c:v>
                </c:pt>
                <c:pt idx="101">
                  <c:v>-1.9152432300484218E-3</c:v>
                </c:pt>
                <c:pt idx="102">
                  <c:v>-1.5014000098445626E-3</c:v>
                </c:pt>
                <c:pt idx="103">
                  <c:v>-8.568240825462866E-4</c:v>
                </c:pt>
                <c:pt idx="104">
                  <c:v>-4.4611030942114278E-5</c:v>
                </c:pt>
                <c:pt idx="105">
                  <c:v>8.557340724558533E-4</c:v>
                </c:pt>
                <c:pt idx="106">
                  <c:v>1.75607917585382E-3</c:v>
                </c:pt>
                <c:pt idx="107">
                  <c:v>2.5682922274579928E-3</c:v>
                </c:pt>
                <c:pt idx="108">
                  <c:v>3.2128681547562684E-3</c:v>
                </c:pt>
                <c:pt idx="110">
                  <c:v>8.4771342718938623E-3</c:v>
                </c:pt>
                <c:pt idx="111">
                  <c:v>9.8152273505530026E-3</c:v>
                </c:pt>
                <c:pt idx="112">
                  <c:v>1.0276302802691687E-2</c:v>
                </c:pt>
                <c:pt idx="113">
                  <c:v>9.8152273505530026E-3</c:v>
                </c:pt>
                <c:pt idx="114">
                  <c:v>8.4771342718938641E-3</c:v>
                </c:pt>
                <c:pt idx="115">
                  <c:v>6.3930054402961062E-3</c:v>
                </c:pt>
                <c:pt idx="116">
                  <c:v>3.7668499067759469E-3</c:v>
                </c:pt>
                <c:pt idx="117">
                  <c:v>8.557340724558507E-4</c:v>
                </c:pt>
                <c:pt idx="118">
                  <c:v>-2.0553817618642369E-3</c:v>
                </c:pt>
                <c:pt idx="119">
                  <c:v>-4.6815372953843987E-3</c:v>
                </c:pt>
                <c:pt idx="120">
                  <c:v>-6.765666126982154E-3</c:v>
                </c:pt>
                <c:pt idx="121">
                  <c:v>-8.1037592056412977E-3</c:v>
                </c:pt>
                <c:pt idx="122">
                  <c:v>-8.5648346577799819E-3</c:v>
                </c:pt>
                <c:pt idx="123">
                  <c:v>-8.1037592056412977E-3</c:v>
                </c:pt>
                <c:pt idx="124">
                  <c:v>-6.7656661269821575E-3</c:v>
                </c:pt>
                <c:pt idx="125">
                  <c:v>-4.6815372953844013E-3</c:v>
                </c:pt>
                <c:pt idx="126">
                  <c:v>-2.0553817618642412E-3</c:v>
                </c:pt>
                <c:pt idx="127">
                  <c:v>8.5573407245585092E-4</c:v>
                </c:pt>
                <c:pt idx="128">
                  <c:v>3.7668499067759435E-3</c:v>
                </c:pt>
                <c:pt idx="129">
                  <c:v>6.3930054402961045E-3</c:v>
                </c:pt>
                <c:pt idx="130">
                  <c:v>8.4771342718938606E-3</c:v>
                </c:pt>
                <c:pt idx="132">
                  <c:v>7.6128517750503758E-3</c:v>
                </c:pt>
                <c:pt idx="133">
                  <c:v>8.799202339634769E-3</c:v>
                </c:pt>
                <c:pt idx="134">
                  <c:v>9.2079908848298909E-3</c:v>
                </c:pt>
                <c:pt idx="135">
                  <c:v>8.799202339634769E-3</c:v>
                </c:pt>
                <c:pt idx="136">
                  <c:v>7.6128517750503749E-3</c:v>
                </c:pt>
                <c:pt idx="137">
                  <c:v>5.7650674501286536E-3</c:v>
                </c:pt>
                <c:pt idx="138">
                  <c:v>3.4367233688633592E-3</c:v>
                </c:pt>
                <c:pt idx="139">
                  <c:v>8.5573407245585244E-4</c:v>
                </c:pt>
                <c:pt idx="140">
                  <c:v>-1.7252552239516526E-3</c:v>
                </c:pt>
                <c:pt idx="141">
                  <c:v>-4.0535993052169469E-3</c:v>
                </c:pt>
                <c:pt idx="142">
                  <c:v>-5.9013836301386692E-3</c:v>
                </c:pt>
                <c:pt idx="143">
                  <c:v>-7.087734194723065E-3</c:v>
                </c:pt>
                <c:pt idx="144">
                  <c:v>-7.496522739918186E-3</c:v>
                </c:pt>
                <c:pt idx="145">
                  <c:v>-7.0877341947230624E-3</c:v>
                </c:pt>
                <c:pt idx="146">
                  <c:v>-5.9013836301386718E-3</c:v>
                </c:pt>
                <c:pt idx="147">
                  <c:v>-4.0535993052169487E-3</c:v>
                </c:pt>
                <c:pt idx="148">
                  <c:v>-1.725255223951653E-3</c:v>
                </c:pt>
                <c:pt idx="149">
                  <c:v>8.5573407245585157E-4</c:v>
                </c:pt>
                <c:pt idx="150">
                  <c:v>3.4367233688633561E-3</c:v>
                </c:pt>
                <c:pt idx="151">
                  <c:v>5.7650674501286527E-3</c:v>
                </c:pt>
                <c:pt idx="152">
                  <c:v>7.6128517750503749E-3</c:v>
                </c:pt>
                <c:pt idx="154">
                  <c:v>6.0414290535167666E-3</c:v>
                </c:pt>
                <c:pt idx="155">
                  <c:v>6.9518841379652523E-3</c:v>
                </c:pt>
                <c:pt idx="156">
                  <c:v>7.2656055796266258E-3</c:v>
                </c:pt>
                <c:pt idx="157">
                  <c:v>6.9518841379652531E-3</c:v>
                </c:pt>
                <c:pt idx="158">
                  <c:v>6.0414290535167666E-3</c:v>
                </c:pt>
                <c:pt idx="159">
                  <c:v>4.6233620134605614E-3</c:v>
                </c:pt>
                <c:pt idx="160">
                  <c:v>2.8364932999313808E-3</c:v>
                </c:pt>
                <c:pt idx="161">
                  <c:v>8.5573407245585244E-4</c:v>
                </c:pt>
                <c:pt idx="162">
                  <c:v>-1.1250251550196724E-3</c:v>
                </c:pt>
                <c:pt idx="163">
                  <c:v>-2.9118938685488531E-3</c:v>
                </c:pt>
                <c:pt idx="164">
                  <c:v>-4.3299609086050609E-3</c:v>
                </c:pt>
                <c:pt idx="165">
                  <c:v>-5.2404159930535491E-3</c:v>
                </c:pt>
                <c:pt idx="166">
                  <c:v>-5.554137434714921E-3</c:v>
                </c:pt>
                <c:pt idx="167">
                  <c:v>-5.2404159930535474E-3</c:v>
                </c:pt>
                <c:pt idx="168">
                  <c:v>-4.32996090860506E-3</c:v>
                </c:pt>
                <c:pt idx="169">
                  <c:v>-2.9118938685488553E-3</c:v>
                </c:pt>
                <c:pt idx="170">
                  <c:v>-1.1250251550196737E-3</c:v>
                </c:pt>
                <c:pt idx="171">
                  <c:v>8.5573407245585114E-4</c:v>
                </c:pt>
                <c:pt idx="172">
                  <c:v>2.8364932999313786E-3</c:v>
                </c:pt>
                <c:pt idx="173">
                  <c:v>4.623362013460558E-3</c:v>
                </c:pt>
                <c:pt idx="174">
                  <c:v>6.0414290535167649E-3</c:v>
                </c:pt>
                <c:pt idx="176">
                  <c:v>3.2128681547562684E-3</c:v>
                </c:pt>
                <c:pt idx="177">
                  <c:v>3.6267113749601271E-3</c:v>
                </c:pt>
                <c:pt idx="178">
                  <c:v>3.7693120302607509E-3</c:v>
                </c:pt>
                <c:pt idx="179">
                  <c:v>3.6267113749601275E-3</c:v>
                </c:pt>
                <c:pt idx="180">
                  <c:v>3.2128681547562675E-3</c:v>
                </c:pt>
                <c:pt idx="181">
                  <c:v>2.5682922274579915E-3</c:v>
                </c:pt>
                <c:pt idx="182">
                  <c:v>1.7560791758538209E-3</c:v>
                </c:pt>
                <c:pt idx="183">
                  <c:v>8.5573407245585417E-4</c:v>
                </c:pt>
                <c:pt idx="184">
                  <c:v>-4.4611030942114278E-5</c:v>
                </c:pt>
                <c:pt idx="185">
                  <c:v>-8.5682408254628573E-4</c:v>
                </c:pt>
                <c:pt idx="186">
                  <c:v>-1.50140000984456E-3</c:v>
                </c:pt>
                <c:pt idx="187">
                  <c:v>-1.9152432300484201E-3</c:v>
                </c:pt>
                <c:pt idx="188">
                  <c:v>-2.0578438853490451E-3</c:v>
                </c:pt>
                <c:pt idx="189">
                  <c:v>-1.9152432300484218E-3</c:v>
                </c:pt>
                <c:pt idx="190">
                  <c:v>-1.5014000098445626E-3</c:v>
                </c:pt>
                <c:pt idx="191">
                  <c:v>-8.568240825462866E-4</c:v>
                </c:pt>
                <c:pt idx="192">
                  <c:v>-4.4611030942114278E-5</c:v>
                </c:pt>
                <c:pt idx="193">
                  <c:v>8.557340724558533E-4</c:v>
                </c:pt>
                <c:pt idx="194">
                  <c:v>1.75607917585382E-3</c:v>
                </c:pt>
                <c:pt idx="195">
                  <c:v>2.5682922274579928E-3</c:v>
                </c:pt>
                <c:pt idx="196">
                  <c:v>3.2128681547562684E-3</c:v>
                </c:pt>
                <c:pt idx="198">
                  <c:v>8.557340724558533E-4</c:v>
                </c:pt>
                <c:pt idx="199">
                  <c:v>3.2837157039599342E-3</c:v>
                </c:pt>
                <c:pt idx="200">
                  <c:v>5.4740295766296425E-3</c:v>
                </c:pt>
                <c:pt idx="201">
                  <c:v>7.2122725077939593E-3</c:v>
                </c:pt>
                <c:pt idx="202">
                  <c:v>8.3282931682998745E-3</c:v>
                </c:pt>
                <c:pt idx="203">
                  <c:v>8.7128476801239044E-3</c:v>
                </c:pt>
                <c:pt idx="204">
                  <c:v>8.3282931682998745E-3</c:v>
                </c:pt>
                <c:pt idx="205">
                  <c:v>7.2122725077939593E-3</c:v>
                </c:pt>
                <c:pt idx="206">
                  <c:v>5.4740295766296434E-3</c:v>
                </c:pt>
                <c:pt idx="207">
                  <c:v>3.2837157039599346E-3</c:v>
                </c:pt>
                <c:pt idx="208">
                  <c:v>8.5573407245585417E-4</c:v>
                </c:pt>
                <c:pt idx="209">
                  <c:v>-1.5722475590482293E-3</c:v>
                </c:pt>
                <c:pt idx="210">
                  <c:v>-3.7625614317179359E-3</c:v>
                </c:pt>
                <c:pt idx="211">
                  <c:v>-5.5008043628822509E-3</c:v>
                </c:pt>
                <c:pt idx="212">
                  <c:v>-6.6168250233881705E-3</c:v>
                </c:pt>
                <c:pt idx="213">
                  <c:v>-7.0013795352121986E-3</c:v>
                </c:pt>
                <c:pt idx="214">
                  <c:v>-6.6168250233881705E-3</c:v>
                </c:pt>
                <c:pt idx="215">
                  <c:v>-5.5008043628822544E-3</c:v>
                </c:pt>
                <c:pt idx="216">
                  <c:v>-3.7625614317179376E-3</c:v>
                </c:pt>
                <c:pt idx="217">
                  <c:v>-1.5722475590482293E-3</c:v>
                </c:pt>
                <c:pt idx="218">
                  <c:v>8.5573407245585157E-4</c:v>
                </c:pt>
                <c:pt idx="220">
                  <c:v>6.5642612557963182E-3</c:v>
                </c:pt>
                <c:pt idx="221">
                  <c:v>6.2848660486198218E-3</c:v>
                </c:pt>
                <c:pt idx="222">
                  <c:v>5.4740295766296417E-3</c:v>
                </c:pt>
                <c:pt idx="223">
                  <c:v>4.2111221631340682E-3</c:v>
                </c:pt>
                <c:pt idx="224">
                  <c:v>2.6197659849594088E-3</c:v>
                </c:pt>
                <c:pt idx="225">
                  <c:v>8.557340724558533E-4</c:v>
                </c:pt>
                <c:pt idx="226">
                  <c:v>-9.0829784004770216E-4</c:v>
                </c:pt>
                <c:pt idx="227">
                  <c:v>-2.4996540182223637E-3</c:v>
                </c:pt>
                <c:pt idx="228">
                  <c:v>-3.762561431717935E-3</c:v>
                </c:pt>
                <c:pt idx="229">
                  <c:v>-4.5733979037081169E-3</c:v>
                </c:pt>
                <c:pt idx="230">
                  <c:v>-4.8527931108846133E-3</c:v>
                </c:pt>
                <c:pt idx="231">
                  <c:v>-4.5733979037081169E-3</c:v>
                </c:pt>
                <c:pt idx="232">
                  <c:v>-3.7625614317179363E-3</c:v>
                </c:pt>
                <c:pt idx="233">
                  <c:v>-2.499654018222365E-3</c:v>
                </c:pt>
                <c:pt idx="234">
                  <c:v>-9.0829784004770389E-4</c:v>
                </c:pt>
                <c:pt idx="235">
                  <c:v>8.5573407245585244E-4</c:v>
                </c:pt>
                <c:pt idx="236">
                  <c:v>2.619765984959407E-3</c:v>
                </c:pt>
                <c:pt idx="237">
                  <c:v>4.2111221631340682E-3</c:v>
                </c:pt>
                <c:pt idx="238">
                  <c:v>5.4740295766296417E-3</c:v>
                </c:pt>
                <c:pt idx="239">
                  <c:v>6.2848660486198218E-3</c:v>
                </c:pt>
                <c:pt idx="240">
                  <c:v>6.5642612557963182E-3</c:v>
                </c:pt>
                <c:pt idx="242">
                  <c:v>8.557340724558533E-4</c:v>
                </c:pt>
                <c:pt idx="243">
                  <c:v>3.8199352762495042E-3</c:v>
                </c:pt>
                <c:pt idx="244">
                  <c:v>6.4939798134116336E-3</c:v>
                </c:pt>
                <c:pt idx="245">
                  <c:v>8.6161135734809831E-3</c:v>
                </c:pt>
                <c:pt idx="246">
                  <c:v>9.9786073182466413E-3</c:v>
                </c:pt>
                <c:pt idx="247">
                  <c:v>1.0448090666918815E-2</c:v>
                </c:pt>
                <c:pt idx="248">
                  <c:v>9.9786073182466413E-3</c:v>
                </c:pt>
                <c:pt idx="249">
                  <c:v>8.6161135734809831E-3</c:v>
                </c:pt>
                <c:pt idx="250">
                  <c:v>6.4939798134116336E-3</c:v>
                </c:pt>
                <c:pt idx="251">
                  <c:v>3.8199352762495059E-3</c:v>
                </c:pt>
                <c:pt idx="252">
                  <c:v>8.5573407245585417E-4</c:v>
                </c:pt>
                <c:pt idx="253">
                  <c:v>-2.1084671313378019E-3</c:v>
                </c:pt>
                <c:pt idx="254">
                  <c:v>-4.7825116684999261E-3</c:v>
                </c:pt>
                <c:pt idx="255">
                  <c:v>-6.9046454285692782E-3</c:v>
                </c:pt>
                <c:pt idx="256">
                  <c:v>-8.2671391733349364E-3</c:v>
                </c:pt>
                <c:pt idx="257">
                  <c:v>-8.7366225220071106E-3</c:v>
                </c:pt>
                <c:pt idx="258">
                  <c:v>-8.2671391733349364E-3</c:v>
                </c:pt>
                <c:pt idx="259">
                  <c:v>-6.9046454285692834E-3</c:v>
                </c:pt>
                <c:pt idx="260">
                  <c:v>-4.7825116684999313E-3</c:v>
                </c:pt>
                <c:pt idx="261">
                  <c:v>-2.108467131337801E-3</c:v>
                </c:pt>
                <c:pt idx="262">
                  <c:v>8.5573407245585157E-4</c:v>
                </c:pt>
                <c:pt idx="264">
                  <c:v>-6.6354595815153704E-4</c:v>
                </c:pt>
                <c:pt idx="265">
                  <c:v>-5.8918710073040809E-4</c:v>
                </c:pt>
                <c:pt idx="266">
                  <c:v>-3.7338929152001647E-4</c:v>
                </c:pt>
                <c:pt idx="267">
                  <c:v>-3.7276323637628131E-5</c:v>
                </c:pt>
                <c:pt idx="268">
                  <c:v>3.8625072378368E-4</c:v>
                </c:pt>
                <c:pt idx="269">
                  <c:v>8.557340724558533E-4</c:v>
                </c:pt>
                <c:pt idx="270">
                  <c:v>1.3252174211280266E-3</c:v>
                </c:pt>
                <c:pt idx="271">
                  <c:v>1.7487444685493343E-3</c:v>
                </c:pt>
                <c:pt idx="272">
                  <c:v>2.0848574364317222E-3</c:v>
                </c:pt>
                <c:pt idx="273">
                  <c:v>2.3006552456421121E-3</c:v>
                </c:pt>
                <c:pt idx="274">
                  <c:v>2.3750141030632441E-3</c:v>
                </c:pt>
                <c:pt idx="275">
                  <c:v>2.3006552456421121E-3</c:v>
                </c:pt>
                <c:pt idx="276">
                  <c:v>2.0848574364317222E-3</c:v>
                </c:pt>
                <c:pt idx="277">
                  <c:v>1.7487444685493343E-3</c:v>
                </c:pt>
                <c:pt idx="278">
                  <c:v>1.3252174211280266E-3</c:v>
                </c:pt>
                <c:pt idx="279">
                  <c:v>8.557340724558533E-4</c:v>
                </c:pt>
                <c:pt idx="280">
                  <c:v>3.8625072378368E-4</c:v>
                </c:pt>
                <c:pt idx="281">
                  <c:v>-3.7276323637628131E-5</c:v>
                </c:pt>
                <c:pt idx="282">
                  <c:v>-3.7338929152001821E-4</c:v>
                </c:pt>
                <c:pt idx="283">
                  <c:v>-5.8918710073040809E-4</c:v>
                </c:pt>
                <c:pt idx="284">
                  <c:v>-6.6354595815153704E-4</c:v>
                </c:pt>
              </c:numCache>
            </c:numRef>
          </c:xVal>
          <c:yVal>
            <c:numRef>
              <c:f>Planètes!$O$6:$O$290</c:f>
              <c:numCache>
                <c:formatCode>General</c:formatCode>
                <c:ptCount val="285"/>
                <c:pt idx="0">
                  <c:v>-8.4707440125362712E-3</c:v>
                </c:pt>
                <c:pt idx="1">
                  <c:v>-6.803916393771669E-3</c:v>
                </c:pt>
                <c:pt idx="2">
                  <c:v>-4.9562237449042555E-3</c:v>
                </c:pt>
                <c:pt idx="3">
                  <c:v>-3.1085310960368394E-3</c:v>
                </c:pt>
                <c:pt idx="4">
                  <c:v>-1.4417034772722364E-3</c:v>
                </c:pt>
                <c:pt idx="5">
                  <c:v>-1.1890158940603725E-4</c:v>
                </c:pt>
                <c:pt idx="6">
                  <c:v>7.3038950227472497E-4</c:v>
                </c:pt>
                <c:pt idx="7">
                  <c:v>1.0230352683573505E-3</c:v>
                </c:pt>
                <c:pt idx="8">
                  <c:v>7.3038950227472497E-4</c:v>
                </c:pt>
                <c:pt idx="9">
                  <c:v>-1.1890158940603378E-4</c:v>
                </c:pt>
                <c:pt idx="10">
                  <c:v>-1.4417034772722364E-3</c:v>
                </c:pt>
                <c:pt idx="11">
                  <c:v>-3.1085310960368411E-3</c:v>
                </c:pt>
                <c:pt idx="12">
                  <c:v>-4.9562237449042538E-3</c:v>
                </c:pt>
                <c:pt idx="13">
                  <c:v>-6.8039163937716682E-3</c:v>
                </c:pt>
                <c:pt idx="14">
                  <c:v>-8.4707440125362694E-3</c:v>
                </c:pt>
                <c:pt idx="15">
                  <c:v>-9.7935459004024721E-3</c:v>
                </c:pt>
                <c:pt idx="16">
                  <c:v>-1.0642836992083234E-2</c:v>
                </c:pt>
                <c:pt idx="17">
                  <c:v>-1.093548275816586E-2</c:v>
                </c:pt>
                <c:pt idx="18">
                  <c:v>-1.0642836992083234E-2</c:v>
                </c:pt>
                <c:pt idx="19">
                  <c:v>-9.7935459004024738E-3</c:v>
                </c:pt>
                <c:pt idx="20">
                  <c:v>-8.4707440125362712E-3</c:v>
                </c:pt>
                <c:pt idx="22">
                  <c:v>-6.4520327693224997E-3</c:v>
                </c:pt>
                <c:pt idx="23">
                  <c:v>-4.8352099791208365E-3</c:v>
                </c:pt>
                <c:pt idx="24">
                  <c:v>-3.0429481097194438E-3</c:v>
                </c:pt>
                <c:pt idx="25">
                  <c:v>-1.2506862403180528E-3</c:v>
                </c:pt>
                <c:pt idx="26">
                  <c:v>3.6613654988361388E-4</c:v>
                </c:pt>
                <c:pt idx="27">
                  <c:v>1.6492543811138273E-3</c:v>
                </c:pt>
                <c:pt idx="28">
                  <c:v>2.4730667400441678E-3</c:v>
                </c:pt>
                <c:pt idx="29">
                  <c:v>2.7569331331443129E-3</c:v>
                </c:pt>
                <c:pt idx="30">
                  <c:v>2.473066740044166E-3</c:v>
                </c:pt>
                <c:pt idx="31">
                  <c:v>1.6492543811138273E-3</c:v>
                </c:pt>
                <c:pt idx="32">
                  <c:v>3.6613654988361215E-4</c:v>
                </c:pt>
                <c:pt idx="33">
                  <c:v>-1.2506862403180528E-3</c:v>
                </c:pt>
                <c:pt idx="34">
                  <c:v>-3.0429481097194438E-3</c:v>
                </c:pt>
                <c:pt idx="35">
                  <c:v>-4.8352099791208365E-3</c:v>
                </c:pt>
                <c:pt idx="36">
                  <c:v>-6.4520327693224997E-3</c:v>
                </c:pt>
                <c:pt idx="37">
                  <c:v>-7.7351506005527149E-3</c:v>
                </c:pt>
                <c:pt idx="38">
                  <c:v>-8.5589629594830553E-3</c:v>
                </c:pt>
                <c:pt idx="39">
                  <c:v>-8.8428293525832022E-3</c:v>
                </c:pt>
                <c:pt idx="40">
                  <c:v>-8.5589629594830553E-3</c:v>
                </c:pt>
                <c:pt idx="41">
                  <c:v>-7.7351506005527166E-3</c:v>
                </c:pt>
                <c:pt idx="42">
                  <c:v>-6.4520327693225006E-3</c:v>
                </c:pt>
                <c:pt idx="44">
                  <c:v>-4.1521599046981696E-3</c:v>
                </c:pt>
                <c:pt idx="45">
                  <c:v>-2.7186881525606138E-3</c:v>
                </c:pt>
                <c:pt idx="46">
                  <c:v>-1.1296724745346372E-3</c:v>
                </c:pt>
                <c:pt idx="47">
                  <c:v>4.5934320349134104E-4</c:v>
                </c:pt>
                <c:pt idx="48">
                  <c:v>1.8928149556288985E-3</c:v>
                </c:pt>
                <c:pt idx="49">
                  <c:v>3.0304245791938304E-3</c:v>
                </c:pt>
                <c:pt idx="50">
                  <c:v>3.7608149180392882E-3</c:v>
                </c:pt>
                <c:pt idx="51">
                  <c:v>4.0124902768703449E-3</c:v>
                </c:pt>
                <c:pt idx="52">
                  <c:v>3.7608149180392847E-3</c:v>
                </c:pt>
                <c:pt idx="53">
                  <c:v>3.0304245791938321E-3</c:v>
                </c:pt>
                <c:pt idx="54">
                  <c:v>1.8928149556288968E-3</c:v>
                </c:pt>
                <c:pt idx="55">
                  <c:v>4.5934320349133931E-4</c:v>
                </c:pt>
                <c:pt idx="56">
                  <c:v>-1.1296724745346372E-3</c:v>
                </c:pt>
                <c:pt idx="57">
                  <c:v>-2.7186881525606121E-3</c:v>
                </c:pt>
                <c:pt idx="58">
                  <c:v>-4.1521599046981696E-3</c:v>
                </c:pt>
                <c:pt idx="59">
                  <c:v>-5.2897695282631023E-3</c:v>
                </c:pt>
                <c:pt idx="60">
                  <c:v>-6.0201598671085583E-3</c:v>
                </c:pt>
                <c:pt idx="61">
                  <c:v>-6.2718352259396159E-3</c:v>
                </c:pt>
                <c:pt idx="62">
                  <c:v>-6.0201598671085592E-3</c:v>
                </c:pt>
                <c:pt idx="63">
                  <c:v>-5.289769528263104E-3</c:v>
                </c:pt>
                <c:pt idx="64">
                  <c:v>-4.1521599046981704E-3</c:v>
                </c:pt>
                <c:pt idx="66">
                  <c:v>-1.5359802159869568E-3</c:v>
                </c:pt>
                <c:pt idx="67">
                  <c:v>-4.3587398760232005E-4</c:v>
                </c:pt>
                <c:pt idx="68">
                  <c:v>7.8360316065017449E-4</c:v>
                </c:pt>
                <c:pt idx="69">
                  <c:v>2.0030803089026682E-3</c:v>
                </c:pt>
                <c:pt idx="70">
                  <c:v>3.103186537287304E-3</c:v>
                </c:pt>
                <c:pt idx="71">
                  <c:v>3.9762357832789971E-3</c:v>
                </c:pt>
                <c:pt idx="72">
                  <c:v>4.5367679037883E-3</c:v>
                </c:pt>
                <c:pt idx="73">
                  <c:v>4.7299141094028323E-3</c:v>
                </c:pt>
                <c:pt idx="74">
                  <c:v>4.5367679037883E-3</c:v>
                </c:pt>
                <c:pt idx="75">
                  <c:v>3.9762357832789988E-3</c:v>
                </c:pt>
                <c:pt idx="76">
                  <c:v>3.1031865372873058E-3</c:v>
                </c:pt>
                <c:pt idx="77">
                  <c:v>2.0030803089026664E-3</c:v>
                </c:pt>
                <c:pt idx="78">
                  <c:v>7.8360316065017449E-4</c:v>
                </c:pt>
                <c:pt idx="79">
                  <c:v>-4.3587398760231919E-4</c:v>
                </c:pt>
                <c:pt idx="80">
                  <c:v>-1.5359802159869559E-3</c:v>
                </c:pt>
                <c:pt idx="81">
                  <c:v>-2.4090294619786489E-3</c:v>
                </c:pt>
                <c:pt idx="82">
                  <c:v>-2.9695615824879519E-3</c:v>
                </c:pt>
                <c:pt idx="83">
                  <c:v>-3.162707788102485E-3</c:v>
                </c:pt>
                <c:pt idx="84">
                  <c:v>-2.9695615824879536E-3</c:v>
                </c:pt>
                <c:pt idx="85">
                  <c:v>-2.4090294619786498E-3</c:v>
                </c:pt>
                <c:pt idx="86">
                  <c:v>-1.5359802159869576E-3</c:v>
                </c:pt>
                <c:pt idx="88">
                  <c:v>1.2598675885084152E-3</c:v>
                </c:pt>
                <c:pt idx="89">
                  <c:v>1.7599158741377977E-3</c:v>
                </c:pt>
                <c:pt idx="90">
                  <c:v>2.3142236687980211E-3</c:v>
                </c:pt>
                <c:pt idx="91">
                  <c:v>2.8685314634582446E-3</c:v>
                </c:pt>
                <c:pt idx="92">
                  <c:v>3.3685797490876253E-3</c:v>
                </c:pt>
                <c:pt idx="93">
                  <c:v>3.7654203154474861E-3</c:v>
                </c:pt>
                <c:pt idx="94">
                  <c:v>4.020207642951714E-3</c:v>
                </c:pt>
                <c:pt idx="95">
                  <c:v>4.1080013727765024E-3</c:v>
                </c:pt>
                <c:pt idx="96">
                  <c:v>4.0202076429517158E-3</c:v>
                </c:pt>
                <c:pt idx="97">
                  <c:v>3.7654203154474861E-3</c:v>
                </c:pt>
                <c:pt idx="98">
                  <c:v>3.3685797490876253E-3</c:v>
                </c:pt>
                <c:pt idx="99">
                  <c:v>2.8685314634582446E-3</c:v>
                </c:pt>
                <c:pt idx="100">
                  <c:v>2.3142236687980211E-3</c:v>
                </c:pt>
                <c:pt idx="101">
                  <c:v>1.7599158741377977E-3</c:v>
                </c:pt>
                <c:pt idx="102">
                  <c:v>1.2598675885084169E-3</c:v>
                </c:pt>
                <c:pt idx="103">
                  <c:v>8.6302702214855528E-4</c:v>
                </c:pt>
                <c:pt idx="104">
                  <c:v>6.0823969464432644E-4</c:v>
                </c:pt>
                <c:pt idx="105">
                  <c:v>5.2044596481953982E-4</c:v>
                </c:pt>
                <c:pt idx="106">
                  <c:v>6.0823969464432644E-4</c:v>
                </c:pt>
                <c:pt idx="107">
                  <c:v>8.6302702214855441E-4</c:v>
                </c:pt>
                <c:pt idx="108">
                  <c:v>1.2598675885084152E-3</c:v>
                </c:pt>
                <c:pt idx="110">
                  <c:v>-1.0278584039692118E-2</c:v>
                </c:pt>
                <c:pt idx="111">
                  <c:v>-8.6617612494904548E-3</c:v>
                </c:pt>
                <c:pt idx="112">
                  <c:v>-6.8694993800890621E-3</c:v>
                </c:pt>
                <c:pt idx="113">
                  <c:v>-5.077237510687671E-3</c:v>
                </c:pt>
                <c:pt idx="114">
                  <c:v>-3.4604147204860044E-3</c:v>
                </c:pt>
                <c:pt idx="115">
                  <c:v>-2.177296889255791E-3</c:v>
                </c:pt>
                <c:pt idx="116">
                  <c:v>-1.3534845303254505E-3</c:v>
                </c:pt>
                <c:pt idx="117">
                  <c:v>-1.0696181372253054E-3</c:v>
                </c:pt>
                <c:pt idx="118">
                  <c:v>-1.3534845303254522E-3</c:v>
                </c:pt>
                <c:pt idx="119">
                  <c:v>-2.177296889255791E-3</c:v>
                </c:pt>
                <c:pt idx="120">
                  <c:v>-3.4604147204860061E-3</c:v>
                </c:pt>
                <c:pt idx="121">
                  <c:v>-5.077237510687671E-3</c:v>
                </c:pt>
                <c:pt idx="122">
                  <c:v>-6.8694993800890621E-3</c:v>
                </c:pt>
                <c:pt idx="123">
                  <c:v>-8.6617612494904548E-3</c:v>
                </c:pt>
                <c:pt idx="124">
                  <c:v>-1.0278584039692118E-2</c:v>
                </c:pt>
                <c:pt idx="125">
                  <c:v>-1.1561701870922333E-2</c:v>
                </c:pt>
                <c:pt idx="126">
                  <c:v>-1.2385514229852672E-2</c:v>
                </c:pt>
                <c:pt idx="127">
                  <c:v>-1.2669380622952819E-2</c:v>
                </c:pt>
                <c:pt idx="128">
                  <c:v>-1.2385514229852674E-2</c:v>
                </c:pt>
                <c:pt idx="129">
                  <c:v>-1.1561701870922335E-2</c:v>
                </c:pt>
                <c:pt idx="130">
                  <c:v>-1.0278584039692118E-2</c:v>
                </c:pt>
                <c:pt idx="132">
                  <c:v>-1.1805262445437406E-2</c:v>
                </c:pt>
                <c:pt idx="133">
                  <c:v>-1.037179069329985E-2</c:v>
                </c:pt>
                <c:pt idx="134">
                  <c:v>-8.7827750152738738E-3</c:v>
                </c:pt>
                <c:pt idx="135">
                  <c:v>-7.1937593372478955E-3</c:v>
                </c:pt>
                <c:pt idx="136">
                  <c:v>-5.760287585110338E-3</c:v>
                </c:pt>
                <c:pt idx="137">
                  <c:v>-4.6226779615454062E-3</c:v>
                </c:pt>
                <c:pt idx="138">
                  <c:v>-3.8922876226999484E-3</c:v>
                </c:pt>
                <c:pt idx="139">
                  <c:v>-3.6406122638688917E-3</c:v>
                </c:pt>
                <c:pt idx="140">
                  <c:v>-3.8922876226999518E-3</c:v>
                </c:pt>
                <c:pt idx="141">
                  <c:v>-4.6226779615454044E-3</c:v>
                </c:pt>
                <c:pt idx="142">
                  <c:v>-5.7602875851103397E-3</c:v>
                </c:pt>
                <c:pt idx="143">
                  <c:v>-7.1937593372478972E-3</c:v>
                </c:pt>
                <c:pt idx="144">
                  <c:v>-8.7827750152738738E-3</c:v>
                </c:pt>
                <c:pt idx="145">
                  <c:v>-1.0371790693299849E-2</c:v>
                </c:pt>
                <c:pt idx="146">
                  <c:v>-1.1805262445437406E-2</c:v>
                </c:pt>
                <c:pt idx="147">
                  <c:v>-1.294287206900234E-2</c:v>
                </c:pt>
                <c:pt idx="148">
                  <c:v>-1.3673262407847796E-2</c:v>
                </c:pt>
                <c:pt idx="149">
                  <c:v>-1.3924937766678852E-2</c:v>
                </c:pt>
                <c:pt idx="150">
                  <c:v>-1.3673262407847796E-2</c:v>
                </c:pt>
                <c:pt idx="151">
                  <c:v>-1.294287206900234E-2</c:v>
                </c:pt>
                <c:pt idx="152">
                  <c:v>-1.1805262445437406E-2</c:v>
                </c:pt>
                <c:pt idx="154">
                  <c:v>-1.3015634027095813E-2</c:v>
                </c:pt>
                <c:pt idx="155">
                  <c:v>-1.1915527798711176E-2</c:v>
                </c:pt>
                <c:pt idx="156">
                  <c:v>-1.0696050650458682E-2</c:v>
                </c:pt>
                <c:pt idx="157">
                  <c:v>-9.4765735022061884E-3</c:v>
                </c:pt>
                <c:pt idx="158">
                  <c:v>-8.3764672738215525E-3</c:v>
                </c:pt>
                <c:pt idx="159">
                  <c:v>-7.5034180278298595E-3</c:v>
                </c:pt>
                <c:pt idx="160">
                  <c:v>-6.9428859073205566E-3</c:v>
                </c:pt>
                <c:pt idx="161">
                  <c:v>-6.7497397017060243E-3</c:v>
                </c:pt>
                <c:pt idx="162">
                  <c:v>-6.9428859073205566E-3</c:v>
                </c:pt>
                <c:pt idx="163">
                  <c:v>-7.5034180278298578E-3</c:v>
                </c:pt>
                <c:pt idx="164">
                  <c:v>-8.3764672738215508E-3</c:v>
                </c:pt>
                <c:pt idx="165">
                  <c:v>-9.4765735022061901E-3</c:v>
                </c:pt>
                <c:pt idx="166">
                  <c:v>-1.0696050650458682E-2</c:v>
                </c:pt>
                <c:pt idx="167">
                  <c:v>-1.1915527798711176E-2</c:v>
                </c:pt>
                <c:pt idx="168">
                  <c:v>-1.3015634027095813E-2</c:v>
                </c:pt>
                <c:pt idx="169">
                  <c:v>-1.3888683273087506E-2</c:v>
                </c:pt>
                <c:pt idx="170">
                  <c:v>-1.4449215393596809E-2</c:v>
                </c:pt>
                <c:pt idx="171">
                  <c:v>-1.4642361599211342E-2</c:v>
                </c:pt>
                <c:pt idx="172">
                  <c:v>-1.4449215393596809E-2</c:v>
                </c:pt>
                <c:pt idx="173">
                  <c:v>-1.3888683273087506E-2</c:v>
                </c:pt>
                <c:pt idx="174">
                  <c:v>-1.3015634027095813E-2</c:v>
                </c:pt>
                <c:pt idx="176">
                  <c:v>-1.3281027238896135E-2</c:v>
                </c:pt>
                <c:pt idx="177">
                  <c:v>-1.2780978953266752E-2</c:v>
                </c:pt>
                <c:pt idx="178">
                  <c:v>-1.2226671158606529E-2</c:v>
                </c:pt>
                <c:pt idx="179">
                  <c:v>-1.1672363363946305E-2</c:v>
                </c:pt>
                <c:pt idx="180">
                  <c:v>-1.1172315078316924E-2</c:v>
                </c:pt>
                <c:pt idx="181">
                  <c:v>-1.0775474511957064E-2</c:v>
                </c:pt>
                <c:pt idx="182">
                  <c:v>-1.0520687184452836E-2</c:v>
                </c:pt>
                <c:pt idx="183">
                  <c:v>-1.0432893454628047E-2</c:v>
                </c:pt>
                <c:pt idx="184">
                  <c:v>-1.0520687184452834E-2</c:v>
                </c:pt>
                <c:pt idx="185">
                  <c:v>-1.0775474511957064E-2</c:v>
                </c:pt>
                <c:pt idx="186">
                  <c:v>-1.1172315078316924E-2</c:v>
                </c:pt>
                <c:pt idx="187">
                  <c:v>-1.1672363363946305E-2</c:v>
                </c:pt>
                <c:pt idx="188">
                  <c:v>-1.2226671158606529E-2</c:v>
                </c:pt>
                <c:pt idx="189">
                  <c:v>-1.2780978953266752E-2</c:v>
                </c:pt>
                <c:pt idx="190">
                  <c:v>-1.3281027238896133E-2</c:v>
                </c:pt>
                <c:pt idx="191">
                  <c:v>-1.3677867805255994E-2</c:v>
                </c:pt>
                <c:pt idx="192">
                  <c:v>-1.3932655132760223E-2</c:v>
                </c:pt>
                <c:pt idx="193">
                  <c:v>-1.402044886258501E-2</c:v>
                </c:pt>
                <c:pt idx="194">
                  <c:v>-1.3932655132760223E-2</c:v>
                </c:pt>
                <c:pt idx="195">
                  <c:v>-1.3677867805255995E-2</c:v>
                </c:pt>
                <c:pt idx="196">
                  <c:v>-1.3281027238896135E-2</c:v>
                </c:pt>
                <c:pt idx="198">
                  <c:v>2.6968787958349836E-3</c:v>
                </c:pt>
                <c:pt idx="199">
                  <c:v>1.2362628065673113E-3</c:v>
                </c:pt>
                <c:pt idx="200">
                  <c:v>-8.3051691194921829E-4</c:v>
                </c:pt>
                <c:pt idx="201">
                  <c:v>-3.3011495607651641E-3</c:v>
                </c:pt>
                <c:pt idx="202">
                  <c:v>-5.9337924023045588E-3</c:v>
                </c:pt>
                <c:pt idx="203">
                  <c:v>-8.4707440125362712E-3</c:v>
                </c:pt>
                <c:pt idx="204">
                  <c:v>-1.0663669891869582E-2</c:v>
                </c:pt>
                <c:pt idx="205">
                  <c:v>-1.229791117622232E-2</c:v>
                </c:pt>
                <c:pt idx="206">
                  <c:v>-1.3213496942253478E-2</c:v>
                </c:pt>
                <c:pt idx="207">
                  <c:v>-1.3320803275922784E-2</c:v>
                </c:pt>
                <c:pt idx="208">
                  <c:v>-1.260932628564349E-2</c:v>
                </c:pt>
                <c:pt idx="209">
                  <c:v>-1.1148710296375819E-2</c:v>
                </c:pt>
                <c:pt idx="210">
                  <c:v>-9.0819305778592884E-3</c:v>
                </c:pt>
                <c:pt idx="211">
                  <c:v>-6.6112979290433426E-3</c:v>
                </c:pt>
                <c:pt idx="212">
                  <c:v>-3.9786550875039531E-3</c:v>
                </c:pt>
                <c:pt idx="213">
                  <c:v>-1.4417034772722399E-3</c:v>
                </c:pt>
                <c:pt idx="214">
                  <c:v>7.5122240206107471E-4</c:v>
                </c:pt>
                <c:pt idx="215">
                  <c:v>2.3854636864138155E-3</c:v>
                </c:pt>
                <c:pt idx="216">
                  <c:v>3.3010494524449716E-3</c:v>
                </c:pt>
                <c:pt idx="217">
                  <c:v>3.4083557861142762E-3</c:v>
                </c:pt>
                <c:pt idx="218">
                  <c:v>2.6968787958349836E-3</c:v>
                </c:pt>
                <c:pt idx="220">
                  <c:v>-1.1890158940603725E-4</c:v>
                </c:pt>
                <c:pt idx="221">
                  <c:v>2.0092817572837565E-3</c:v>
                </c:pt>
                <c:pt idx="222">
                  <c:v>3.4556328938888346E-3</c:v>
                </c:pt>
                <c:pt idx="223">
                  <c:v>4.0785728938373652E-3</c:v>
                </c:pt>
                <c:pt idx="224">
                  <c:v>3.817124049656194E-3</c:v>
                </c:pt>
                <c:pt idx="225">
                  <c:v>2.6968787958349836E-3</c:v>
                </c:pt>
                <c:pt idx="226">
                  <c:v>8.2749454302539181E-4</c:v>
                </c:pt>
                <c:pt idx="227">
                  <c:v>-1.6080403533416119E-3</c:v>
                </c:pt>
                <c:pt idx="228">
                  <c:v>-4.3713187682401823E-3</c:v>
                </c:pt>
                <c:pt idx="229">
                  <c:v>-7.1918517575272371E-3</c:v>
                </c:pt>
                <c:pt idx="230">
                  <c:v>-9.7935459004024686E-3</c:v>
                </c:pt>
                <c:pt idx="231">
                  <c:v>-1.1921729247092269E-2</c:v>
                </c:pt>
                <c:pt idx="232">
                  <c:v>-1.3368080383697342E-2</c:v>
                </c:pt>
                <c:pt idx="233">
                  <c:v>-1.3991020383645874E-2</c:v>
                </c:pt>
                <c:pt idx="234">
                  <c:v>-1.3729571539464705E-2</c:v>
                </c:pt>
                <c:pt idx="235">
                  <c:v>-1.260932628564349E-2</c:v>
                </c:pt>
                <c:pt idx="236">
                  <c:v>-1.0739942032833901E-2</c:v>
                </c:pt>
                <c:pt idx="237">
                  <c:v>-8.3044071364668948E-3</c:v>
                </c:pt>
                <c:pt idx="238">
                  <c:v>-5.5411287215683218E-3</c:v>
                </c:pt>
                <c:pt idx="239">
                  <c:v>-2.7205957322812713E-3</c:v>
                </c:pt>
                <c:pt idx="240">
                  <c:v>-1.1890158940603898E-4</c:v>
                </c:pt>
                <c:pt idx="242">
                  <c:v>2.6968787958349836E-3</c:v>
                </c:pt>
                <c:pt idx="243">
                  <c:v>2.6113521074251338E-3</c:v>
                </c:pt>
                <c:pt idx="244">
                  <c:v>1.7850583681879402E-3</c:v>
                </c:pt>
                <c:pt idx="245">
                  <c:v>2.9888096644694467E-4</c:v>
                </c:pt>
                <c:pt idx="246">
                  <c:v>-1.7017026989086075E-3</c:v>
                </c:pt>
                <c:pt idx="247">
                  <c:v>-4.0208615598276969E-3</c:v>
                </c:pt>
                <c:pt idx="248">
                  <c:v>-6.4315801884736318E-3</c:v>
                </c:pt>
                <c:pt idx="249">
                  <c:v>-8.6978806490102117E-3</c:v>
                </c:pt>
                <c:pt idx="250">
                  <c:v>-1.059792166211632E-2</c:v>
                </c:pt>
                <c:pt idx="251">
                  <c:v>-1.1945713975064959E-2</c:v>
                </c:pt>
                <c:pt idx="252">
                  <c:v>-1.260932628564349E-2</c:v>
                </c:pt>
                <c:pt idx="253">
                  <c:v>-1.2523799597233643E-2</c:v>
                </c:pt>
                <c:pt idx="254">
                  <c:v>-1.1697505857996447E-2</c:v>
                </c:pt>
                <c:pt idx="255">
                  <c:v>-1.0211328456255451E-2</c:v>
                </c:pt>
                <c:pt idx="256">
                  <c:v>-8.2107447908999036E-3</c:v>
                </c:pt>
                <c:pt idx="257">
                  <c:v>-5.8915859299808141E-3</c:v>
                </c:pt>
                <c:pt idx="258">
                  <c:v>-3.4808673013348758E-3</c:v>
                </c:pt>
                <c:pt idx="259">
                  <c:v>-1.2145668407982941E-3</c:v>
                </c:pt>
                <c:pt idx="260">
                  <c:v>6.854741723078114E-4</c:v>
                </c:pt>
                <c:pt idx="261">
                  <c:v>2.0332664852564519E-3</c:v>
                </c:pt>
                <c:pt idx="262">
                  <c:v>2.6968787958349819E-3</c:v>
                </c:pt>
                <c:pt idx="264">
                  <c:v>9.4942066789262085E-4</c:v>
                </c:pt>
                <c:pt idx="265">
                  <c:v>3.0253166015907912E-3</c:v>
                </c:pt>
                <c:pt idx="266">
                  <c:v>4.3199237555124545E-3</c:v>
                </c:pt>
                <c:pt idx="267">
                  <c:v>4.7065169613733212E-3</c:v>
                </c:pt>
                <c:pt idx="268">
                  <c:v>4.1472537826304848E-3</c:v>
                </c:pt>
                <c:pt idx="269">
                  <c:v>2.6968787958349836E-3</c:v>
                </c:pt>
                <c:pt idx="270">
                  <c:v>4.9736481005110272E-4</c:v>
                </c:pt>
                <c:pt idx="271">
                  <c:v>-2.2359844208775679E-3</c:v>
                </c:pt>
                <c:pt idx="272">
                  <c:v>-5.2356096298638004E-3</c:v>
                </c:pt>
                <c:pt idx="273">
                  <c:v>-8.2078866018342727E-3</c:v>
                </c:pt>
                <c:pt idx="274">
                  <c:v>-1.0861868157701127E-2</c:v>
                </c:pt>
                <c:pt idx="275">
                  <c:v>-1.2937764091399304E-2</c:v>
                </c:pt>
                <c:pt idx="276">
                  <c:v>-1.423237124532096E-2</c:v>
                </c:pt>
                <c:pt idx="277">
                  <c:v>-1.461896445118183E-2</c:v>
                </c:pt>
                <c:pt idx="278">
                  <c:v>-1.4059701272438994E-2</c:v>
                </c:pt>
                <c:pt idx="279">
                  <c:v>-1.260932628564349E-2</c:v>
                </c:pt>
                <c:pt idx="280">
                  <c:v>-1.0409812299859612E-2</c:v>
                </c:pt>
                <c:pt idx="281">
                  <c:v>-7.6764630689309388E-3</c:v>
                </c:pt>
                <c:pt idx="282">
                  <c:v>-4.6768378599447019E-3</c:v>
                </c:pt>
                <c:pt idx="283">
                  <c:v>-1.7045608879742366E-3</c:v>
                </c:pt>
                <c:pt idx="284">
                  <c:v>9.4942066789261911E-4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DC1-4D34-853E-DDFBC45566B2}"/>
            </c:ext>
          </c:extLst>
        </c:ser>
        <c:ser>
          <c:idx val="10"/>
          <c:order val="6"/>
          <c:tx>
            <c:strRef>
              <c:f>Planètes!$P$3</c:f>
              <c:strCache>
                <c:ptCount val="1"/>
                <c:pt idx="0">
                  <c:v>Body6</c:v>
                </c:pt>
              </c:strCache>
            </c:strRef>
          </c:tx>
          <c:spPr>
            <a:ln w="6350">
              <a:solidFill>
                <a:srgbClr val="419FB8"/>
              </a:solidFill>
            </a:ln>
          </c:spPr>
          <c:marker>
            <c:symbol val="none"/>
          </c:marker>
          <c:xVal>
            <c:numRef>
              <c:f>Planètes!$P$6:$P$290</c:f>
              <c:numCache>
                <c:formatCode>General</c:formatCode>
                <c:ptCount val="285"/>
                <c:pt idx="0">
                  <c:v>0.18206303157477915</c:v>
                </c:pt>
                <c:pt idx="1">
                  <c:v>0.18406212983143744</c:v>
                </c:pt>
                <c:pt idx="2">
                  <c:v>0.18475097214536823</c:v>
                </c:pt>
                <c:pt idx="3">
                  <c:v>0.18406212983143744</c:v>
                </c:pt>
                <c:pt idx="4">
                  <c:v>0.18206303157477915</c:v>
                </c:pt>
                <c:pt idx="5">
                  <c:v>0.17894936304129166</c:v>
                </c:pt>
                <c:pt idx="6">
                  <c:v>0.17502591180123711</c:v>
                </c:pt>
                <c:pt idx="7">
                  <c:v>0.1706767325982842</c:v>
                </c:pt>
                <c:pt idx="8">
                  <c:v>0.16632755339533123</c:v>
                </c:pt>
                <c:pt idx="9">
                  <c:v>0.16240410215527668</c:v>
                </c:pt>
                <c:pt idx="10">
                  <c:v>0.15929043362178924</c:v>
                </c:pt>
                <c:pt idx="11">
                  <c:v>0.1572913353651309</c:v>
                </c:pt>
                <c:pt idx="12">
                  <c:v>0.15660249305120011</c:v>
                </c:pt>
                <c:pt idx="13">
                  <c:v>0.15729133536513093</c:v>
                </c:pt>
                <c:pt idx="14">
                  <c:v>0.15929043362178921</c:v>
                </c:pt>
                <c:pt idx="15">
                  <c:v>0.16240410215527668</c:v>
                </c:pt>
                <c:pt idx="16">
                  <c:v>0.16632755339533123</c:v>
                </c:pt>
                <c:pt idx="17">
                  <c:v>0.1706767325982842</c:v>
                </c:pt>
                <c:pt idx="18">
                  <c:v>0.17502591180123711</c:v>
                </c:pt>
                <c:pt idx="19">
                  <c:v>0.17894936304129166</c:v>
                </c:pt>
                <c:pt idx="20">
                  <c:v>0.18206303157477915</c:v>
                </c:pt>
                <c:pt idx="22">
                  <c:v>0.18172144260548431</c:v>
                </c:pt>
                <c:pt idx="23">
                  <c:v>0.18366056791444285</c:v>
                </c:pt>
                <c:pt idx="24">
                  <c:v>0.18432874495895571</c:v>
                </c:pt>
                <c:pt idx="25">
                  <c:v>0.18366056791444282</c:v>
                </c:pt>
                <c:pt idx="26">
                  <c:v>0.18172144260548428</c:v>
                </c:pt>
                <c:pt idx="27">
                  <c:v>0.17870118412800146</c:v>
                </c:pt>
                <c:pt idx="28">
                  <c:v>0.17489543642514854</c:v>
                </c:pt>
                <c:pt idx="29">
                  <c:v>0.17067673259828417</c:v>
                </c:pt>
                <c:pt idx="30">
                  <c:v>0.16645802877141982</c:v>
                </c:pt>
                <c:pt idx="31">
                  <c:v>0.16265228106856688</c:v>
                </c:pt>
                <c:pt idx="32">
                  <c:v>0.15963202259108406</c:v>
                </c:pt>
                <c:pt idx="33">
                  <c:v>0.15769289728212554</c:v>
                </c:pt>
                <c:pt idx="34">
                  <c:v>0.15702472023761266</c:v>
                </c:pt>
                <c:pt idx="35">
                  <c:v>0.15769289728212554</c:v>
                </c:pt>
                <c:pt idx="36">
                  <c:v>0.15963202259108406</c:v>
                </c:pt>
                <c:pt idx="37">
                  <c:v>0.16265228106856688</c:v>
                </c:pt>
                <c:pt idx="38">
                  <c:v>0.16645802877141982</c:v>
                </c:pt>
                <c:pt idx="39">
                  <c:v>0.1706767325982842</c:v>
                </c:pt>
                <c:pt idx="40">
                  <c:v>0.17489543642514854</c:v>
                </c:pt>
                <c:pt idx="41">
                  <c:v>0.17870118412800146</c:v>
                </c:pt>
                <c:pt idx="42">
                  <c:v>0.18172144260548431</c:v>
                </c:pt>
                <c:pt idx="44">
                  <c:v>0.18046894971806984</c:v>
                </c:pt>
                <c:pt idx="45">
                  <c:v>0.18218817421879596</c:v>
                </c:pt>
                <c:pt idx="46">
                  <c:v>0.1827805786087765</c:v>
                </c:pt>
                <c:pt idx="47">
                  <c:v>0.18218817421879599</c:v>
                </c:pt>
                <c:pt idx="48">
                  <c:v>0.18046894971806987</c:v>
                </c:pt>
                <c:pt idx="49">
                  <c:v>0.17779119477927063</c:v>
                </c:pt>
                <c:pt idx="50">
                  <c:v>0.17441702671282372</c:v>
                </c:pt>
                <c:pt idx="51">
                  <c:v>0.1706767325982842</c:v>
                </c:pt>
                <c:pt idx="52">
                  <c:v>0.16693643848374468</c:v>
                </c:pt>
                <c:pt idx="53">
                  <c:v>0.16356227041729771</c:v>
                </c:pt>
                <c:pt idx="54">
                  <c:v>0.16088451547849852</c:v>
                </c:pt>
                <c:pt idx="55">
                  <c:v>0.15916529097777238</c:v>
                </c:pt>
                <c:pt idx="56">
                  <c:v>0.15857288658779189</c:v>
                </c:pt>
                <c:pt idx="57">
                  <c:v>0.15916529097777238</c:v>
                </c:pt>
                <c:pt idx="58">
                  <c:v>0.16088451547849852</c:v>
                </c:pt>
                <c:pt idx="59">
                  <c:v>0.16356227041729771</c:v>
                </c:pt>
                <c:pt idx="60">
                  <c:v>0.16693643848374465</c:v>
                </c:pt>
                <c:pt idx="61">
                  <c:v>0.17067673259828417</c:v>
                </c:pt>
                <c:pt idx="62">
                  <c:v>0.17441702671282372</c:v>
                </c:pt>
                <c:pt idx="63">
                  <c:v>0.17779119477927063</c:v>
                </c:pt>
                <c:pt idx="64">
                  <c:v>0.18046894971806984</c:v>
                </c:pt>
                <c:pt idx="66">
                  <c:v>0.17819168992277087</c:v>
                </c:pt>
                <c:pt idx="67">
                  <c:v>0.17951109477216531</c:v>
                </c:pt>
                <c:pt idx="68">
                  <c:v>0.17996573069935967</c:v>
                </c:pt>
                <c:pt idx="69">
                  <c:v>0.17951109477216531</c:v>
                </c:pt>
                <c:pt idx="70">
                  <c:v>0.17819168992277085</c:v>
                </c:pt>
                <c:pt idx="71">
                  <c:v>0.17613666869066913</c:v>
                </c:pt>
                <c:pt idx="72">
                  <c:v>0.17354719087223314</c:v>
                </c:pt>
                <c:pt idx="73">
                  <c:v>0.1706767325982842</c:v>
                </c:pt>
                <c:pt idx="74">
                  <c:v>0.16780627432433526</c:v>
                </c:pt>
                <c:pt idx="75">
                  <c:v>0.16521679650589921</c:v>
                </c:pt>
                <c:pt idx="76">
                  <c:v>0.16316177527379749</c:v>
                </c:pt>
                <c:pt idx="77">
                  <c:v>0.16184237042440303</c:v>
                </c:pt>
                <c:pt idx="78">
                  <c:v>0.1613877344972087</c:v>
                </c:pt>
                <c:pt idx="79">
                  <c:v>0.16184237042440303</c:v>
                </c:pt>
                <c:pt idx="80">
                  <c:v>0.16316177527379749</c:v>
                </c:pt>
                <c:pt idx="81">
                  <c:v>0.16521679650589921</c:v>
                </c:pt>
                <c:pt idx="82">
                  <c:v>0.16780627432433526</c:v>
                </c:pt>
                <c:pt idx="83">
                  <c:v>0.1706767325982842</c:v>
                </c:pt>
                <c:pt idx="84">
                  <c:v>0.17354719087223311</c:v>
                </c:pt>
                <c:pt idx="85">
                  <c:v>0.17613666869066913</c:v>
                </c:pt>
                <c:pt idx="86">
                  <c:v>0.17819168992277087</c:v>
                </c:pt>
                <c:pt idx="88">
                  <c:v>0.17409262229123268</c:v>
                </c:pt>
                <c:pt idx="89">
                  <c:v>0.17469235176823017</c:v>
                </c:pt>
                <c:pt idx="90">
                  <c:v>0.17489900446240941</c:v>
                </c:pt>
                <c:pt idx="91">
                  <c:v>0.17469235176823017</c:v>
                </c:pt>
                <c:pt idx="92">
                  <c:v>0.17409262229123268</c:v>
                </c:pt>
                <c:pt idx="93">
                  <c:v>0.17315852173118643</c:v>
                </c:pt>
                <c:pt idx="94">
                  <c:v>0.17198148635917004</c:v>
                </c:pt>
                <c:pt idx="95">
                  <c:v>0.1706767325982842</c:v>
                </c:pt>
                <c:pt idx="96">
                  <c:v>0.1693719788373983</c:v>
                </c:pt>
                <c:pt idx="97">
                  <c:v>0.16819494346538194</c:v>
                </c:pt>
                <c:pt idx="98">
                  <c:v>0.16726084290533572</c:v>
                </c:pt>
                <c:pt idx="99">
                  <c:v>0.1666611134283382</c:v>
                </c:pt>
                <c:pt idx="100">
                  <c:v>0.16645446073415898</c:v>
                </c:pt>
                <c:pt idx="101">
                  <c:v>0.16666111342833823</c:v>
                </c:pt>
                <c:pt idx="102">
                  <c:v>0.16726084290533569</c:v>
                </c:pt>
                <c:pt idx="103">
                  <c:v>0.16819494346538194</c:v>
                </c:pt>
                <c:pt idx="104">
                  <c:v>0.1693719788373983</c:v>
                </c:pt>
                <c:pt idx="105">
                  <c:v>0.17067673259828417</c:v>
                </c:pt>
                <c:pt idx="106">
                  <c:v>0.17198148635917007</c:v>
                </c:pt>
                <c:pt idx="107">
                  <c:v>0.17315852173118643</c:v>
                </c:pt>
                <c:pt idx="108">
                  <c:v>0.17409262229123268</c:v>
                </c:pt>
                <c:pt idx="110">
                  <c:v>0.18172144260548431</c:v>
                </c:pt>
                <c:pt idx="111">
                  <c:v>0.18366056791444285</c:v>
                </c:pt>
                <c:pt idx="112">
                  <c:v>0.18432874495895571</c:v>
                </c:pt>
                <c:pt idx="113">
                  <c:v>0.18366056791444282</c:v>
                </c:pt>
                <c:pt idx="114">
                  <c:v>0.18172144260548428</c:v>
                </c:pt>
                <c:pt idx="115">
                  <c:v>0.17870118412800146</c:v>
                </c:pt>
                <c:pt idx="116">
                  <c:v>0.17489543642514854</c:v>
                </c:pt>
                <c:pt idx="117">
                  <c:v>0.17067673259828417</c:v>
                </c:pt>
                <c:pt idx="118">
                  <c:v>0.16645802877141982</c:v>
                </c:pt>
                <c:pt idx="119">
                  <c:v>0.16265228106856688</c:v>
                </c:pt>
                <c:pt idx="120">
                  <c:v>0.15963202259108406</c:v>
                </c:pt>
                <c:pt idx="121">
                  <c:v>0.15769289728212554</c:v>
                </c:pt>
                <c:pt idx="122">
                  <c:v>0.15702472023761266</c:v>
                </c:pt>
                <c:pt idx="123">
                  <c:v>0.15769289728212554</c:v>
                </c:pt>
                <c:pt idx="124">
                  <c:v>0.15963202259108406</c:v>
                </c:pt>
                <c:pt idx="125">
                  <c:v>0.16265228106856688</c:v>
                </c:pt>
                <c:pt idx="126">
                  <c:v>0.16645802877141982</c:v>
                </c:pt>
                <c:pt idx="127">
                  <c:v>0.1706767325982842</c:v>
                </c:pt>
                <c:pt idx="128">
                  <c:v>0.17489543642514854</c:v>
                </c:pt>
                <c:pt idx="129">
                  <c:v>0.17870118412800146</c:v>
                </c:pt>
                <c:pt idx="130">
                  <c:v>0.18172144260548431</c:v>
                </c:pt>
                <c:pt idx="132">
                  <c:v>0.18046894971806984</c:v>
                </c:pt>
                <c:pt idx="133">
                  <c:v>0.18218817421879596</c:v>
                </c:pt>
                <c:pt idx="134">
                  <c:v>0.1827805786087765</c:v>
                </c:pt>
                <c:pt idx="135">
                  <c:v>0.18218817421879599</c:v>
                </c:pt>
                <c:pt idx="136">
                  <c:v>0.18046894971806987</c:v>
                </c:pt>
                <c:pt idx="137">
                  <c:v>0.17779119477927063</c:v>
                </c:pt>
                <c:pt idx="138">
                  <c:v>0.17441702671282372</c:v>
                </c:pt>
                <c:pt idx="139">
                  <c:v>0.1706767325982842</c:v>
                </c:pt>
                <c:pt idx="140">
                  <c:v>0.16693643848374468</c:v>
                </c:pt>
                <c:pt idx="141">
                  <c:v>0.16356227041729771</c:v>
                </c:pt>
                <c:pt idx="142">
                  <c:v>0.16088451547849852</c:v>
                </c:pt>
                <c:pt idx="143">
                  <c:v>0.15916529097777238</c:v>
                </c:pt>
                <c:pt idx="144">
                  <c:v>0.15857288658779189</c:v>
                </c:pt>
                <c:pt idx="145">
                  <c:v>0.15916529097777238</c:v>
                </c:pt>
                <c:pt idx="146">
                  <c:v>0.16088451547849852</c:v>
                </c:pt>
                <c:pt idx="147">
                  <c:v>0.16356227041729771</c:v>
                </c:pt>
                <c:pt idx="148">
                  <c:v>0.16693643848374465</c:v>
                </c:pt>
                <c:pt idx="149">
                  <c:v>0.17067673259828417</c:v>
                </c:pt>
                <c:pt idx="150">
                  <c:v>0.17441702671282372</c:v>
                </c:pt>
                <c:pt idx="151">
                  <c:v>0.17779119477927063</c:v>
                </c:pt>
                <c:pt idx="152">
                  <c:v>0.18046894971806984</c:v>
                </c:pt>
                <c:pt idx="154">
                  <c:v>0.17819168992277087</c:v>
                </c:pt>
                <c:pt idx="155">
                  <c:v>0.17951109477216531</c:v>
                </c:pt>
                <c:pt idx="156">
                  <c:v>0.17996573069935967</c:v>
                </c:pt>
                <c:pt idx="157">
                  <c:v>0.17951109477216531</c:v>
                </c:pt>
                <c:pt idx="158">
                  <c:v>0.17819168992277085</c:v>
                </c:pt>
                <c:pt idx="159">
                  <c:v>0.17613666869066913</c:v>
                </c:pt>
                <c:pt idx="160">
                  <c:v>0.17354719087223314</c:v>
                </c:pt>
                <c:pt idx="161">
                  <c:v>0.1706767325982842</c:v>
                </c:pt>
                <c:pt idx="162">
                  <c:v>0.16780627432433526</c:v>
                </c:pt>
                <c:pt idx="163">
                  <c:v>0.16521679650589921</c:v>
                </c:pt>
                <c:pt idx="164">
                  <c:v>0.16316177527379749</c:v>
                </c:pt>
                <c:pt idx="165">
                  <c:v>0.16184237042440303</c:v>
                </c:pt>
                <c:pt idx="166">
                  <c:v>0.1613877344972087</c:v>
                </c:pt>
                <c:pt idx="167">
                  <c:v>0.16184237042440303</c:v>
                </c:pt>
                <c:pt idx="168">
                  <c:v>0.16316177527379749</c:v>
                </c:pt>
                <c:pt idx="169">
                  <c:v>0.16521679650589921</c:v>
                </c:pt>
                <c:pt idx="170">
                  <c:v>0.16780627432433526</c:v>
                </c:pt>
                <c:pt idx="171">
                  <c:v>0.1706767325982842</c:v>
                </c:pt>
                <c:pt idx="172">
                  <c:v>0.17354719087223311</c:v>
                </c:pt>
                <c:pt idx="173">
                  <c:v>0.17613666869066913</c:v>
                </c:pt>
                <c:pt idx="174">
                  <c:v>0.17819168992277087</c:v>
                </c:pt>
                <c:pt idx="176">
                  <c:v>0.17409262229123268</c:v>
                </c:pt>
                <c:pt idx="177">
                  <c:v>0.17469235176823017</c:v>
                </c:pt>
                <c:pt idx="178">
                  <c:v>0.17489900446240941</c:v>
                </c:pt>
                <c:pt idx="179">
                  <c:v>0.17469235176823017</c:v>
                </c:pt>
                <c:pt idx="180">
                  <c:v>0.17409262229123268</c:v>
                </c:pt>
                <c:pt idx="181">
                  <c:v>0.17315852173118643</c:v>
                </c:pt>
                <c:pt idx="182">
                  <c:v>0.17198148635917004</c:v>
                </c:pt>
                <c:pt idx="183">
                  <c:v>0.1706767325982842</c:v>
                </c:pt>
                <c:pt idx="184">
                  <c:v>0.1693719788373983</c:v>
                </c:pt>
                <c:pt idx="185">
                  <c:v>0.16819494346538194</c:v>
                </c:pt>
                <c:pt idx="186">
                  <c:v>0.16726084290533572</c:v>
                </c:pt>
                <c:pt idx="187">
                  <c:v>0.1666611134283382</c:v>
                </c:pt>
                <c:pt idx="188">
                  <c:v>0.16645446073415898</c:v>
                </c:pt>
                <c:pt idx="189">
                  <c:v>0.16666111342833823</c:v>
                </c:pt>
                <c:pt idx="190">
                  <c:v>0.16726084290533569</c:v>
                </c:pt>
                <c:pt idx="191">
                  <c:v>0.16819494346538194</c:v>
                </c:pt>
                <c:pt idx="192">
                  <c:v>0.1693719788373983</c:v>
                </c:pt>
                <c:pt idx="193">
                  <c:v>0.17067673259828417</c:v>
                </c:pt>
                <c:pt idx="194">
                  <c:v>0.17198148635917007</c:v>
                </c:pt>
                <c:pt idx="195">
                  <c:v>0.17315852173118643</c:v>
                </c:pt>
                <c:pt idx="196">
                  <c:v>0.17409262229123268</c:v>
                </c:pt>
                <c:pt idx="198">
                  <c:v>0.1706767325982842</c:v>
                </c:pt>
                <c:pt idx="199">
                  <c:v>0.17419529248505522</c:v>
                </c:pt>
                <c:pt idx="200">
                  <c:v>0.17736943121486082</c:v>
                </c:pt>
                <c:pt idx="201">
                  <c:v>0.17988844197330267</c:v>
                </c:pt>
                <c:pt idx="202">
                  <c:v>0.18150574643636458</c:v>
                </c:pt>
                <c:pt idx="203">
                  <c:v>0.18206303157477915</c:v>
                </c:pt>
                <c:pt idx="204">
                  <c:v>0.18150574643636458</c:v>
                </c:pt>
                <c:pt idx="205">
                  <c:v>0.17988844197330267</c:v>
                </c:pt>
                <c:pt idx="206">
                  <c:v>0.17736943121486082</c:v>
                </c:pt>
                <c:pt idx="207">
                  <c:v>0.17419529248505522</c:v>
                </c:pt>
                <c:pt idx="208">
                  <c:v>0.1706767325982842</c:v>
                </c:pt>
                <c:pt idx="209">
                  <c:v>0.16715817271151318</c:v>
                </c:pt>
                <c:pt idx="210">
                  <c:v>0.16398403398170758</c:v>
                </c:pt>
                <c:pt idx="211">
                  <c:v>0.1614650232232657</c:v>
                </c:pt>
                <c:pt idx="212">
                  <c:v>0.15984771876020382</c:v>
                </c:pt>
                <c:pt idx="213">
                  <c:v>0.15929043362178924</c:v>
                </c:pt>
                <c:pt idx="214">
                  <c:v>0.15984771876020382</c:v>
                </c:pt>
                <c:pt idx="215">
                  <c:v>0.1614650232232657</c:v>
                </c:pt>
                <c:pt idx="216">
                  <c:v>0.16398403398170758</c:v>
                </c:pt>
                <c:pt idx="217">
                  <c:v>0.16715817271151318</c:v>
                </c:pt>
                <c:pt idx="218">
                  <c:v>0.1706767325982842</c:v>
                </c:pt>
                <c:pt idx="220">
                  <c:v>0.17894936304129166</c:v>
                </c:pt>
                <c:pt idx="221">
                  <c:v>0.17854447168800813</c:v>
                </c:pt>
                <c:pt idx="222">
                  <c:v>0.17736943121486082</c:v>
                </c:pt>
                <c:pt idx="223">
                  <c:v>0.17553926277034973</c:v>
                </c:pt>
                <c:pt idx="224">
                  <c:v>0.17323311599335706</c:v>
                </c:pt>
                <c:pt idx="225">
                  <c:v>0.1706767325982842</c:v>
                </c:pt>
                <c:pt idx="226">
                  <c:v>0.16812034920321131</c:v>
                </c:pt>
                <c:pt idx="227">
                  <c:v>0.16581420242621861</c:v>
                </c:pt>
                <c:pt idx="228">
                  <c:v>0.16398403398170755</c:v>
                </c:pt>
                <c:pt idx="229">
                  <c:v>0.16280899350856021</c:v>
                </c:pt>
                <c:pt idx="230">
                  <c:v>0.16240410215527668</c:v>
                </c:pt>
                <c:pt idx="231">
                  <c:v>0.16280899350856021</c:v>
                </c:pt>
                <c:pt idx="232">
                  <c:v>0.16398403398170755</c:v>
                </c:pt>
                <c:pt idx="233">
                  <c:v>0.16581420242621861</c:v>
                </c:pt>
                <c:pt idx="234">
                  <c:v>0.16812034920321128</c:v>
                </c:pt>
                <c:pt idx="235">
                  <c:v>0.1706767325982842</c:v>
                </c:pt>
                <c:pt idx="236">
                  <c:v>0.17323311599335706</c:v>
                </c:pt>
                <c:pt idx="237">
                  <c:v>0.17553926277034973</c:v>
                </c:pt>
                <c:pt idx="238">
                  <c:v>0.17736943121486082</c:v>
                </c:pt>
                <c:pt idx="239">
                  <c:v>0.17854447168800813</c:v>
                </c:pt>
                <c:pt idx="240">
                  <c:v>0.17894936304129166</c:v>
                </c:pt>
                <c:pt idx="242">
                  <c:v>0.1706767325982842</c:v>
                </c:pt>
                <c:pt idx="243">
                  <c:v>0.17497236618819967</c:v>
                </c:pt>
                <c:pt idx="244">
                  <c:v>0.17884751323289508</c:v>
                </c:pt>
                <c:pt idx="245">
                  <c:v>0.18192284733989861</c:v>
                </c:pt>
                <c:pt idx="246">
                  <c:v>0.18389733337970404</c:v>
                </c:pt>
                <c:pt idx="247">
                  <c:v>0.18457769490168208</c:v>
                </c:pt>
                <c:pt idx="248">
                  <c:v>0.18389733337970404</c:v>
                </c:pt>
                <c:pt idx="249">
                  <c:v>0.18192284733989861</c:v>
                </c:pt>
                <c:pt idx="250">
                  <c:v>0.17884751323289508</c:v>
                </c:pt>
                <c:pt idx="251">
                  <c:v>0.17497236618819967</c:v>
                </c:pt>
                <c:pt idx="252">
                  <c:v>0.1706767325982842</c:v>
                </c:pt>
                <c:pt idx="253">
                  <c:v>0.16638109900836873</c:v>
                </c:pt>
                <c:pt idx="254">
                  <c:v>0.16250595196367329</c:v>
                </c:pt>
                <c:pt idx="255">
                  <c:v>0.15943061785666973</c:v>
                </c:pt>
                <c:pt idx="256">
                  <c:v>0.1574561318168643</c:v>
                </c:pt>
                <c:pt idx="257">
                  <c:v>0.15677577029488626</c:v>
                </c:pt>
                <c:pt idx="258">
                  <c:v>0.1574561318168643</c:v>
                </c:pt>
                <c:pt idx="259">
                  <c:v>0.15943061785666973</c:v>
                </c:pt>
                <c:pt idx="260">
                  <c:v>0.16250595196367329</c:v>
                </c:pt>
                <c:pt idx="261">
                  <c:v>0.16638109900836873</c:v>
                </c:pt>
                <c:pt idx="262">
                  <c:v>0.1706767325982842</c:v>
                </c:pt>
                <c:pt idx="264">
                  <c:v>0.16847503646388803</c:v>
                </c:pt>
                <c:pt idx="265">
                  <c:v>0.16858279514276486</c:v>
                </c:pt>
                <c:pt idx="266">
                  <c:v>0.16889552300910804</c:v>
                </c:pt>
                <c:pt idx="267">
                  <c:v>0.1693826080804568</c:v>
                </c:pt>
                <c:pt idx="268">
                  <c:v>0.16999637107630616</c:v>
                </c:pt>
                <c:pt idx="269">
                  <c:v>0.1706767325982842</c:v>
                </c:pt>
                <c:pt idx="270">
                  <c:v>0.17135709412026223</c:v>
                </c:pt>
                <c:pt idx="271">
                  <c:v>0.1719708571161116</c:v>
                </c:pt>
                <c:pt idx="272">
                  <c:v>0.1724579421874603</c:v>
                </c:pt>
                <c:pt idx="273">
                  <c:v>0.17277067005380348</c:v>
                </c:pt>
                <c:pt idx="274">
                  <c:v>0.17287842873268033</c:v>
                </c:pt>
                <c:pt idx="275">
                  <c:v>0.17277067005380348</c:v>
                </c:pt>
                <c:pt idx="276">
                  <c:v>0.1724579421874603</c:v>
                </c:pt>
                <c:pt idx="277">
                  <c:v>0.1719708571161116</c:v>
                </c:pt>
                <c:pt idx="278">
                  <c:v>0.17135709412026223</c:v>
                </c:pt>
                <c:pt idx="279">
                  <c:v>0.1706767325982842</c:v>
                </c:pt>
                <c:pt idx="280">
                  <c:v>0.16999637107630616</c:v>
                </c:pt>
                <c:pt idx="281">
                  <c:v>0.1693826080804568</c:v>
                </c:pt>
                <c:pt idx="282">
                  <c:v>0.16889552300910804</c:v>
                </c:pt>
                <c:pt idx="283">
                  <c:v>0.16858279514276486</c:v>
                </c:pt>
                <c:pt idx="284">
                  <c:v>0.16847503646388803</c:v>
                </c:pt>
              </c:numCache>
            </c:numRef>
          </c:xVal>
          <c:yVal>
            <c:numRef>
              <c:f>Planètes!$Q$6:$Q$290</c:f>
              <c:numCache>
                <c:formatCode>General</c:formatCode>
                <c:ptCount val="285"/>
                <c:pt idx="0">
                  <c:v>0.12799669651387671</c:v>
                </c:pt>
                <c:pt idx="1">
                  <c:v>0.130412214292697</c:v>
                </c:pt>
                <c:pt idx="2">
                  <c:v>0.13308983637724267</c:v>
                </c:pt>
                <c:pt idx="3">
                  <c:v>0.13576745846178834</c:v>
                </c:pt>
                <c:pt idx="4">
                  <c:v>0.13818297624060863</c:v>
                </c:pt>
                <c:pt idx="5">
                  <c:v>0.14009994200361059</c:v>
                </c:pt>
                <c:pt idx="6">
                  <c:v>0.14133070978562579</c:v>
                </c:pt>
                <c:pt idx="7">
                  <c:v>0.14175480346088717</c:v>
                </c:pt>
                <c:pt idx="8">
                  <c:v>0.14133070978562579</c:v>
                </c:pt>
                <c:pt idx="9">
                  <c:v>0.14009994200361059</c:v>
                </c:pt>
                <c:pt idx="10">
                  <c:v>0.13818297624060863</c:v>
                </c:pt>
                <c:pt idx="11">
                  <c:v>0.13576745846178834</c:v>
                </c:pt>
                <c:pt idx="12">
                  <c:v>0.13308983637724267</c:v>
                </c:pt>
                <c:pt idx="13">
                  <c:v>0.130412214292697</c:v>
                </c:pt>
                <c:pt idx="14">
                  <c:v>0.12799669651387671</c:v>
                </c:pt>
                <c:pt idx="15">
                  <c:v>0.12607973075087475</c:v>
                </c:pt>
                <c:pt idx="16">
                  <c:v>0.12484896296885956</c:v>
                </c:pt>
                <c:pt idx="17">
                  <c:v>0.12442486929359817</c:v>
                </c:pt>
                <c:pt idx="18">
                  <c:v>0.12484896296885956</c:v>
                </c:pt>
                <c:pt idx="19">
                  <c:v>0.12607973075087475</c:v>
                </c:pt>
                <c:pt idx="20">
                  <c:v>0.12799669651387671</c:v>
                </c:pt>
                <c:pt idx="22">
                  <c:v>0.1309221537377625</c:v>
                </c:pt>
                <c:pt idx="23">
                  <c:v>0.13326520598321817</c:v>
                </c:pt>
                <c:pt idx="24">
                  <c:v>0.13586249940522749</c:v>
                </c:pt>
                <c:pt idx="25">
                  <c:v>0.13845979282723681</c:v>
                </c:pt>
                <c:pt idx="26">
                  <c:v>0.14080284507269247</c:v>
                </c:pt>
                <c:pt idx="27">
                  <c:v>0.14266230186280437</c:v>
                </c:pt>
                <c:pt idx="28">
                  <c:v>0.14385614661135909</c:v>
                </c:pt>
                <c:pt idx="29">
                  <c:v>0.14426751747636266</c:v>
                </c:pt>
                <c:pt idx="30">
                  <c:v>0.14385614661135909</c:v>
                </c:pt>
                <c:pt idx="31">
                  <c:v>0.14266230186280437</c:v>
                </c:pt>
                <c:pt idx="32">
                  <c:v>0.14080284507269247</c:v>
                </c:pt>
                <c:pt idx="33">
                  <c:v>0.13845979282723681</c:v>
                </c:pt>
                <c:pt idx="34">
                  <c:v>0.13586249940522749</c:v>
                </c:pt>
                <c:pt idx="35">
                  <c:v>0.13326520598321817</c:v>
                </c:pt>
                <c:pt idx="36">
                  <c:v>0.1309221537377625</c:v>
                </c:pt>
                <c:pt idx="37">
                  <c:v>0.1290626969476506</c:v>
                </c:pt>
                <c:pt idx="38">
                  <c:v>0.12786885219909586</c:v>
                </c:pt>
                <c:pt idx="39">
                  <c:v>0.12745748133409232</c:v>
                </c:pt>
                <c:pt idx="40">
                  <c:v>0.12786885219909586</c:v>
                </c:pt>
                <c:pt idx="41">
                  <c:v>0.1290626969476506</c:v>
                </c:pt>
                <c:pt idx="42">
                  <c:v>0.1309221537377625</c:v>
                </c:pt>
                <c:pt idx="44">
                  <c:v>0.13425506215071759</c:v>
                </c:pt>
                <c:pt idx="45">
                  <c:v>0.13633240744050304</c:v>
                </c:pt>
                <c:pt idx="46">
                  <c:v>0.13863516243321231</c:v>
                </c:pt>
                <c:pt idx="47">
                  <c:v>0.1409379174259216</c:v>
                </c:pt>
                <c:pt idx="48">
                  <c:v>0.14301526271570703</c:v>
                </c:pt>
                <c:pt idx="49">
                  <c:v>0.14466385327188871</c:v>
                </c:pt>
                <c:pt idx="50">
                  <c:v>0.14572231356442178</c:v>
                </c:pt>
                <c:pt idx="51">
                  <c:v>0.14608703412514656</c:v>
                </c:pt>
                <c:pt idx="52">
                  <c:v>0.14572231356442178</c:v>
                </c:pt>
                <c:pt idx="53">
                  <c:v>0.14466385327188874</c:v>
                </c:pt>
                <c:pt idx="54">
                  <c:v>0.14301526271570703</c:v>
                </c:pt>
                <c:pt idx="55">
                  <c:v>0.14093791742592157</c:v>
                </c:pt>
                <c:pt idx="56">
                  <c:v>0.13863516243321231</c:v>
                </c:pt>
                <c:pt idx="57">
                  <c:v>0.13633240744050301</c:v>
                </c:pt>
                <c:pt idx="58">
                  <c:v>0.13425506215071759</c:v>
                </c:pt>
                <c:pt idx="59">
                  <c:v>0.13260647159453587</c:v>
                </c:pt>
                <c:pt idx="60">
                  <c:v>0.13154801130200283</c:v>
                </c:pt>
                <c:pt idx="61">
                  <c:v>0.13118329074127805</c:v>
                </c:pt>
                <c:pt idx="62">
                  <c:v>0.13154801130200283</c:v>
                </c:pt>
                <c:pt idx="63">
                  <c:v>0.13260647159453587</c:v>
                </c:pt>
                <c:pt idx="64">
                  <c:v>0.13425506215071759</c:v>
                </c:pt>
                <c:pt idx="66">
                  <c:v>0.13804635315137559</c:v>
                </c:pt>
                <c:pt idx="67">
                  <c:v>0.13964059488539698</c:v>
                </c:pt>
                <c:pt idx="68">
                  <c:v>0.14140782546119712</c:v>
                </c:pt>
                <c:pt idx="69">
                  <c:v>0.14317505603699726</c:v>
                </c:pt>
                <c:pt idx="70">
                  <c:v>0.14476929777101866</c:v>
                </c:pt>
                <c:pt idx="71">
                  <c:v>0.14603449517459993</c:v>
                </c:pt>
                <c:pt idx="72">
                  <c:v>0.14684680191072996</c:v>
                </c:pt>
                <c:pt idx="73">
                  <c:v>0.14712670373640249</c:v>
                </c:pt>
                <c:pt idx="74">
                  <c:v>0.14684680191072999</c:v>
                </c:pt>
                <c:pt idx="75">
                  <c:v>0.14603449517459996</c:v>
                </c:pt>
                <c:pt idx="76">
                  <c:v>0.14476929777101866</c:v>
                </c:pt>
                <c:pt idx="77">
                  <c:v>0.14317505603699726</c:v>
                </c:pt>
                <c:pt idx="78">
                  <c:v>0.14140782546119712</c:v>
                </c:pt>
                <c:pt idx="79">
                  <c:v>0.13964059488539698</c:v>
                </c:pt>
                <c:pt idx="80">
                  <c:v>0.13804635315137559</c:v>
                </c:pt>
                <c:pt idx="81">
                  <c:v>0.13678115574779429</c:v>
                </c:pt>
                <c:pt idx="82">
                  <c:v>0.13596884901166428</c:v>
                </c:pt>
                <c:pt idx="83">
                  <c:v>0.13568894718599175</c:v>
                </c:pt>
                <c:pt idx="84">
                  <c:v>0.13596884901166426</c:v>
                </c:pt>
                <c:pt idx="85">
                  <c:v>0.13678115574779429</c:v>
                </c:pt>
                <c:pt idx="86">
                  <c:v>0.13804635315137559</c:v>
                </c:pt>
                <c:pt idx="88">
                  <c:v>0.14209801392457519</c:v>
                </c:pt>
                <c:pt idx="89">
                  <c:v>0.14282266925822126</c:v>
                </c:pt>
                <c:pt idx="90">
                  <c:v>0.14362595588358495</c:v>
                </c:pt>
                <c:pt idx="91">
                  <c:v>0.14442924250894867</c:v>
                </c:pt>
                <c:pt idx="92">
                  <c:v>0.14515389784259475</c:v>
                </c:pt>
                <c:pt idx="93">
                  <c:v>0.14572898757149533</c:v>
                </c:pt>
                <c:pt idx="94">
                  <c:v>0.14609821790609992</c:v>
                </c:pt>
                <c:pt idx="95">
                  <c:v>0.14622544600867832</c:v>
                </c:pt>
                <c:pt idx="96">
                  <c:v>0.14609821790609989</c:v>
                </c:pt>
                <c:pt idx="97">
                  <c:v>0.14572898757149536</c:v>
                </c:pt>
                <c:pt idx="98">
                  <c:v>0.14515389784259475</c:v>
                </c:pt>
                <c:pt idx="99">
                  <c:v>0.14442924250894867</c:v>
                </c:pt>
                <c:pt idx="100">
                  <c:v>0.14362595588358495</c:v>
                </c:pt>
                <c:pt idx="101">
                  <c:v>0.14282266925822124</c:v>
                </c:pt>
                <c:pt idx="102">
                  <c:v>0.14209801392457519</c:v>
                </c:pt>
                <c:pt idx="103">
                  <c:v>0.14152292419567458</c:v>
                </c:pt>
                <c:pt idx="104">
                  <c:v>0.14115369386107002</c:v>
                </c:pt>
                <c:pt idx="105">
                  <c:v>0.14102646575849162</c:v>
                </c:pt>
                <c:pt idx="106">
                  <c:v>0.14115369386107002</c:v>
                </c:pt>
                <c:pt idx="107">
                  <c:v>0.14152292419567458</c:v>
                </c:pt>
                <c:pt idx="108">
                  <c:v>0.14209801392457519</c:v>
                </c:pt>
                <c:pt idx="110">
                  <c:v>0.12537682768179287</c:v>
                </c:pt>
                <c:pt idx="111">
                  <c:v>0.12771987992724854</c:v>
                </c:pt>
                <c:pt idx="112">
                  <c:v>0.13031717334925785</c:v>
                </c:pt>
                <c:pt idx="113">
                  <c:v>0.13291446677126717</c:v>
                </c:pt>
                <c:pt idx="114">
                  <c:v>0.13525751901672284</c:v>
                </c:pt>
                <c:pt idx="115">
                  <c:v>0.13711697580683474</c:v>
                </c:pt>
                <c:pt idx="116">
                  <c:v>0.13831082055538946</c:v>
                </c:pt>
                <c:pt idx="117">
                  <c:v>0.13872219142039302</c:v>
                </c:pt>
                <c:pt idx="118">
                  <c:v>0.13831082055538946</c:v>
                </c:pt>
                <c:pt idx="119">
                  <c:v>0.13711697580683474</c:v>
                </c:pt>
                <c:pt idx="120">
                  <c:v>0.13525751901672284</c:v>
                </c:pt>
                <c:pt idx="121">
                  <c:v>0.13291446677126717</c:v>
                </c:pt>
                <c:pt idx="122">
                  <c:v>0.13031717334925785</c:v>
                </c:pt>
                <c:pt idx="123">
                  <c:v>0.12771987992724854</c:v>
                </c:pt>
                <c:pt idx="124">
                  <c:v>0.12537682768179287</c:v>
                </c:pt>
                <c:pt idx="125">
                  <c:v>0.12351737089168097</c:v>
                </c:pt>
                <c:pt idx="126">
                  <c:v>0.12232352614312622</c:v>
                </c:pt>
                <c:pt idx="127">
                  <c:v>0.12191215527812269</c:v>
                </c:pt>
                <c:pt idx="128">
                  <c:v>0.12232352614312622</c:v>
                </c:pt>
                <c:pt idx="129">
                  <c:v>0.12351737089168097</c:v>
                </c:pt>
                <c:pt idx="130">
                  <c:v>0.12537682768179287</c:v>
                </c:pt>
                <c:pt idx="132">
                  <c:v>0.12316441003877834</c:v>
                </c:pt>
                <c:pt idx="133">
                  <c:v>0.12524175532856377</c:v>
                </c:pt>
                <c:pt idx="134">
                  <c:v>0.12754451032127306</c:v>
                </c:pt>
                <c:pt idx="135">
                  <c:v>0.12984726531398233</c:v>
                </c:pt>
                <c:pt idx="136">
                  <c:v>0.13192461060376778</c:v>
                </c:pt>
                <c:pt idx="137">
                  <c:v>0.13357320115994947</c:v>
                </c:pt>
                <c:pt idx="138">
                  <c:v>0.13463166145248251</c:v>
                </c:pt>
                <c:pt idx="139">
                  <c:v>0.13499638201320732</c:v>
                </c:pt>
                <c:pt idx="140">
                  <c:v>0.13463166145248254</c:v>
                </c:pt>
                <c:pt idx="141">
                  <c:v>0.13357320115994947</c:v>
                </c:pt>
                <c:pt idx="142">
                  <c:v>0.13192461060376776</c:v>
                </c:pt>
                <c:pt idx="143">
                  <c:v>0.12984726531398233</c:v>
                </c:pt>
                <c:pt idx="144">
                  <c:v>0.12754451032127306</c:v>
                </c:pt>
                <c:pt idx="145">
                  <c:v>0.12524175532856377</c:v>
                </c:pt>
                <c:pt idx="146">
                  <c:v>0.12316441003877832</c:v>
                </c:pt>
                <c:pt idx="147">
                  <c:v>0.12151581948259663</c:v>
                </c:pt>
                <c:pt idx="148">
                  <c:v>0.12045735919006358</c:v>
                </c:pt>
                <c:pt idx="149">
                  <c:v>0.12009263862933878</c:v>
                </c:pt>
                <c:pt idx="150">
                  <c:v>0.12045735919006358</c:v>
                </c:pt>
                <c:pt idx="151">
                  <c:v>0.12151581948259663</c:v>
                </c:pt>
                <c:pt idx="152">
                  <c:v>0.12316441003877834</c:v>
                </c:pt>
                <c:pt idx="154">
                  <c:v>0.12141037498346671</c:v>
                </c:pt>
                <c:pt idx="155">
                  <c:v>0.12300461671748811</c:v>
                </c:pt>
                <c:pt idx="156">
                  <c:v>0.12477184729328825</c:v>
                </c:pt>
                <c:pt idx="157">
                  <c:v>0.12653907786908838</c:v>
                </c:pt>
                <c:pt idx="158">
                  <c:v>0.12813331960310978</c:v>
                </c:pt>
                <c:pt idx="159">
                  <c:v>0.12939851700669108</c:v>
                </c:pt>
                <c:pt idx="160">
                  <c:v>0.13021082374282111</c:v>
                </c:pt>
                <c:pt idx="161">
                  <c:v>0.13049072556849362</c:v>
                </c:pt>
                <c:pt idx="162">
                  <c:v>0.13021082374282111</c:v>
                </c:pt>
                <c:pt idx="163">
                  <c:v>0.12939851700669108</c:v>
                </c:pt>
                <c:pt idx="164">
                  <c:v>0.12813331960310978</c:v>
                </c:pt>
                <c:pt idx="165">
                  <c:v>0.12653907786908838</c:v>
                </c:pt>
                <c:pt idx="166">
                  <c:v>0.12477184729328825</c:v>
                </c:pt>
                <c:pt idx="167">
                  <c:v>0.12300461671748811</c:v>
                </c:pt>
                <c:pt idx="168">
                  <c:v>0.12141037498346671</c:v>
                </c:pt>
                <c:pt idx="169">
                  <c:v>0.12014517757988541</c:v>
                </c:pt>
                <c:pt idx="170">
                  <c:v>0.11933287084375539</c:v>
                </c:pt>
                <c:pt idx="171">
                  <c:v>0.11905296901808288</c:v>
                </c:pt>
                <c:pt idx="172">
                  <c:v>0.11933287084375538</c:v>
                </c:pt>
                <c:pt idx="173">
                  <c:v>0.12014517757988541</c:v>
                </c:pt>
                <c:pt idx="174">
                  <c:v>0.12141037498346671</c:v>
                </c:pt>
                <c:pt idx="176">
                  <c:v>0.12102577491189062</c:v>
                </c:pt>
                <c:pt idx="177">
                  <c:v>0.12175043024553669</c:v>
                </c:pt>
                <c:pt idx="178">
                  <c:v>0.12255371687090039</c:v>
                </c:pt>
                <c:pt idx="179">
                  <c:v>0.12335700349626411</c:v>
                </c:pt>
                <c:pt idx="180">
                  <c:v>0.12408165882991019</c:v>
                </c:pt>
                <c:pt idx="181">
                  <c:v>0.12465674855881077</c:v>
                </c:pt>
                <c:pt idx="182">
                  <c:v>0.12502597889341535</c:v>
                </c:pt>
                <c:pt idx="183">
                  <c:v>0.12515320699599375</c:v>
                </c:pt>
                <c:pt idx="184">
                  <c:v>0.12502597889341532</c:v>
                </c:pt>
                <c:pt idx="185">
                  <c:v>0.12465674855881079</c:v>
                </c:pt>
                <c:pt idx="186">
                  <c:v>0.12408165882991018</c:v>
                </c:pt>
                <c:pt idx="187">
                  <c:v>0.12335700349626411</c:v>
                </c:pt>
                <c:pt idx="188">
                  <c:v>0.1225537168709004</c:v>
                </c:pt>
                <c:pt idx="189">
                  <c:v>0.12175043024553668</c:v>
                </c:pt>
                <c:pt idx="190">
                  <c:v>0.12102577491189062</c:v>
                </c:pt>
                <c:pt idx="191">
                  <c:v>0.12045068518299003</c:v>
                </c:pt>
                <c:pt idx="192">
                  <c:v>0.12008145484838546</c:v>
                </c:pt>
                <c:pt idx="193">
                  <c:v>0.11995422674580705</c:v>
                </c:pt>
                <c:pt idx="194">
                  <c:v>0.12008145484838546</c:v>
                </c:pt>
                <c:pt idx="195">
                  <c:v>0.12045068518299001</c:v>
                </c:pt>
                <c:pt idx="196">
                  <c:v>0.12102577491189062</c:v>
                </c:pt>
                <c:pt idx="198">
                  <c:v>0.14418048848918191</c:v>
                </c:pt>
                <c:pt idx="199">
                  <c:v>0.14206380656575654</c:v>
                </c:pt>
                <c:pt idx="200">
                  <c:v>0.1390686899149525</c:v>
                </c:pt>
                <c:pt idx="201">
                  <c:v>0.13548832142275538</c:v>
                </c:pt>
                <c:pt idx="202">
                  <c:v>0.13167317250307553</c:v>
                </c:pt>
                <c:pt idx="203">
                  <c:v>0.12799669651387671</c:v>
                </c:pt>
                <c:pt idx="204">
                  <c:v>0.12481877254049628</c:v>
                </c:pt>
                <c:pt idx="205">
                  <c:v>0.12245047792334687</c:v>
                </c:pt>
                <c:pt idx="206">
                  <c:v>0.12112363784043403</c:v>
                </c:pt>
                <c:pt idx="207">
                  <c:v>0.12096813264371167</c:v>
                </c:pt>
                <c:pt idx="208">
                  <c:v>0.12199918426530344</c:v>
                </c:pt>
                <c:pt idx="209">
                  <c:v>0.12411586618872883</c:v>
                </c:pt>
                <c:pt idx="210">
                  <c:v>0.12711098283953284</c:v>
                </c:pt>
                <c:pt idx="211">
                  <c:v>0.13069135133172999</c:v>
                </c:pt>
                <c:pt idx="212">
                  <c:v>0.13450650025140987</c:v>
                </c:pt>
                <c:pt idx="213">
                  <c:v>0.13818297624060863</c:v>
                </c:pt>
                <c:pt idx="214">
                  <c:v>0.14136090021398912</c:v>
                </c:pt>
                <c:pt idx="215">
                  <c:v>0.1437291948311385</c:v>
                </c:pt>
                <c:pt idx="216">
                  <c:v>0.14505603491405133</c:v>
                </c:pt>
                <c:pt idx="217">
                  <c:v>0.1452115401107737</c:v>
                </c:pt>
                <c:pt idx="218">
                  <c:v>0.14418048848918191</c:v>
                </c:pt>
                <c:pt idx="220">
                  <c:v>0.14009994200361059</c:v>
                </c:pt>
                <c:pt idx="221">
                  <c:v>0.14318404299440685</c:v>
                </c:pt>
                <c:pt idx="222">
                  <c:v>0.14528005271104202</c:v>
                </c:pt>
                <c:pt idx="223">
                  <c:v>0.14618279911869347</c:v>
                </c:pt>
                <c:pt idx="224">
                  <c:v>0.14580391510917623</c:v>
                </c:pt>
                <c:pt idx="225">
                  <c:v>0.14418048848918191</c:v>
                </c:pt>
                <c:pt idx="226">
                  <c:v>0.14147143156735398</c:v>
                </c:pt>
                <c:pt idx="227">
                  <c:v>0.13794192571031036</c:v>
                </c:pt>
                <c:pt idx="228">
                  <c:v>0.13393746354285185</c:v>
                </c:pt>
                <c:pt idx="229">
                  <c:v>0.12985002972265777</c:v>
                </c:pt>
                <c:pt idx="230">
                  <c:v>0.12607973075087475</c:v>
                </c:pt>
                <c:pt idx="231">
                  <c:v>0.1229956297600785</c:v>
                </c:pt>
                <c:pt idx="232">
                  <c:v>0.12089962004344335</c:v>
                </c:pt>
                <c:pt idx="233">
                  <c:v>0.11999687363579188</c:v>
                </c:pt>
                <c:pt idx="234">
                  <c:v>0.12037575764530911</c:v>
                </c:pt>
                <c:pt idx="235">
                  <c:v>0.12199918426530344</c:v>
                </c:pt>
                <c:pt idx="236">
                  <c:v>0.12470824118713136</c:v>
                </c:pt>
                <c:pt idx="237">
                  <c:v>0.12823774704417498</c:v>
                </c:pt>
                <c:pt idx="238">
                  <c:v>0.13224220921163352</c:v>
                </c:pt>
                <c:pt idx="239">
                  <c:v>0.1363296430318276</c:v>
                </c:pt>
                <c:pt idx="240">
                  <c:v>0.14009994200361059</c:v>
                </c:pt>
                <c:pt idx="242">
                  <c:v>0.14418048848918191</c:v>
                </c:pt>
                <c:pt idx="243">
                  <c:v>0.14405654571664095</c:v>
                </c:pt>
                <c:pt idx="244">
                  <c:v>0.14285910502440263</c:v>
                </c:pt>
                <c:pt idx="245">
                  <c:v>0.14070538025048332</c:v>
                </c:pt>
                <c:pt idx="246">
                  <c:v>0.13780619298163699</c:v>
                </c:pt>
                <c:pt idx="247">
                  <c:v>0.1344453358675638</c:v>
                </c:pt>
                <c:pt idx="248">
                  <c:v>0.13095179301905774</c:v>
                </c:pt>
                <c:pt idx="249">
                  <c:v>0.12766753675107481</c:v>
                </c:pt>
                <c:pt idx="250">
                  <c:v>0.12491405294988417</c:v>
                </c:pt>
                <c:pt idx="251">
                  <c:v>0.12296087179459607</c:v>
                </c:pt>
                <c:pt idx="252">
                  <c:v>0.12199918426530344</c:v>
                </c:pt>
                <c:pt idx="253">
                  <c:v>0.12212312703784443</c:v>
                </c:pt>
                <c:pt idx="254">
                  <c:v>0.12332056773008271</c:v>
                </c:pt>
                <c:pt idx="255">
                  <c:v>0.12547429250400205</c:v>
                </c:pt>
                <c:pt idx="256">
                  <c:v>0.12837347977284835</c:v>
                </c:pt>
                <c:pt idx="257">
                  <c:v>0.13173433688692154</c:v>
                </c:pt>
                <c:pt idx="258">
                  <c:v>0.13522787973542763</c:v>
                </c:pt>
                <c:pt idx="259">
                  <c:v>0.13851213600341056</c:v>
                </c:pt>
                <c:pt idx="260">
                  <c:v>0.1412656198046012</c:v>
                </c:pt>
                <c:pt idx="261">
                  <c:v>0.14321880095988931</c:v>
                </c:pt>
                <c:pt idx="262">
                  <c:v>0.14418048848918191</c:v>
                </c:pt>
                <c:pt idx="264">
                  <c:v>0.14164812333739898</c:v>
                </c:pt>
                <c:pt idx="265">
                  <c:v>0.14465645094031282</c:v>
                </c:pt>
                <c:pt idx="266">
                  <c:v>0.14653255772045093</c:v>
                </c:pt>
                <c:pt idx="267">
                  <c:v>0.14709279727456878</c:v>
                </c:pt>
                <c:pt idx="268">
                  <c:v>0.14628232945169095</c:v>
                </c:pt>
                <c:pt idx="269">
                  <c:v>0.14418048848918191</c:v>
                </c:pt>
                <c:pt idx="270">
                  <c:v>0.14099301722483931</c:v>
                </c:pt>
                <c:pt idx="271">
                  <c:v>0.13703192755443505</c:v>
                </c:pt>
                <c:pt idx="272">
                  <c:v>0.13268495853344295</c:v>
                </c:pt>
                <c:pt idx="273">
                  <c:v>0.1283776217767518</c:v>
                </c:pt>
                <c:pt idx="274">
                  <c:v>0.12453154941708636</c:v>
                </c:pt>
                <c:pt idx="275">
                  <c:v>0.12152322181417252</c:v>
                </c:pt>
                <c:pt idx="276">
                  <c:v>0.11964711503403444</c:v>
                </c:pt>
                <c:pt idx="277">
                  <c:v>0.11908687547991659</c:v>
                </c:pt>
                <c:pt idx="278">
                  <c:v>0.11989734330279443</c:v>
                </c:pt>
                <c:pt idx="279">
                  <c:v>0.12199918426530344</c:v>
                </c:pt>
                <c:pt idx="280">
                  <c:v>0.12518665552964608</c:v>
                </c:pt>
                <c:pt idx="281">
                  <c:v>0.12914774520005029</c:v>
                </c:pt>
                <c:pt idx="282">
                  <c:v>0.13349471422104242</c:v>
                </c:pt>
                <c:pt idx="283">
                  <c:v>0.13780205097773357</c:v>
                </c:pt>
                <c:pt idx="284">
                  <c:v>0.14164812333739898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DC1-4D34-853E-DDFBC45566B2}"/>
            </c:ext>
          </c:extLst>
        </c:ser>
        <c:ser>
          <c:idx val="11"/>
          <c:order val="7"/>
          <c:tx>
            <c:strRef>
              <c:f>Planètes!$R$3</c:f>
              <c:strCache>
                <c:ptCount val="1"/>
                <c:pt idx="0">
                  <c:v>Body7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Planètes!$R$6:$R$290</c:f>
              <c:numCache>
                <c:formatCode>General</c:formatCode>
                <c:ptCount val="285"/>
                <c:pt idx="0">
                  <c:v>-0.26930352299409743</c:v>
                </c:pt>
                <c:pt idx="1">
                  <c:v>-0.26729590157191285</c:v>
                </c:pt>
                <c:pt idx="2">
                  <c:v>-0.26660412237529324</c:v>
                </c:pt>
                <c:pt idx="3">
                  <c:v>-0.26729590157191285</c:v>
                </c:pt>
                <c:pt idx="4">
                  <c:v>-0.26930352299409754</c:v>
                </c:pt>
                <c:pt idx="5">
                  <c:v>-0.27243046666912274</c:v>
                </c:pt>
                <c:pt idx="6">
                  <c:v>-0.27637064556337942</c:v>
                </c:pt>
                <c:pt idx="7">
                  <c:v>-0.28073836751385717</c:v>
                </c:pt>
                <c:pt idx="8">
                  <c:v>-0.28510608946433491</c:v>
                </c:pt>
                <c:pt idx="9">
                  <c:v>-0.2890462683585916</c:v>
                </c:pt>
                <c:pt idx="10">
                  <c:v>-0.29217321203361679</c:v>
                </c:pt>
                <c:pt idx="11">
                  <c:v>-0.29418083345580143</c:v>
                </c:pt>
                <c:pt idx="12">
                  <c:v>-0.29487261265242104</c:v>
                </c:pt>
                <c:pt idx="13">
                  <c:v>-0.29418083345580148</c:v>
                </c:pt>
                <c:pt idx="14">
                  <c:v>-0.29217321203361679</c:v>
                </c:pt>
                <c:pt idx="15">
                  <c:v>-0.2890462683585916</c:v>
                </c:pt>
                <c:pt idx="16">
                  <c:v>-0.28510608946433491</c:v>
                </c:pt>
                <c:pt idx="17">
                  <c:v>-0.28073836751385717</c:v>
                </c:pt>
                <c:pt idx="18">
                  <c:v>-0.27637064556337942</c:v>
                </c:pt>
                <c:pt idx="19">
                  <c:v>-0.27243046666912274</c:v>
                </c:pt>
                <c:pt idx="20">
                  <c:v>-0.26930352299409743</c:v>
                </c:pt>
                <c:pt idx="22">
                  <c:v>-0.26964656832969025</c:v>
                </c:pt>
                <c:pt idx="23">
                  <c:v>-0.2676991755501712</c:v>
                </c:pt>
                <c:pt idx="24">
                  <c:v>-0.26702814972945016</c:v>
                </c:pt>
                <c:pt idx="25">
                  <c:v>-0.2676991755501712</c:v>
                </c:pt>
                <c:pt idx="26">
                  <c:v>-0.26964656832969031</c:v>
                </c:pt>
                <c:pt idx="27">
                  <c:v>-0.2726797036944647</c:v>
                </c:pt>
                <c:pt idx="28">
                  <c:v>-0.27650167722189378</c:v>
                </c:pt>
                <c:pt idx="29">
                  <c:v>-0.28073836751385717</c:v>
                </c:pt>
                <c:pt idx="30">
                  <c:v>-0.28497505780582055</c:v>
                </c:pt>
                <c:pt idx="31">
                  <c:v>-0.28879703133324958</c:v>
                </c:pt>
                <c:pt idx="32">
                  <c:v>-0.29183016669802403</c:v>
                </c:pt>
                <c:pt idx="33">
                  <c:v>-0.29377755947754314</c:v>
                </c:pt>
                <c:pt idx="34">
                  <c:v>-0.29444858529826412</c:v>
                </c:pt>
                <c:pt idx="35">
                  <c:v>-0.29377755947754314</c:v>
                </c:pt>
                <c:pt idx="36">
                  <c:v>-0.29183016669802403</c:v>
                </c:pt>
                <c:pt idx="37">
                  <c:v>-0.28879703133324958</c:v>
                </c:pt>
                <c:pt idx="38">
                  <c:v>-0.28497505780582055</c:v>
                </c:pt>
                <c:pt idx="39">
                  <c:v>-0.28073836751385717</c:v>
                </c:pt>
                <c:pt idx="40">
                  <c:v>-0.27650167722189378</c:v>
                </c:pt>
                <c:pt idx="41">
                  <c:v>-0.2726797036944647</c:v>
                </c:pt>
                <c:pt idx="42">
                  <c:v>-0.26964656832969025</c:v>
                </c:pt>
                <c:pt idx="44">
                  <c:v>-0.27090440122686388</c:v>
                </c:pt>
                <c:pt idx="45">
                  <c:v>-0.26917784680378509</c:v>
                </c:pt>
                <c:pt idx="46">
                  <c:v>-0.2685829166946922</c:v>
                </c:pt>
                <c:pt idx="47">
                  <c:v>-0.26917784680378509</c:v>
                </c:pt>
                <c:pt idx="48">
                  <c:v>-0.27090440122686382</c:v>
                </c:pt>
                <c:pt idx="49">
                  <c:v>-0.2735935727873855</c:v>
                </c:pt>
                <c:pt idx="50">
                  <c:v>-0.27698212663644634</c:v>
                </c:pt>
                <c:pt idx="51">
                  <c:v>-0.28073836751385717</c:v>
                </c:pt>
                <c:pt idx="52">
                  <c:v>-0.284494608391268</c:v>
                </c:pt>
                <c:pt idx="53">
                  <c:v>-0.28788316224032873</c:v>
                </c:pt>
                <c:pt idx="54">
                  <c:v>-0.29057233380085046</c:v>
                </c:pt>
                <c:pt idx="55">
                  <c:v>-0.29229888822392924</c:v>
                </c:pt>
                <c:pt idx="56">
                  <c:v>-0.29289381833302208</c:v>
                </c:pt>
                <c:pt idx="57">
                  <c:v>-0.29229888822392924</c:v>
                </c:pt>
                <c:pt idx="58">
                  <c:v>-0.29057233380085046</c:v>
                </c:pt>
                <c:pt idx="59">
                  <c:v>-0.28788316224032873</c:v>
                </c:pt>
                <c:pt idx="60">
                  <c:v>-0.284494608391268</c:v>
                </c:pt>
                <c:pt idx="61">
                  <c:v>-0.28073836751385717</c:v>
                </c:pt>
                <c:pt idx="62">
                  <c:v>-0.27698212663644634</c:v>
                </c:pt>
                <c:pt idx="63">
                  <c:v>-0.2735935727873855</c:v>
                </c:pt>
                <c:pt idx="64">
                  <c:v>-0.27090440122686388</c:v>
                </c:pt>
                <c:pt idx="66">
                  <c:v>-0.27319137013081574</c:v>
                </c:pt>
                <c:pt idx="67">
                  <c:v>-0.27186633999217391</c:v>
                </c:pt>
                <c:pt idx="68">
                  <c:v>-0.27140976572240499</c:v>
                </c:pt>
                <c:pt idx="69">
                  <c:v>-0.27186633999217391</c:v>
                </c:pt>
                <c:pt idx="70">
                  <c:v>-0.27319137013081574</c:v>
                </c:pt>
                <c:pt idx="71">
                  <c:v>-0.27525515295633241</c:v>
                </c:pt>
                <c:pt idx="72">
                  <c:v>-0.27785567102654185</c:v>
                </c:pt>
                <c:pt idx="73">
                  <c:v>-0.28073836751385717</c:v>
                </c:pt>
                <c:pt idx="74">
                  <c:v>-0.28362106400117243</c:v>
                </c:pt>
                <c:pt idx="75">
                  <c:v>-0.28622158207138187</c:v>
                </c:pt>
                <c:pt idx="76">
                  <c:v>-0.28828536489689854</c:v>
                </c:pt>
                <c:pt idx="77">
                  <c:v>-0.28961039503554037</c:v>
                </c:pt>
                <c:pt idx="78">
                  <c:v>-0.29006696930530929</c:v>
                </c:pt>
                <c:pt idx="79">
                  <c:v>-0.28961039503554042</c:v>
                </c:pt>
                <c:pt idx="80">
                  <c:v>-0.28828536489689854</c:v>
                </c:pt>
                <c:pt idx="81">
                  <c:v>-0.28622158207138187</c:v>
                </c:pt>
                <c:pt idx="82">
                  <c:v>-0.28362106400117248</c:v>
                </c:pt>
                <c:pt idx="83">
                  <c:v>-0.28073836751385717</c:v>
                </c:pt>
                <c:pt idx="84">
                  <c:v>-0.27785567102654185</c:v>
                </c:pt>
                <c:pt idx="85">
                  <c:v>-0.27525515295633246</c:v>
                </c:pt>
                <c:pt idx="86">
                  <c:v>-0.27319137013081574</c:v>
                </c:pt>
                <c:pt idx="88">
                  <c:v>-0.27730791415792921</c:v>
                </c:pt>
                <c:pt idx="89">
                  <c:v>-0.27670562773127383</c:v>
                </c:pt>
                <c:pt idx="90">
                  <c:v>-0.27649809397228797</c:v>
                </c:pt>
                <c:pt idx="91">
                  <c:v>-0.27670562773127388</c:v>
                </c:pt>
                <c:pt idx="92">
                  <c:v>-0.27730791415792921</c:v>
                </c:pt>
                <c:pt idx="93">
                  <c:v>-0.27824599726043681</c:v>
                </c:pt>
                <c:pt idx="94">
                  <c:v>-0.27942805092871387</c:v>
                </c:pt>
                <c:pt idx="95">
                  <c:v>-0.28073836751385717</c:v>
                </c:pt>
                <c:pt idx="96">
                  <c:v>-0.28204868409900047</c:v>
                </c:pt>
                <c:pt idx="97">
                  <c:v>-0.28323073776727747</c:v>
                </c:pt>
                <c:pt idx="98">
                  <c:v>-0.28416882086978507</c:v>
                </c:pt>
                <c:pt idx="99">
                  <c:v>-0.28477110729644051</c:v>
                </c:pt>
                <c:pt idx="100">
                  <c:v>-0.28497864105542636</c:v>
                </c:pt>
                <c:pt idx="101">
                  <c:v>-0.28477110729644045</c:v>
                </c:pt>
                <c:pt idx="102">
                  <c:v>-0.28416882086978512</c:v>
                </c:pt>
                <c:pt idx="103">
                  <c:v>-0.28323073776727747</c:v>
                </c:pt>
                <c:pt idx="104">
                  <c:v>-0.28204868409900052</c:v>
                </c:pt>
                <c:pt idx="105">
                  <c:v>-0.28073836751385717</c:v>
                </c:pt>
                <c:pt idx="106">
                  <c:v>-0.27942805092871387</c:v>
                </c:pt>
                <c:pt idx="107">
                  <c:v>-0.27824599726043681</c:v>
                </c:pt>
                <c:pt idx="108">
                  <c:v>-0.27730791415792921</c:v>
                </c:pt>
                <c:pt idx="110">
                  <c:v>-0.26964656832969025</c:v>
                </c:pt>
                <c:pt idx="111">
                  <c:v>-0.2676991755501712</c:v>
                </c:pt>
                <c:pt idx="112">
                  <c:v>-0.26702814972945016</c:v>
                </c:pt>
                <c:pt idx="113">
                  <c:v>-0.2676991755501712</c:v>
                </c:pt>
                <c:pt idx="114">
                  <c:v>-0.26964656832969031</c:v>
                </c:pt>
                <c:pt idx="115">
                  <c:v>-0.2726797036944647</c:v>
                </c:pt>
                <c:pt idx="116">
                  <c:v>-0.27650167722189378</c:v>
                </c:pt>
                <c:pt idx="117">
                  <c:v>-0.28073836751385717</c:v>
                </c:pt>
                <c:pt idx="118">
                  <c:v>-0.28497505780582055</c:v>
                </c:pt>
                <c:pt idx="119">
                  <c:v>-0.28879703133324958</c:v>
                </c:pt>
                <c:pt idx="120">
                  <c:v>-0.29183016669802403</c:v>
                </c:pt>
                <c:pt idx="121">
                  <c:v>-0.29377755947754314</c:v>
                </c:pt>
                <c:pt idx="122">
                  <c:v>-0.29444858529826412</c:v>
                </c:pt>
                <c:pt idx="123">
                  <c:v>-0.29377755947754314</c:v>
                </c:pt>
                <c:pt idx="124">
                  <c:v>-0.29183016669802403</c:v>
                </c:pt>
                <c:pt idx="125">
                  <c:v>-0.28879703133324958</c:v>
                </c:pt>
                <c:pt idx="126">
                  <c:v>-0.28497505780582055</c:v>
                </c:pt>
                <c:pt idx="127">
                  <c:v>-0.28073836751385717</c:v>
                </c:pt>
                <c:pt idx="128">
                  <c:v>-0.27650167722189378</c:v>
                </c:pt>
                <c:pt idx="129">
                  <c:v>-0.2726797036944647</c:v>
                </c:pt>
                <c:pt idx="130">
                  <c:v>-0.26964656832969025</c:v>
                </c:pt>
                <c:pt idx="132">
                  <c:v>-0.27090440122686388</c:v>
                </c:pt>
                <c:pt idx="133">
                  <c:v>-0.26917784680378509</c:v>
                </c:pt>
                <c:pt idx="134">
                  <c:v>-0.2685829166946922</c:v>
                </c:pt>
                <c:pt idx="135">
                  <c:v>-0.26917784680378509</c:v>
                </c:pt>
                <c:pt idx="136">
                  <c:v>-0.27090440122686382</c:v>
                </c:pt>
                <c:pt idx="137">
                  <c:v>-0.2735935727873855</c:v>
                </c:pt>
                <c:pt idx="138">
                  <c:v>-0.27698212663644634</c:v>
                </c:pt>
                <c:pt idx="139">
                  <c:v>-0.28073836751385717</c:v>
                </c:pt>
                <c:pt idx="140">
                  <c:v>-0.284494608391268</c:v>
                </c:pt>
                <c:pt idx="141">
                  <c:v>-0.28788316224032873</c:v>
                </c:pt>
                <c:pt idx="142">
                  <c:v>-0.29057233380085046</c:v>
                </c:pt>
                <c:pt idx="143">
                  <c:v>-0.29229888822392924</c:v>
                </c:pt>
                <c:pt idx="144">
                  <c:v>-0.29289381833302208</c:v>
                </c:pt>
                <c:pt idx="145">
                  <c:v>-0.29229888822392924</c:v>
                </c:pt>
                <c:pt idx="146">
                  <c:v>-0.29057233380085046</c:v>
                </c:pt>
                <c:pt idx="147">
                  <c:v>-0.28788316224032873</c:v>
                </c:pt>
                <c:pt idx="148">
                  <c:v>-0.284494608391268</c:v>
                </c:pt>
                <c:pt idx="149">
                  <c:v>-0.28073836751385717</c:v>
                </c:pt>
                <c:pt idx="150">
                  <c:v>-0.27698212663644634</c:v>
                </c:pt>
                <c:pt idx="151">
                  <c:v>-0.2735935727873855</c:v>
                </c:pt>
                <c:pt idx="152">
                  <c:v>-0.27090440122686388</c:v>
                </c:pt>
                <c:pt idx="154">
                  <c:v>-0.27319137013081574</c:v>
                </c:pt>
                <c:pt idx="155">
                  <c:v>-0.27186633999217391</c:v>
                </c:pt>
                <c:pt idx="156">
                  <c:v>-0.27140976572240499</c:v>
                </c:pt>
                <c:pt idx="157">
                  <c:v>-0.27186633999217391</c:v>
                </c:pt>
                <c:pt idx="158">
                  <c:v>-0.27319137013081574</c:v>
                </c:pt>
                <c:pt idx="159">
                  <c:v>-0.27525515295633241</c:v>
                </c:pt>
                <c:pt idx="160">
                  <c:v>-0.27785567102654185</c:v>
                </c:pt>
                <c:pt idx="161">
                  <c:v>-0.28073836751385717</c:v>
                </c:pt>
                <c:pt idx="162">
                  <c:v>-0.28362106400117243</c:v>
                </c:pt>
                <c:pt idx="163">
                  <c:v>-0.28622158207138187</c:v>
                </c:pt>
                <c:pt idx="164">
                  <c:v>-0.28828536489689854</c:v>
                </c:pt>
                <c:pt idx="165">
                  <c:v>-0.28961039503554037</c:v>
                </c:pt>
                <c:pt idx="166">
                  <c:v>-0.29006696930530929</c:v>
                </c:pt>
                <c:pt idx="167">
                  <c:v>-0.28961039503554042</c:v>
                </c:pt>
                <c:pt idx="168">
                  <c:v>-0.28828536489689854</c:v>
                </c:pt>
                <c:pt idx="169">
                  <c:v>-0.28622158207138187</c:v>
                </c:pt>
                <c:pt idx="170">
                  <c:v>-0.28362106400117248</c:v>
                </c:pt>
                <c:pt idx="171">
                  <c:v>-0.28073836751385717</c:v>
                </c:pt>
                <c:pt idx="172">
                  <c:v>-0.27785567102654185</c:v>
                </c:pt>
                <c:pt idx="173">
                  <c:v>-0.27525515295633246</c:v>
                </c:pt>
                <c:pt idx="174">
                  <c:v>-0.27319137013081574</c:v>
                </c:pt>
                <c:pt idx="176">
                  <c:v>-0.27730791415792921</c:v>
                </c:pt>
                <c:pt idx="177">
                  <c:v>-0.27670562773127383</c:v>
                </c:pt>
                <c:pt idx="178">
                  <c:v>-0.27649809397228797</c:v>
                </c:pt>
                <c:pt idx="179">
                  <c:v>-0.27670562773127388</c:v>
                </c:pt>
                <c:pt idx="180">
                  <c:v>-0.27730791415792921</c:v>
                </c:pt>
                <c:pt idx="181">
                  <c:v>-0.27824599726043681</c:v>
                </c:pt>
                <c:pt idx="182">
                  <c:v>-0.27942805092871387</c:v>
                </c:pt>
                <c:pt idx="183">
                  <c:v>-0.28073836751385717</c:v>
                </c:pt>
                <c:pt idx="184">
                  <c:v>-0.28204868409900047</c:v>
                </c:pt>
                <c:pt idx="185">
                  <c:v>-0.28323073776727747</c:v>
                </c:pt>
                <c:pt idx="186">
                  <c:v>-0.28416882086978507</c:v>
                </c:pt>
                <c:pt idx="187">
                  <c:v>-0.28477110729644051</c:v>
                </c:pt>
                <c:pt idx="188">
                  <c:v>-0.28497864105542636</c:v>
                </c:pt>
                <c:pt idx="189">
                  <c:v>-0.28477110729644045</c:v>
                </c:pt>
                <c:pt idx="190">
                  <c:v>-0.28416882086978512</c:v>
                </c:pt>
                <c:pt idx="191">
                  <c:v>-0.28323073776727747</c:v>
                </c:pt>
                <c:pt idx="192">
                  <c:v>-0.28204868409900052</c:v>
                </c:pt>
                <c:pt idx="193">
                  <c:v>-0.28073836751385717</c:v>
                </c:pt>
                <c:pt idx="194">
                  <c:v>-0.27942805092871387</c:v>
                </c:pt>
                <c:pt idx="195">
                  <c:v>-0.27824599726043681</c:v>
                </c:pt>
                <c:pt idx="196">
                  <c:v>-0.27730791415792921</c:v>
                </c:pt>
                <c:pt idx="198">
                  <c:v>-0.28073836751385717</c:v>
                </c:pt>
                <c:pt idx="199">
                  <c:v>-0.27720480622921617</c:v>
                </c:pt>
                <c:pt idx="200">
                  <c:v>-0.27401713454288501</c:v>
                </c:pt>
                <c:pt idx="201">
                  <c:v>-0.27148738396933636</c:v>
                </c:pt>
                <c:pt idx="202">
                  <c:v>-0.2698631841205178</c:v>
                </c:pt>
                <c:pt idx="203">
                  <c:v>-0.26930352299409743</c:v>
                </c:pt>
                <c:pt idx="204">
                  <c:v>-0.2698631841205178</c:v>
                </c:pt>
                <c:pt idx="205">
                  <c:v>-0.27148738396933636</c:v>
                </c:pt>
                <c:pt idx="206">
                  <c:v>-0.27401713454288501</c:v>
                </c:pt>
                <c:pt idx="207">
                  <c:v>-0.27720480622921617</c:v>
                </c:pt>
                <c:pt idx="208">
                  <c:v>-0.28073836751385717</c:v>
                </c:pt>
                <c:pt idx="209">
                  <c:v>-0.28427192879849811</c:v>
                </c:pt>
                <c:pt idx="210">
                  <c:v>-0.28745960048482933</c:v>
                </c:pt>
                <c:pt idx="211">
                  <c:v>-0.28998935105837798</c:v>
                </c:pt>
                <c:pt idx="212">
                  <c:v>-0.29161355090719654</c:v>
                </c:pt>
                <c:pt idx="213">
                  <c:v>-0.29217321203361679</c:v>
                </c:pt>
                <c:pt idx="214">
                  <c:v>-0.29161355090719654</c:v>
                </c:pt>
                <c:pt idx="215">
                  <c:v>-0.28998935105837798</c:v>
                </c:pt>
                <c:pt idx="216">
                  <c:v>-0.28745960048482933</c:v>
                </c:pt>
                <c:pt idx="217">
                  <c:v>-0.28427192879849811</c:v>
                </c:pt>
                <c:pt idx="218">
                  <c:v>-0.28073836751385717</c:v>
                </c:pt>
                <c:pt idx="220">
                  <c:v>-0.27243046666912274</c:v>
                </c:pt>
                <c:pt idx="221">
                  <c:v>-0.27283708427873843</c:v>
                </c:pt>
                <c:pt idx="222">
                  <c:v>-0.27401713454288501</c:v>
                </c:pt>
                <c:pt idx="223">
                  <c:v>-0.27585510591981405</c:v>
                </c:pt>
                <c:pt idx="224">
                  <c:v>-0.27817108496525222</c:v>
                </c:pt>
                <c:pt idx="225">
                  <c:v>-0.28073836751385717</c:v>
                </c:pt>
                <c:pt idx="226">
                  <c:v>-0.28330565006246206</c:v>
                </c:pt>
                <c:pt idx="227">
                  <c:v>-0.28562162910790023</c:v>
                </c:pt>
                <c:pt idx="228">
                  <c:v>-0.28745960048482933</c:v>
                </c:pt>
                <c:pt idx="229">
                  <c:v>-0.28863965074897585</c:v>
                </c:pt>
                <c:pt idx="230">
                  <c:v>-0.2890462683585916</c:v>
                </c:pt>
                <c:pt idx="231">
                  <c:v>-0.28863965074897585</c:v>
                </c:pt>
                <c:pt idx="232">
                  <c:v>-0.28745960048482933</c:v>
                </c:pt>
                <c:pt idx="233">
                  <c:v>-0.28562162910790023</c:v>
                </c:pt>
                <c:pt idx="234">
                  <c:v>-0.28330565006246206</c:v>
                </c:pt>
                <c:pt idx="235">
                  <c:v>-0.28073836751385717</c:v>
                </c:pt>
                <c:pt idx="236">
                  <c:v>-0.27817108496525222</c:v>
                </c:pt>
                <c:pt idx="237">
                  <c:v>-0.27585510591981405</c:v>
                </c:pt>
                <c:pt idx="238">
                  <c:v>-0.27401713454288501</c:v>
                </c:pt>
                <c:pt idx="239">
                  <c:v>-0.27283708427873843</c:v>
                </c:pt>
                <c:pt idx="240">
                  <c:v>-0.27243046666912274</c:v>
                </c:pt>
                <c:pt idx="242">
                  <c:v>-0.28073836751385717</c:v>
                </c:pt>
                <c:pt idx="243">
                  <c:v>-0.2764244194684089</c:v>
                </c:pt>
                <c:pt idx="244">
                  <c:v>-0.27253275071469241</c:v>
                </c:pt>
                <c:pt idx="245">
                  <c:v>-0.26944430490517229</c:v>
                </c:pt>
                <c:pt idx="246">
                  <c:v>-0.26746140063415158</c:v>
                </c:pt>
                <c:pt idx="247">
                  <c:v>-0.26677813838738407</c:v>
                </c:pt>
                <c:pt idx="248">
                  <c:v>-0.26746140063415158</c:v>
                </c:pt>
                <c:pt idx="249">
                  <c:v>-0.26944430490517229</c:v>
                </c:pt>
                <c:pt idx="250">
                  <c:v>-0.27253275071469241</c:v>
                </c:pt>
                <c:pt idx="251">
                  <c:v>-0.2764244194684089</c:v>
                </c:pt>
                <c:pt idx="252">
                  <c:v>-0.28073836751385717</c:v>
                </c:pt>
                <c:pt idx="253">
                  <c:v>-0.28505231555930544</c:v>
                </c:pt>
                <c:pt idx="254">
                  <c:v>-0.28894398431302193</c:v>
                </c:pt>
                <c:pt idx="255">
                  <c:v>-0.29203243012254204</c:v>
                </c:pt>
                <c:pt idx="256">
                  <c:v>-0.29401533439356276</c:v>
                </c:pt>
                <c:pt idx="257">
                  <c:v>-0.29469859664033027</c:v>
                </c:pt>
                <c:pt idx="258">
                  <c:v>-0.29401533439356276</c:v>
                </c:pt>
                <c:pt idx="259">
                  <c:v>-0.29203243012254204</c:v>
                </c:pt>
                <c:pt idx="260">
                  <c:v>-0.28894398431302193</c:v>
                </c:pt>
                <c:pt idx="261">
                  <c:v>-0.28505231555930544</c:v>
                </c:pt>
                <c:pt idx="262">
                  <c:v>-0.28073836751385717</c:v>
                </c:pt>
                <c:pt idx="264">
                  <c:v>-0.28294945059085586</c:v>
                </c:pt>
                <c:pt idx="265">
                  <c:v>-0.28284123248230675</c:v>
                </c:pt>
                <c:pt idx="266">
                  <c:v>-0.28252717129912397</c:v>
                </c:pt>
                <c:pt idx="267">
                  <c:v>-0.28203800953811048</c:v>
                </c:pt>
                <c:pt idx="268">
                  <c:v>-0.28142162976062457</c:v>
                </c:pt>
                <c:pt idx="269">
                  <c:v>-0.28073836751385717</c:v>
                </c:pt>
                <c:pt idx="270">
                  <c:v>-0.28005510526708971</c:v>
                </c:pt>
                <c:pt idx="271">
                  <c:v>-0.27943872548960386</c:v>
                </c:pt>
                <c:pt idx="272">
                  <c:v>-0.27894956372859037</c:v>
                </c:pt>
                <c:pt idx="273">
                  <c:v>-0.27863550254540759</c:v>
                </c:pt>
                <c:pt idx="274">
                  <c:v>-0.27852728443685848</c:v>
                </c:pt>
                <c:pt idx="275">
                  <c:v>-0.27863550254540759</c:v>
                </c:pt>
                <c:pt idx="276">
                  <c:v>-0.27894956372859037</c:v>
                </c:pt>
                <c:pt idx="277">
                  <c:v>-0.27943872548960386</c:v>
                </c:pt>
                <c:pt idx="278">
                  <c:v>-0.28005510526708971</c:v>
                </c:pt>
                <c:pt idx="279">
                  <c:v>-0.28073836751385717</c:v>
                </c:pt>
                <c:pt idx="280">
                  <c:v>-0.28142162976062457</c:v>
                </c:pt>
                <c:pt idx="281">
                  <c:v>-0.28203800953811048</c:v>
                </c:pt>
                <c:pt idx="282">
                  <c:v>-0.28252717129912397</c:v>
                </c:pt>
                <c:pt idx="283">
                  <c:v>-0.28284123248230675</c:v>
                </c:pt>
                <c:pt idx="284">
                  <c:v>-0.28294945059085586</c:v>
                </c:pt>
              </c:numCache>
            </c:numRef>
          </c:xVal>
          <c:yVal>
            <c:numRef>
              <c:f>Planètes!$S$6:$S$290</c:f>
              <c:numCache>
                <c:formatCode>General</c:formatCode>
                <c:ptCount val="285"/>
                <c:pt idx="0">
                  <c:v>5.7263859770902203E-2</c:v>
                </c:pt>
                <c:pt idx="1">
                  <c:v>5.9689676121987306E-2</c:v>
                </c:pt>
                <c:pt idx="2">
                  <c:v>6.2378714261830684E-2</c:v>
                </c:pt>
                <c:pt idx="3">
                  <c:v>6.5067752401674089E-2</c:v>
                </c:pt>
                <c:pt idx="4">
                  <c:v>6.7493568752759178E-2</c:v>
                </c:pt>
                <c:pt idx="5">
                  <c:v>6.9418707508985447E-2</c:v>
                </c:pt>
                <c:pt idx="6">
                  <c:v>7.0654722675663015E-2</c:v>
                </c:pt>
                <c:pt idx="7">
                  <c:v>7.1080624476453469E-2</c:v>
                </c:pt>
                <c:pt idx="8">
                  <c:v>7.0654722675663029E-2</c:v>
                </c:pt>
                <c:pt idx="9">
                  <c:v>6.9418707508985447E-2</c:v>
                </c:pt>
                <c:pt idx="10">
                  <c:v>6.7493568752759178E-2</c:v>
                </c:pt>
                <c:pt idx="11">
                  <c:v>6.5067752401674089E-2</c:v>
                </c:pt>
                <c:pt idx="12">
                  <c:v>6.2378714261830698E-2</c:v>
                </c:pt>
                <c:pt idx="13">
                  <c:v>5.9689676121987306E-2</c:v>
                </c:pt>
                <c:pt idx="14">
                  <c:v>5.7263859770902217E-2</c:v>
                </c:pt>
                <c:pt idx="15">
                  <c:v>5.5338721014675948E-2</c:v>
                </c:pt>
                <c:pt idx="16">
                  <c:v>5.4102705847998381E-2</c:v>
                </c:pt>
                <c:pt idx="17">
                  <c:v>5.3676804047207927E-2</c:v>
                </c:pt>
                <c:pt idx="18">
                  <c:v>5.4102705847998339E-2</c:v>
                </c:pt>
                <c:pt idx="19">
                  <c:v>5.5338721014675948E-2</c:v>
                </c:pt>
                <c:pt idx="20">
                  <c:v>5.7263859770902203E-2</c:v>
                </c:pt>
                <c:pt idx="22">
                  <c:v>6.0201789696455524E-2</c:v>
                </c:pt>
                <c:pt idx="23">
                  <c:v>6.2554831557008098E-2</c:v>
                </c:pt>
                <c:pt idx="24">
                  <c:v>6.516319855265619E-2</c:v>
                </c:pt>
                <c:pt idx="25">
                  <c:v>6.7771565548304241E-2</c:v>
                </c:pt>
                <c:pt idx="26">
                  <c:v>7.0124607408856815E-2</c:v>
                </c:pt>
                <c:pt idx="27">
                  <c:v>7.1991992002396296E-2</c:v>
                </c:pt>
                <c:pt idx="28">
                  <c:v>7.319092671407354E-2</c:v>
                </c:pt>
                <c:pt idx="29">
                  <c:v>7.3604051460840245E-2</c:v>
                </c:pt>
                <c:pt idx="30">
                  <c:v>7.3190926714073554E-2</c:v>
                </c:pt>
                <c:pt idx="31">
                  <c:v>7.1991992002396282E-2</c:v>
                </c:pt>
                <c:pt idx="32">
                  <c:v>7.0124607408856801E-2</c:v>
                </c:pt>
                <c:pt idx="33">
                  <c:v>6.7771565548304255E-2</c:v>
                </c:pt>
                <c:pt idx="34">
                  <c:v>6.5163198552656162E-2</c:v>
                </c:pt>
                <c:pt idx="35">
                  <c:v>6.2554831557008098E-2</c:v>
                </c:pt>
                <c:pt idx="36">
                  <c:v>6.0201789696455538E-2</c:v>
                </c:pt>
                <c:pt idx="37">
                  <c:v>5.8334405102916057E-2</c:v>
                </c:pt>
                <c:pt idx="38">
                  <c:v>5.7135470391238813E-2</c:v>
                </c:pt>
                <c:pt idx="39">
                  <c:v>5.6722345644472094E-2</c:v>
                </c:pt>
                <c:pt idx="40">
                  <c:v>5.7135470391238799E-2</c:v>
                </c:pt>
                <c:pt idx="41">
                  <c:v>5.833440510291607E-2</c:v>
                </c:pt>
                <c:pt idx="42">
                  <c:v>6.0201789696455524E-2</c:v>
                </c:pt>
                <c:pt idx="44">
                  <c:v>6.354890798128314E-2</c:v>
                </c:pt>
                <c:pt idx="45">
                  <c:v>6.563511004321633E-2</c:v>
                </c:pt>
                <c:pt idx="46">
                  <c:v>6.7947682843481641E-2</c:v>
                </c:pt>
                <c:pt idx="47">
                  <c:v>7.0260255643746924E-2</c:v>
                </c:pt>
                <c:pt idx="48">
                  <c:v>7.2346457705680142E-2</c:v>
                </c:pt>
                <c:pt idx="49">
                  <c:v>7.4002077036034744E-2</c:v>
                </c:pt>
                <c:pt idx="50">
                  <c:v>7.5065050079377457E-2</c:v>
                </c:pt>
                <c:pt idx="51">
                  <c:v>7.5431325628057211E-2</c:v>
                </c:pt>
                <c:pt idx="52">
                  <c:v>7.5065050079377443E-2</c:v>
                </c:pt>
                <c:pt idx="53">
                  <c:v>7.400207703603473E-2</c:v>
                </c:pt>
                <c:pt idx="54">
                  <c:v>7.2346457705680142E-2</c:v>
                </c:pt>
                <c:pt idx="55">
                  <c:v>7.0260255643746938E-2</c:v>
                </c:pt>
                <c:pt idx="56">
                  <c:v>6.7947682843481627E-2</c:v>
                </c:pt>
                <c:pt idx="57">
                  <c:v>6.5635110043216344E-2</c:v>
                </c:pt>
                <c:pt idx="58">
                  <c:v>6.354890798128314E-2</c:v>
                </c:pt>
                <c:pt idx="59">
                  <c:v>6.1893288650928552E-2</c:v>
                </c:pt>
                <c:pt idx="60">
                  <c:v>6.0830315607585825E-2</c:v>
                </c:pt>
                <c:pt idx="61">
                  <c:v>6.0464040058906057E-2</c:v>
                </c:pt>
                <c:pt idx="62">
                  <c:v>6.0830315607585825E-2</c:v>
                </c:pt>
                <c:pt idx="63">
                  <c:v>6.1893288650928538E-2</c:v>
                </c:pt>
                <c:pt idx="64">
                  <c:v>6.354890798128314E-2</c:v>
                </c:pt>
                <c:pt idx="66">
                  <c:v>6.7356363170294323E-2</c:v>
                </c:pt>
                <c:pt idx="67">
                  <c:v>6.8957401962010501E-2</c:v>
                </c:pt>
                <c:pt idx="68">
                  <c:v>7.0732167134307147E-2</c:v>
                </c:pt>
                <c:pt idx="69">
                  <c:v>7.2506932306603752E-2</c:v>
                </c:pt>
                <c:pt idx="70">
                  <c:v>7.4107971098319944E-2</c:v>
                </c:pt>
                <c:pt idx="71">
                  <c:v>7.5378562677429276E-2</c:v>
                </c:pt>
                <c:pt idx="72">
                  <c:v>7.6194332687436472E-2</c:v>
                </c:pt>
                <c:pt idx="73">
                  <c:v>7.6475427875958152E-2</c:v>
                </c:pt>
                <c:pt idx="74">
                  <c:v>7.6194332687436486E-2</c:v>
                </c:pt>
                <c:pt idx="75">
                  <c:v>7.5378562677429276E-2</c:v>
                </c:pt>
                <c:pt idx="76">
                  <c:v>7.410797109831993E-2</c:v>
                </c:pt>
                <c:pt idx="77">
                  <c:v>7.2506932306603752E-2</c:v>
                </c:pt>
                <c:pt idx="78">
                  <c:v>7.0732167134307133E-2</c:v>
                </c:pt>
                <c:pt idx="79">
                  <c:v>6.8957401962010501E-2</c:v>
                </c:pt>
                <c:pt idx="80">
                  <c:v>6.7356363170294309E-2</c:v>
                </c:pt>
                <c:pt idx="81">
                  <c:v>6.6085771591184991E-2</c:v>
                </c:pt>
                <c:pt idx="82">
                  <c:v>6.5270001581177781E-2</c:v>
                </c:pt>
                <c:pt idx="83">
                  <c:v>6.4988906392656101E-2</c:v>
                </c:pt>
                <c:pt idx="84">
                  <c:v>6.5270001581177794E-2</c:v>
                </c:pt>
                <c:pt idx="85">
                  <c:v>6.6085771591184977E-2</c:v>
                </c:pt>
                <c:pt idx="86">
                  <c:v>6.7356363170294323E-2</c:v>
                </c:pt>
                <c:pt idx="88">
                  <c:v>7.1425298219688946E-2</c:v>
                </c:pt>
                <c:pt idx="89">
                  <c:v>7.2153043125014499E-2</c:v>
                </c:pt>
                <c:pt idx="90">
                  <c:v>7.2959754566967502E-2</c:v>
                </c:pt>
                <c:pt idx="91">
                  <c:v>7.3766466008920506E-2</c:v>
                </c:pt>
                <c:pt idx="92">
                  <c:v>7.4494210914246045E-2</c:v>
                </c:pt>
                <c:pt idx="93">
                  <c:v>7.5071752541113937E-2</c:v>
                </c:pt>
                <c:pt idx="94">
                  <c:v>7.5442557091117204E-2</c:v>
                </c:pt>
                <c:pt idx="95">
                  <c:v>7.5570327631354323E-2</c:v>
                </c:pt>
                <c:pt idx="96">
                  <c:v>7.5442557091117204E-2</c:v>
                </c:pt>
                <c:pt idx="97">
                  <c:v>7.5071752541113951E-2</c:v>
                </c:pt>
                <c:pt idx="98">
                  <c:v>7.4494210914246059E-2</c:v>
                </c:pt>
                <c:pt idx="99">
                  <c:v>7.3766466008920506E-2</c:v>
                </c:pt>
                <c:pt idx="100">
                  <c:v>7.2959754566967489E-2</c:v>
                </c:pt>
                <c:pt idx="101">
                  <c:v>7.2153043125014499E-2</c:v>
                </c:pt>
                <c:pt idx="102">
                  <c:v>7.1425298219688946E-2</c:v>
                </c:pt>
                <c:pt idx="103">
                  <c:v>7.0847756592821068E-2</c:v>
                </c:pt>
                <c:pt idx="104">
                  <c:v>7.04769520428178E-2</c:v>
                </c:pt>
                <c:pt idx="105">
                  <c:v>7.0349181502580682E-2</c:v>
                </c:pt>
                <c:pt idx="106">
                  <c:v>7.0476952042817786E-2</c:v>
                </c:pt>
                <c:pt idx="107">
                  <c:v>7.0847756592821054E-2</c:v>
                </c:pt>
                <c:pt idx="108">
                  <c:v>7.1425298219688946E-2</c:v>
                </c:pt>
                <c:pt idx="110">
                  <c:v>5.4632821114804567E-2</c:v>
                </c:pt>
                <c:pt idx="111">
                  <c:v>5.6985862975357141E-2</c:v>
                </c:pt>
                <c:pt idx="112">
                  <c:v>5.9594229971005233E-2</c:v>
                </c:pt>
                <c:pt idx="113">
                  <c:v>6.2202596966653284E-2</c:v>
                </c:pt>
                <c:pt idx="114">
                  <c:v>6.4555638827205858E-2</c:v>
                </c:pt>
                <c:pt idx="115">
                  <c:v>6.6423023420745339E-2</c:v>
                </c:pt>
                <c:pt idx="116">
                  <c:v>6.7621958132422583E-2</c:v>
                </c:pt>
                <c:pt idx="117">
                  <c:v>6.8035082879189288E-2</c:v>
                </c:pt>
                <c:pt idx="118">
                  <c:v>6.7621958132422597E-2</c:v>
                </c:pt>
                <c:pt idx="119">
                  <c:v>6.6423023420745325E-2</c:v>
                </c:pt>
                <c:pt idx="120">
                  <c:v>6.4555638827205844E-2</c:v>
                </c:pt>
                <c:pt idx="121">
                  <c:v>6.2202596966653298E-2</c:v>
                </c:pt>
                <c:pt idx="122">
                  <c:v>5.9594229971005205E-2</c:v>
                </c:pt>
                <c:pt idx="123">
                  <c:v>5.6985862975357141E-2</c:v>
                </c:pt>
                <c:pt idx="124">
                  <c:v>5.4632821114804581E-2</c:v>
                </c:pt>
                <c:pt idx="125">
                  <c:v>5.2765436521265099E-2</c:v>
                </c:pt>
                <c:pt idx="126">
                  <c:v>5.1566501809587856E-2</c:v>
                </c:pt>
                <c:pt idx="127">
                  <c:v>5.1153377062821137E-2</c:v>
                </c:pt>
                <c:pt idx="128">
                  <c:v>5.1566501809587842E-2</c:v>
                </c:pt>
                <c:pt idx="129">
                  <c:v>5.2765436521265113E-2</c:v>
                </c:pt>
                <c:pt idx="130">
                  <c:v>5.4632821114804567E-2</c:v>
                </c:pt>
                <c:pt idx="132">
                  <c:v>5.2410970817981267E-2</c:v>
                </c:pt>
                <c:pt idx="133">
                  <c:v>5.4497172879914457E-2</c:v>
                </c:pt>
                <c:pt idx="134">
                  <c:v>5.6809745680179768E-2</c:v>
                </c:pt>
                <c:pt idx="135">
                  <c:v>5.9122318480445052E-2</c:v>
                </c:pt>
                <c:pt idx="136">
                  <c:v>6.120852054237827E-2</c:v>
                </c:pt>
                <c:pt idx="137">
                  <c:v>6.2864139872732872E-2</c:v>
                </c:pt>
                <c:pt idx="138">
                  <c:v>6.3927112916075585E-2</c:v>
                </c:pt>
                <c:pt idx="139">
                  <c:v>6.4293388464755338E-2</c:v>
                </c:pt>
                <c:pt idx="140">
                  <c:v>6.3927112916075571E-2</c:v>
                </c:pt>
                <c:pt idx="141">
                  <c:v>6.2864139872732858E-2</c:v>
                </c:pt>
                <c:pt idx="142">
                  <c:v>6.120852054237827E-2</c:v>
                </c:pt>
                <c:pt idx="143">
                  <c:v>5.9122318480445066E-2</c:v>
                </c:pt>
                <c:pt idx="144">
                  <c:v>5.6809745680179755E-2</c:v>
                </c:pt>
                <c:pt idx="145">
                  <c:v>5.4497172879914471E-2</c:v>
                </c:pt>
                <c:pt idx="146">
                  <c:v>5.2410970817981267E-2</c:v>
                </c:pt>
                <c:pt idx="147">
                  <c:v>5.0755351487626679E-2</c:v>
                </c:pt>
                <c:pt idx="148">
                  <c:v>4.9692378444283952E-2</c:v>
                </c:pt>
                <c:pt idx="149">
                  <c:v>4.9326102895604185E-2</c:v>
                </c:pt>
                <c:pt idx="150">
                  <c:v>4.9692378444283952E-2</c:v>
                </c:pt>
                <c:pt idx="151">
                  <c:v>5.0755351487626665E-2</c:v>
                </c:pt>
                <c:pt idx="152">
                  <c:v>5.2410970817981267E-2</c:v>
                </c:pt>
                <c:pt idx="154">
                  <c:v>5.0649457425341479E-2</c:v>
                </c:pt>
                <c:pt idx="155">
                  <c:v>5.2250496217057657E-2</c:v>
                </c:pt>
                <c:pt idx="156">
                  <c:v>5.4025261389354304E-2</c:v>
                </c:pt>
                <c:pt idx="157">
                  <c:v>5.5800026561650909E-2</c:v>
                </c:pt>
                <c:pt idx="158">
                  <c:v>5.7401065353367101E-2</c:v>
                </c:pt>
                <c:pt idx="159">
                  <c:v>5.8671656932476432E-2</c:v>
                </c:pt>
                <c:pt idx="160">
                  <c:v>5.9487426942483629E-2</c:v>
                </c:pt>
                <c:pt idx="161">
                  <c:v>5.9768522131005308E-2</c:v>
                </c:pt>
                <c:pt idx="162">
                  <c:v>5.9487426942483643E-2</c:v>
                </c:pt>
                <c:pt idx="163">
                  <c:v>5.8671656932476432E-2</c:v>
                </c:pt>
                <c:pt idx="164">
                  <c:v>5.7401065353367087E-2</c:v>
                </c:pt>
                <c:pt idx="165">
                  <c:v>5.5800026561650909E-2</c:v>
                </c:pt>
                <c:pt idx="166">
                  <c:v>5.402526138935429E-2</c:v>
                </c:pt>
                <c:pt idx="167">
                  <c:v>5.2250496217057657E-2</c:v>
                </c:pt>
                <c:pt idx="168">
                  <c:v>5.0649457425341465E-2</c:v>
                </c:pt>
                <c:pt idx="169">
                  <c:v>4.9378865846232148E-2</c:v>
                </c:pt>
                <c:pt idx="170">
                  <c:v>4.8563095836224937E-2</c:v>
                </c:pt>
                <c:pt idx="171">
                  <c:v>4.8282000647703258E-2</c:v>
                </c:pt>
                <c:pt idx="172">
                  <c:v>4.8563095836224951E-2</c:v>
                </c:pt>
                <c:pt idx="173">
                  <c:v>4.9378865846232134E-2</c:v>
                </c:pt>
                <c:pt idx="174">
                  <c:v>5.0649457425341479E-2</c:v>
                </c:pt>
                <c:pt idx="176">
                  <c:v>5.026321760941535E-2</c:v>
                </c:pt>
                <c:pt idx="177">
                  <c:v>5.0990962514740903E-2</c:v>
                </c:pt>
                <c:pt idx="178">
                  <c:v>5.1797673956693907E-2</c:v>
                </c:pt>
                <c:pt idx="179">
                  <c:v>5.2604385398646911E-2</c:v>
                </c:pt>
                <c:pt idx="180">
                  <c:v>5.333213030397245E-2</c:v>
                </c:pt>
                <c:pt idx="181">
                  <c:v>5.3909671930840342E-2</c:v>
                </c:pt>
                <c:pt idx="182">
                  <c:v>5.4280476480843609E-2</c:v>
                </c:pt>
                <c:pt idx="183">
                  <c:v>5.4408247021080727E-2</c:v>
                </c:pt>
                <c:pt idx="184">
                  <c:v>5.4280476480843609E-2</c:v>
                </c:pt>
                <c:pt idx="185">
                  <c:v>5.3909671930840355E-2</c:v>
                </c:pt>
                <c:pt idx="186">
                  <c:v>5.3332130303972464E-2</c:v>
                </c:pt>
                <c:pt idx="187">
                  <c:v>5.2604385398646911E-2</c:v>
                </c:pt>
                <c:pt idx="188">
                  <c:v>5.1797673956693893E-2</c:v>
                </c:pt>
                <c:pt idx="189">
                  <c:v>5.0990962514740903E-2</c:v>
                </c:pt>
                <c:pt idx="190">
                  <c:v>5.026321760941535E-2</c:v>
                </c:pt>
                <c:pt idx="191">
                  <c:v>4.9685675982547473E-2</c:v>
                </c:pt>
                <c:pt idx="192">
                  <c:v>4.9314871432544205E-2</c:v>
                </c:pt>
                <c:pt idx="193">
                  <c:v>4.9187100892307087E-2</c:v>
                </c:pt>
                <c:pt idx="194">
                  <c:v>4.9314871432544191E-2</c:v>
                </c:pt>
                <c:pt idx="195">
                  <c:v>4.9685675982547459E-2</c:v>
                </c:pt>
                <c:pt idx="196">
                  <c:v>5.026321760941535E-2</c:v>
                </c:pt>
                <c:pt idx="198">
                  <c:v>7.3516651425132598E-2</c:v>
                </c:pt>
                <c:pt idx="199">
                  <c:v>7.1390945017623011E-2</c:v>
                </c:pt>
                <c:pt idx="200">
                  <c:v>6.8383058671832544E-2</c:v>
                </c:pt>
                <c:pt idx="201">
                  <c:v>6.4787425260463632E-2</c:v>
                </c:pt>
                <c:pt idx="202">
                  <c:v>6.09560104340722E-2</c:v>
                </c:pt>
                <c:pt idx="203">
                  <c:v>5.7263859770902203E-2</c:v>
                </c:pt>
                <c:pt idx="204">
                  <c:v>5.4072386702591041E-2</c:v>
                </c:pt>
                <c:pt idx="205">
                  <c:v>5.1693994849365418E-2</c:v>
                </c:pt>
                <c:pt idx="206">
                  <c:v>5.0361497777049485E-2</c:v>
                </c:pt>
                <c:pt idx="207">
                  <c:v>5.0205329583134561E-2</c:v>
                </c:pt>
                <c:pt idx="208">
                  <c:v>5.1240777098528811E-2</c:v>
                </c:pt>
                <c:pt idx="209">
                  <c:v>5.3366483506038398E-2</c:v>
                </c:pt>
                <c:pt idx="210">
                  <c:v>5.6374369851828865E-2</c:v>
                </c:pt>
                <c:pt idx="211">
                  <c:v>5.9970003263197763E-2</c:v>
                </c:pt>
                <c:pt idx="212">
                  <c:v>6.3801418089589182E-2</c:v>
                </c:pt>
                <c:pt idx="213">
                  <c:v>6.7493568752759178E-2</c:v>
                </c:pt>
                <c:pt idx="214">
                  <c:v>7.0685041821070341E-2</c:v>
                </c:pt>
                <c:pt idx="215">
                  <c:v>7.3063433674295977E-2</c:v>
                </c:pt>
                <c:pt idx="216">
                  <c:v>7.4395930746611924E-2</c:v>
                </c:pt>
                <c:pt idx="217">
                  <c:v>7.4552098940526848E-2</c:v>
                </c:pt>
                <c:pt idx="218">
                  <c:v>7.3516651425132598E-2</c:v>
                </c:pt>
                <c:pt idx="220">
                  <c:v>6.9418707508985447E-2</c:v>
                </c:pt>
                <c:pt idx="221">
                  <c:v>7.2515957579951676E-2</c:v>
                </c:pt>
                <c:pt idx="222">
                  <c:v>7.4620903644612893E-2</c:v>
                </c:pt>
                <c:pt idx="223">
                  <c:v>7.55274989161384E-2</c:v>
                </c:pt>
                <c:pt idx="224">
                  <c:v>7.5146999532730616E-2</c:v>
                </c:pt>
                <c:pt idx="225">
                  <c:v>7.3516651425132598E-2</c:v>
                </c:pt>
                <c:pt idx="226">
                  <c:v>7.0796044425419258E-2</c:v>
                </c:pt>
                <c:pt idx="227">
                  <c:v>6.7251490502306069E-2</c:v>
                </c:pt>
                <c:pt idx="228">
                  <c:v>6.322995529014673E-2</c:v>
                </c:pt>
                <c:pt idx="229">
                  <c:v>5.9125094675190878E-2</c:v>
                </c:pt>
                <c:pt idx="230">
                  <c:v>5.5338721014675948E-2</c:v>
                </c:pt>
                <c:pt idx="231">
                  <c:v>5.224147094370972E-2</c:v>
                </c:pt>
                <c:pt idx="232">
                  <c:v>5.0136524879048516E-2</c:v>
                </c:pt>
                <c:pt idx="233">
                  <c:v>4.922992960752301E-2</c:v>
                </c:pt>
                <c:pt idx="234">
                  <c:v>4.9610428990930808E-2</c:v>
                </c:pt>
                <c:pt idx="235">
                  <c:v>5.1240777098528811E-2</c:v>
                </c:pt>
                <c:pt idx="236">
                  <c:v>5.3961384098242166E-2</c:v>
                </c:pt>
                <c:pt idx="237">
                  <c:v>5.7505938021355341E-2</c:v>
                </c:pt>
                <c:pt idx="238">
                  <c:v>6.1527473233514679E-2</c:v>
                </c:pt>
                <c:pt idx="239">
                  <c:v>6.5632333848470517E-2</c:v>
                </c:pt>
                <c:pt idx="240">
                  <c:v>6.9418707508985447E-2</c:v>
                </c:pt>
                <c:pt idx="242">
                  <c:v>7.3516651425132598E-2</c:v>
                </c:pt>
                <c:pt idx="243">
                  <c:v>7.3392180221954095E-2</c:v>
                </c:pt>
                <c:pt idx="244">
                  <c:v>7.2189634235269265E-2</c:v>
                </c:pt>
                <c:pt idx="245">
                  <c:v>7.0026727044885287E-2</c:v>
                </c:pt>
                <c:pt idx="246">
                  <c:v>6.7115179076457573E-2</c:v>
                </c:pt>
                <c:pt idx="247">
                  <c:v>6.3739992931083331E-2</c:v>
                </c:pt>
                <c:pt idx="248">
                  <c:v>6.0231555344976415E-2</c:v>
                </c:pt>
                <c:pt idx="249">
                  <c:v>5.6933296633787073E-2</c:v>
                </c:pt>
                <c:pt idx="250">
                  <c:v>5.4168073340486206E-2</c:v>
                </c:pt>
                <c:pt idx="251">
                  <c:v>5.2206564787465645E-2</c:v>
                </c:pt>
                <c:pt idx="252">
                  <c:v>5.1240777098528811E-2</c:v>
                </c:pt>
                <c:pt idx="253">
                  <c:v>5.13652483017073E-2</c:v>
                </c:pt>
                <c:pt idx="254">
                  <c:v>5.2567794288392145E-2</c:v>
                </c:pt>
                <c:pt idx="255">
                  <c:v>5.4730701478776095E-2</c:v>
                </c:pt>
                <c:pt idx="256">
                  <c:v>5.7642249447203794E-2</c:v>
                </c:pt>
                <c:pt idx="257">
                  <c:v>6.1017435592578051E-2</c:v>
                </c:pt>
                <c:pt idx="258">
                  <c:v>6.4525873178684953E-2</c:v>
                </c:pt>
                <c:pt idx="259">
                  <c:v>6.7824131889874309E-2</c:v>
                </c:pt>
                <c:pt idx="260">
                  <c:v>7.0589355183175204E-2</c:v>
                </c:pt>
                <c:pt idx="261">
                  <c:v>7.255086373619575E-2</c:v>
                </c:pt>
                <c:pt idx="262">
                  <c:v>7.3516651425132598E-2</c:v>
                </c:pt>
                <c:pt idx="264">
                  <c:v>7.0973489521719335E-2</c:v>
                </c:pt>
                <c:pt idx="265">
                  <c:v>7.3994643144580707E-2</c:v>
                </c:pt>
                <c:pt idx="266">
                  <c:v>7.5878748715463074E-2</c:v>
                </c:pt>
                <c:pt idx="267">
                  <c:v>7.6441376853753004E-2</c:v>
                </c:pt>
                <c:pt idx="268">
                  <c:v>7.5627453597213859E-2</c:v>
                </c:pt>
                <c:pt idx="269">
                  <c:v>7.3516651425132598E-2</c:v>
                </c:pt>
                <c:pt idx="270">
                  <c:v>7.0315590360935987E-2</c:v>
                </c:pt>
                <c:pt idx="271">
                  <c:v>6.6337612564691464E-2</c:v>
                </c:pt>
                <c:pt idx="272">
                  <c:v>6.1972110219296522E-2</c:v>
                </c:pt>
                <c:pt idx="273">
                  <c:v>5.7646409110561819E-2</c:v>
                </c:pt>
                <c:pt idx="274">
                  <c:v>5.3783939001942047E-2</c:v>
                </c:pt>
                <c:pt idx="275">
                  <c:v>5.076278537908066E-2</c:v>
                </c:pt>
                <c:pt idx="276">
                  <c:v>4.8878679808198308E-2</c:v>
                </c:pt>
                <c:pt idx="277">
                  <c:v>4.8316051669908405E-2</c:v>
                </c:pt>
                <c:pt idx="278">
                  <c:v>4.9129974926447537E-2</c:v>
                </c:pt>
                <c:pt idx="279">
                  <c:v>5.1240777098528811E-2</c:v>
                </c:pt>
                <c:pt idx="280">
                  <c:v>5.4441838162725409E-2</c:v>
                </c:pt>
                <c:pt idx="281">
                  <c:v>5.8419815958969945E-2</c:v>
                </c:pt>
                <c:pt idx="282">
                  <c:v>6.2785318304364859E-2</c:v>
                </c:pt>
                <c:pt idx="283">
                  <c:v>6.7111019413099549E-2</c:v>
                </c:pt>
                <c:pt idx="284">
                  <c:v>7.0973489521719335E-2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DC1-4D34-853E-DDFBC45566B2}"/>
            </c:ext>
          </c:extLst>
        </c:ser>
        <c:ser>
          <c:idx val="12"/>
          <c:order val="8"/>
          <c:tx>
            <c:strRef>
              <c:f>Planètes!$T$3</c:f>
              <c:strCache>
                <c:ptCount val="1"/>
                <c:pt idx="0">
                  <c:v>Body8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Planètes!$T$6:$T$290</c:f>
              <c:numCache>
                <c:formatCode>General</c:formatCode>
                <c:ptCount val="285"/>
                <c:pt idx="0">
                  <c:v>0.17229490738118819</c:v>
                </c:pt>
                <c:pt idx="1">
                  <c:v>0.1730189770969528</c:v>
                </c:pt>
                <c:pt idx="2">
                  <c:v>0.17326847451749899</c:v>
                </c:pt>
                <c:pt idx="3">
                  <c:v>0.17301897709695283</c:v>
                </c:pt>
                <c:pt idx="4">
                  <c:v>0.17229490738118813</c:v>
                </c:pt>
                <c:pt idx="5">
                  <c:v>0.17116714235887442</c:v>
                </c:pt>
                <c:pt idx="6">
                  <c:v>0.16974607552799659</c:v>
                </c:pt>
                <c:pt idx="7">
                  <c:v>0.16817081081111576</c:v>
                </c:pt>
                <c:pt idx="8">
                  <c:v>0.16659554609423499</c:v>
                </c:pt>
                <c:pt idx="9">
                  <c:v>0.16517447926335713</c:v>
                </c:pt>
                <c:pt idx="10">
                  <c:v>0.16404671424104339</c:v>
                </c:pt>
                <c:pt idx="11">
                  <c:v>0.16332264452527873</c:v>
                </c:pt>
                <c:pt idx="12">
                  <c:v>0.16307314710473259</c:v>
                </c:pt>
                <c:pt idx="13">
                  <c:v>0.16332264452527873</c:v>
                </c:pt>
                <c:pt idx="14">
                  <c:v>0.16404671424104339</c:v>
                </c:pt>
                <c:pt idx="15">
                  <c:v>0.16517447926335715</c:v>
                </c:pt>
                <c:pt idx="16">
                  <c:v>0.16659554609423496</c:v>
                </c:pt>
                <c:pt idx="17">
                  <c:v>0.16817081081111579</c:v>
                </c:pt>
                <c:pt idx="18">
                  <c:v>0.16974607552799659</c:v>
                </c:pt>
                <c:pt idx="19">
                  <c:v>0.1711671423588744</c:v>
                </c:pt>
                <c:pt idx="20">
                  <c:v>0.17229490738118819</c:v>
                </c:pt>
                <c:pt idx="22">
                  <c:v>0.17217118448408603</c:v>
                </c:pt>
                <c:pt idx="23">
                  <c:v>0.17287353210837769</c:v>
                </c:pt>
                <c:pt idx="24">
                  <c:v>0.17311554460630749</c:v>
                </c:pt>
                <c:pt idx="25">
                  <c:v>0.17287353210837769</c:v>
                </c:pt>
                <c:pt idx="26">
                  <c:v>0.172171184484086</c:v>
                </c:pt>
                <c:pt idx="27">
                  <c:v>0.17107725241244165</c:v>
                </c:pt>
                <c:pt idx="28">
                  <c:v>0.16969881758649014</c:v>
                </c:pt>
                <c:pt idx="29">
                  <c:v>0.16817081081111579</c:v>
                </c:pt>
                <c:pt idx="30">
                  <c:v>0.16664280403574139</c:v>
                </c:pt>
                <c:pt idx="31">
                  <c:v>0.1652643692097899</c:v>
                </c:pt>
                <c:pt idx="32">
                  <c:v>0.16417043713814555</c:v>
                </c:pt>
                <c:pt idx="33">
                  <c:v>0.16346808951385383</c:v>
                </c:pt>
                <c:pt idx="34">
                  <c:v>0.16322607701592406</c:v>
                </c:pt>
                <c:pt idx="35">
                  <c:v>0.16346808951385386</c:v>
                </c:pt>
                <c:pt idx="36">
                  <c:v>0.16417043713814555</c:v>
                </c:pt>
                <c:pt idx="37">
                  <c:v>0.1652643692097899</c:v>
                </c:pt>
                <c:pt idx="38">
                  <c:v>0.16664280403574142</c:v>
                </c:pt>
                <c:pt idx="39">
                  <c:v>0.16817081081111576</c:v>
                </c:pt>
                <c:pt idx="40">
                  <c:v>0.16969881758649014</c:v>
                </c:pt>
                <c:pt idx="41">
                  <c:v>0.17107725241244162</c:v>
                </c:pt>
                <c:pt idx="42">
                  <c:v>0.17217118448408603</c:v>
                </c:pt>
                <c:pt idx="44">
                  <c:v>0.17171753386137806</c:v>
                </c:pt>
                <c:pt idx="45">
                  <c:v>0.17234023381693564</c:v>
                </c:pt>
                <c:pt idx="46">
                  <c:v>0.17255480159860534</c:v>
                </c:pt>
                <c:pt idx="47">
                  <c:v>0.17234023381693567</c:v>
                </c:pt>
                <c:pt idx="48">
                  <c:v>0.17171753386137806</c:v>
                </c:pt>
                <c:pt idx="49">
                  <c:v>0.17074765594218821</c:v>
                </c:pt>
                <c:pt idx="50">
                  <c:v>0.16952553846763324</c:v>
                </c:pt>
                <c:pt idx="51">
                  <c:v>0.16817081081111576</c:v>
                </c:pt>
                <c:pt idx="52">
                  <c:v>0.16681608315459828</c:v>
                </c:pt>
                <c:pt idx="53">
                  <c:v>0.16559396568004336</c:v>
                </c:pt>
                <c:pt idx="54">
                  <c:v>0.16462408776085349</c:v>
                </c:pt>
                <c:pt idx="55">
                  <c:v>0.16400138780529594</c:v>
                </c:pt>
                <c:pt idx="56">
                  <c:v>0.16378682002362621</c:v>
                </c:pt>
                <c:pt idx="57">
                  <c:v>0.16400138780529588</c:v>
                </c:pt>
                <c:pt idx="58">
                  <c:v>0.16462408776085349</c:v>
                </c:pt>
                <c:pt idx="59">
                  <c:v>0.16559396568004336</c:v>
                </c:pt>
                <c:pt idx="60">
                  <c:v>0.16681608315459831</c:v>
                </c:pt>
                <c:pt idx="61">
                  <c:v>0.16817081081111579</c:v>
                </c:pt>
                <c:pt idx="62">
                  <c:v>0.16952553846763324</c:v>
                </c:pt>
                <c:pt idx="63">
                  <c:v>0.17074765594218821</c:v>
                </c:pt>
                <c:pt idx="64">
                  <c:v>0.17171753386137806</c:v>
                </c:pt>
                <c:pt idx="66">
                  <c:v>0.17089271454736357</c:v>
                </c:pt>
                <c:pt idx="67">
                  <c:v>0.17137060055976822</c:v>
                </c:pt>
                <c:pt idx="68">
                  <c:v>0.17153526885732867</c:v>
                </c:pt>
                <c:pt idx="69">
                  <c:v>0.17137060055976822</c:v>
                </c:pt>
                <c:pt idx="70">
                  <c:v>0.17089271454736354</c:v>
                </c:pt>
                <c:pt idx="71">
                  <c:v>0.17014838963263648</c:v>
                </c:pt>
                <c:pt idx="72">
                  <c:v>0.1692104855242571</c:v>
                </c:pt>
                <c:pt idx="73">
                  <c:v>0.16817081081111576</c:v>
                </c:pt>
                <c:pt idx="74">
                  <c:v>0.16713113609797448</c:v>
                </c:pt>
                <c:pt idx="75">
                  <c:v>0.16619323198959507</c:v>
                </c:pt>
                <c:pt idx="76">
                  <c:v>0.16544890707486798</c:v>
                </c:pt>
                <c:pt idx="77">
                  <c:v>0.16497102106246334</c:v>
                </c:pt>
                <c:pt idx="78">
                  <c:v>0.16480635276490288</c:v>
                </c:pt>
                <c:pt idx="79">
                  <c:v>0.16497102106246331</c:v>
                </c:pt>
                <c:pt idx="80">
                  <c:v>0.16544890707486801</c:v>
                </c:pt>
                <c:pt idx="81">
                  <c:v>0.16619323198959507</c:v>
                </c:pt>
                <c:pt idx="82">
                  <c:v>0.16713113609797445</c:v>
                </c:pt>
                <c:pt idx="83">
                  <c:v>0.16817081081111576</c:v>
                </c:pt>
                <c:pt idx="84">
                  <c:v>0.16921048552425708</c:v>
                </c:pt>
                <c:pt idx="85">
                  <c:v>0.17014838963263645</c:v>
                </c:pt>
                <c:pt idx="86">
                  <c:v>0.17089271454736357</c:v>
                </c:pt>
                <c:pt idx="88">
                  <c:v>0.1694080397821375</c:v>
                </c:pt>
                <c:pt idx="89">
                  <c:v>0.16962526069686693</c:v>
                </c:pt>
                <c:pt idx="90">
                  <c:v>0.16970010992303075</c:v>
                </c:pt>
                <c:pt idx="91">
                  <c:v>0.1696252606968669</c:v>
                </c:pt>
                <c:pt idx="92">
                  <c:v>0.16940803978213748</c:v>
                </c:pt>
                <c:pt idx="93">
                  <c:v>0.16906971027544337</c:v>
                </c:pt>
                <c:pt idx="94">
                  <c:v>0.16864339022618</c:v>
                </c:pt>
                <c:pt idx="95">
                  <c:v>0.16817081081111579</c:v>
                </c:pt>
                <c:pt idx="96">
                  <c:v>0.16769823139605156</c:v>
                </c:pt>
                <c:pt idx="97">
                  <c:v>0.16727191134678818</c:v>
                </c:pt>
                <c:pt idx="98">
                  <c:v>0.16693358184009408</c:v>
                </c:pt>
                <c:pt idx="99">
                  <c:v>0.16671636092536465</c:v>
                </c:pt>
                <c:pt idx="100">
                  <c:v>0.16664151169920083</c:v>
                </c:pt>
                <c:pt idx="101">
                  <c:v>0.16671636092536468</c:v>
                </c:pt>
                <c:pt idx="102">
                  <c:v>0.16693358184009405</c:v>
                </c:pt>
                <c:pt idx="103">
                  <c:v>0.1672719113467882</c:v>
                </c:pt>
                <c:pt idx="104">
                  <c:v>0.16769823139605153</c:v>
                </c:pt>
                <c:pt idx="105">
                  <c:v>0.16817081081111579</c:v>
                </c:pt>
                <c:pt idx="106">
                  <c:v>0.16864339022618002</c:v>
                </c:pt>
                <c:pt idx="107">
                  <c:v>0.1690697102754434</c:v>
                </c:pt>
                <c:pt idx="108">
                  <c:v>0.1694080397821375</c:v>
                </c:pt>
                <c:pt idx="110">
                  <c:v>0.17217118448408603</c:v>
                </c:pt>
                <c:pt idx="111">
                  <c:v>0.17287353210837769</c:v>
                </c:pt>
                <c:pt idx="112">
                  <c:v>0.17311554460630749</c:v>
                </c:pt>
                <c:pt idx="113">
                  <c:v>0.17287353210837769</c:v>
                </c:pt>
                <c:pt idx="114">
                  <c:v>0.172171184484086</c:v>
                </c:pt>
                <c:pt idx="115">
                  <c:v>0.17107725241244165</c:v>
                </c:pt>
                <c:pt idx="116">
                  <c:v>0.16969881758649014</c:v>
                </c:pt>
                <c:pt idx="117">
                  <c:v>0.16817081081111579</c:v>
                </c:pt>
                <c:pt idx="118">
                  <c:v>0.16664280403574139</c:v>
                </c:pt>
                <c:pt idx="119">
                  <c:v>0.1652643692097899</c:v>
                </c:pt>
                <c:pt idx="120">
                  <c:v>0.16417043713814555</c:v>
                </c:pt>
                <c:pt idx="121">
                  <c:v>0.16346808951385383</c:v>
                </c:pt>
                <c:pt idx="122">
                  <c:v>0.16322607701592406</c:v>
                </c:pt>
                <c:pt idx="123">
                  <c:v>0.16346808951385386</c:v>
                </c:pt>
                <c:pt idx="124">
                  <c:v>0.16417043713814555</c:v>
                </c:pt>
                <c:pt idx="125">
                  <c:v>0.1652643692097899</c:v>
                </c:pt>
                <c:pt idx="126">
                  <c:v>0.16664280403574142</c:v>
                </c:pt>
                <c:pt idx="127">
                  <c:v>0.16817081081111576</c:v>
                </c:pt>
                <c:pt idx="128">
                  <c:v>0.16969881758649014</c:v>
                </c:pt>
                <c:pt idx="129">
                  <c:v>0.17107725241244162</c:v>
                </c:pt>
                <c:pt idx="130">
                  <c:v>0.17217118448408603</c:v>
                </c:pt>
                <c:pt idx="132">
                  <c:v>0.17171753386137806</c:v>
                </c:pt>
                <c:pt idx="133">
                  <c:v>0.17234023381693564</c:v>
                </c:pt>
                <c:pt idx="134">
                  <c:v>0.17255480159860534</c:v>
                </c:pt>
                <c:pt idx="135">
                  <c:v>0.17234023381693567</c:v>
                </c:pt>
                <c:pt idx="136">
                  <c:v>0.17171753386137806</c:v>
                </c:pt>
                <c:pt idx="137">
                  <c:v>0.17074765594218821</c:v>
                </c:pt>
                <c:pt idx="138">
                  <c:v>0.16952553846763324</c:v>
                </c:pt>
                <c:pt idx="139">
                  <c:v>0.16817081081111576</c:v>
                </c:pt>
                <c:pt idx="140">
                  <c:v>0.16681608315459828</c:v>
                </c:pt>
                <c:pt idx="141">
                  <c:v>0.16559396568004336</c:v>
                </c:pt>
                <c:pt idx="142">
                  <c:v>0.16462408776085349</c:v>
                </c:pt>
                <c:pt idx="143">
                  <c:v>0.16400138780529594</c:v>
                </c:pt>
                <c:pt idx="144">
                  <c:v>0.16378682002362621</c:v>
                </c:pt>
                <c:pt idx="145">
                  <c:v>0.16400138780529588</c:v>
                </c:pt>
                <c:pt idx="146">
                  <c:v>0.16462408776085349</c:v>
                </c:pt>
                <c:pt idx="147">
                  <c:v>0.16559396568004336</c:v>
                </c:pt>
                <c:pt idx="148">
                  <c:v>0.16681608315459831</c:v>
                </c:pt>
                <c:pt idx="149">
                  <c:v>0.16817081081111579</c:v>
                </c:pt>
                <c:pt idx="150">
                  <c:v>0.16952553846763324</c:v>
                </c:pt>
                <c:pt idx="151">
                  <c:v>0.17074765594218821</c:v>
                </c:pt>
                <c:pt idx="152">
                  <c:v>0.17171753386137806</c:v>
                </c:pt>
                <c:pt idx="154">
                  <c:v>0.17089271454736357</c:v>
                </c:pt>
                <c:pt idx="155">
                  <c:v>0.17137060055976822</c:v>
                </c:pt>
                <c:pt idx="156">
                  <c:v>0.17153526885732867</c:v>
                </c:pt>
                <c:pt idx="157">
                  <c:v>0.17137060055976822</c:v>
                </c:pt>
                <c:pt idx="158">
                  <c:v>0.17089271454736354</c:v>
                </c:pt>
                <c:pt idx="159">
                  <c:v>0.17014838963263648</c:v>
                </c:pt>
                <c:pt idx="160">
                  <c:v>0.1692104855242571</c:v>
                </c:pt>
                <c:pt idx="161">
                  <c:v>0.16817081081111576</c:v>
                </c:pt>
                <c:pt idx="162">
                  <c:v>0.16713113609797448</c:v>
                </c:pt>
                <c:pt idx="163">
                  <c:v>0.16619323198959507</c:v>
                </c:pt>
                <c:pt idx="164">
                  <c:v>0.16544890707486798</c:v>
                </c:pt>
                <c:pt idx="165">
                  <c:v>0.16497102106246334</c:v>
                </c:pt>
                <c:pt idx="166">
                  <c:v>0.16480635276490288</c:v>
                </c:pt>
                <c:pt idx="167">
                  <c:v>0.16497102106246331</c:v>
                </c:pt>
                <c:pt idx="168">
                  <c:v>0.16544890707486801</c:v>
                </c:pt>
                <c:pt idx="169">
                  <c:v>0.16619323198959507</c:v>
                </c:pt>
                <c:pt idx="170">
                  <c:v>0.16713113609797445</c:v>
                </c:pt>
                <c:pt idx="171">
                  <c:v>0.16817081081111576</c:v>
                </c:pt>
                <c:pt idx="172">
                  <c:v>0.16921048552425708</c:v>
                </c:pt>
                <c:pt idx="173">
                  <c:v>0.17014838963263645</c:v>
                </c:pt>
                <c:pt idx="174">
                  <c:v>0.17089271454736357</c:v>
                </c:pt>
                <c:pt idx="176">
                  <c:v>0.1694080397821375</c:v>
                </c:pt>
                <c:pt idx="177">
                  <c:v>0.16962526069686693</c:v>
                </c:pt>
                <c:pt idx="178">
                  <c:v>0.16970010992303075</c:v>
                </c:pt>
                <c:pt idx="179">
                  <c:v>0.1696252606968669</c:v>
                </c:pt>
                <c:pt idx="180">
                  <c:v>0.16940803978213748</c:v>
                </c:pt>
                <c:pt idx="181">
                  <c:v>0.16906971027544337</c:v>
                </c:pt>
                <c:pt idx="182">
                  <c:v>0.16864339022618</c:v>
                </c:pt>
                <c:pt idx="183">
                  <c:v>0.16817081081111579</c:v>
                </c:pt>
                <c:pt idx="184">
                  <c:v>0.16769823139605156</c:v>
                </c:pt>
                <c:pt idx="185">
                  <c:v>0.16727191134678818</c:v>
                </c:pt>
                <c:pt idx="186">
                  <c:v>0.16693358184009408</c:v>
                </c:pt>
                <c:pt idx="187">
                  <c:v>0.16671636092536465</c:v>
                </c:pt>
                <c:pt idx="188">
                  <c:v>0.16664151169920083</c:v>
                </c:pt>
                <c:pt idx="189">
                  <c:v>0.16671636092536468</c:v>
                </c:pt>
                <c:pt idx="190">
                  <c:v>0.16693358184009405</c:v>
                </c:pt>
                <c:pt idx="191">
                  <c:v>0.1672719113467882</c:v>
                </c:pt>
                <c:pt idx="192">
                  <c:v>0.16769823139605153</c:v>
                </c:pt>
                <c:pt idx="193">
                  <c:v>0.16817081081111579</c:v>
                </c:pt>
                <c:pt idx="194">
                  <c:v>0.16864339022618002</c:v>
                </c:pt>
                <c:pt idx="195">
                  <c:v>0.1690697102754434</c:v>
                </c:pt>
                <c:pt idx="196">
                  <c:v>0.1694080397821375</c:v>
                </c:pt>
                <c:pt idx="198">
                  <c:v>0.16817081081111579</c:v>
                </c:pt>
                <c:pt idx="199">
                  <c:v>0.16944522673771156</c:v>
                </c:pt>
                <c:pt idx="200">
                  <c:v>0.17059489395403432</c:v>
                </c:pt>
                <c:pt idx="201">
                  <c:v>0.17150727502274779</c:v>
                </c:pt>
                <c:pt idx="202">
                  <c:v>0.17209305972791361</c:v>
                </c:pt>
                <c:pt idx="203">
                  <c:v>0.17229490738118819</c:v>
                </c:pt>
                <c:pt idx="204">
                  <c:v>0.17209305972791361</c:v>
                </c:pt>
                <c:pt idx="205">
                  <c:v>0.17150727502274779</c:v>
                </c:pt>
                <c:pt idx="206">
                  <c:v>0.17059489395403432</c:v>
                </c:pt>
                <c:pt idx="207">
                  <c:v>0.16944522673771156</c:v>
                </c:pt>
                <c:pt idx="208">
                  <c:v>0.16817081081111579</c:v>
                </c:pt>
                <c:pt idx="209">
                  <c:v>0.16689639488451999</c:v>
                </c:pt>
                <c:pt idx="210">
                  <c:v>0.16574672766819726</c:v>
                </c:pt>
                <c:pt idx="211">
                  <c:v>0.16483434659948379</c:v>
                </c:pt>
                <c:pt idx="212">
                  <c:v>0.16424856189431794</c:v>
                </c:pt>
                <c:pt idx="213">
                  <c:v>0.16404671424104339</c:v>
                </c:pt>
                <c:pt idx="214">
                  <c:v>0.16424856189431794</c:v>
                </c:pt>
                <c:pt idx="215">
                  <c:v>0.16483434659948379</c:v>
                </c:pt>
                <c:pt idx="216">
                  <c:v>0.16574672766819726</c:v>
                </c:pt>
                <c:pt idx="217">
                  <c:v>0.16689639488451999</c:v>
                </c:pt>
                <c:pt idx="218">
                  <c:v>0.16817081081111579</c:v>
                </c:pt>
                <c:pt idx="220">
                  <c:v>0.17116714235887442</c:v>
                </c:pt>
                <c:pt idx="221">
                  <c:v>0.17102049145459236</c:v>
                </c:pt>
                <c:pt idx="222">
                  <c:v>0.17059489395403429</c:v>
                </c:pt>
                <c:pt idx="223">
                  <c:v>0.16993201030586699</c:v>
                </c:pt>
                <c:pt idx="224">
                  <c:v>0.16909672818015498</c:v>
                </c:pt>
                <c:pt idx="225">
                  <c:v>0.16817081081111579</c:v>
                </c:pt>
                <c:pt idx="226">
                  <c:v>0.16724489344207658</c:v>
                </c:pt>
                <c:pt idx="227">
                  <c:v>0.16640961131636459</c:v>
                </c:pt>
                <c:pt idx="228">
                  <c:v>0.16574672766819726</c:v>
                </c:pt>
                <c:pt idx="229">
                  <c:v>0.16532113016763919</c:v>
                </c:pt>
                <c:pt idx="230">
                  <c:v>0.16517447926335715</c:v>
                </c:pt>
                <c:pt idx="231">
                  <c:v>0.16532113016763919</c:v>
                </c:pt>
                <c:pt idx="232">
                  <c:v>0.16574672766819726</c:v>
                </c:pt>
                <c:pt idx="233">
                  <c:v>0.16640961131636459</c:v>
                </c:pt>
                <c:pt idx="234">
                  <c:v>0.16724489344207658</c:v>
                </c:pt>
                <c:pt idx="235">
                  <c:v>0.16817081081111579</c:v>
                </c:pt>
                <c:pt idx="236">
                  <c:v>0.16909672818015498</c:v>
                </c:pt>
                <c:pt idx="237">
                  <c:v>0.16993201030586699</c:v>
                </c:pt>
                <c:pt idx="238">
                  <c:v>0.17059489395403429</c:v>
                </c:pt>
                <c:pt idx="239">
                  <c:v>0.17102049145459236</c:v>
                </c:pt>
                <c:pt idx="240">
                  <c:v>0.17116714235887442</c:v>
                </c:pt>
                <c:pt idx="242">
                  <c:v>0.16817081081111579</c:v>
                </c:pt>
                <c:pt idx="243">
                  <c:v>0.16972668140532984</c:v>
                </c:pt>
                <c:pt idx="244">
                  <c:v>0.17113025254539438</c:v>
                </c:pt>
                <c:pt idx="245">
                  <c:v>0.1722441329088647</c:v>
                </c:pt>
                <c:pt idx="246">
                  <c:v>0.17295928812490347</c:v>
                </c:pt>
                <c:pt idx="247">
                  <c:v>0.17320571381818547</c:v>
                </c:pt>
                <c:pt idx="248">
                  <c:v>0.17295928812490347</c:v>
                </c:pt>
                <c:pt idx="249">
                  <c:v>0.1722441329088647</c:v>
                </c:pt>
                <c:pt idx="250">
                  <c:v>0.17113025254539438</c:v>
                </c:pt>
                <c:pt idx="251">
                  <c:v>0.16972668140532984</c:v>
                </c:pt>
                <c:pt idx="252">
                  <c:v>0.16817081081111579</c:v>
                </c:pt>
                <c:pt idx="253">
                  <c:v>0.16661494021690174</c:v>
                </c:pt>
                <c:pt idx="254">
                  <c:v>0.16521136907683717</c:v>
                </c:pt>
                <c:pt idx="255">
                  <c:v>0.16409748871336688</c:v>
                </c:pt>
                <c:pt idx="256">
                  <c:v>0.16338233349732806</c:v>
                </c:pt>
                <c:pt idx="257">
                  <c:v>0.16313590780404608</c:v>
                </c:pt>
                <c:pt idx="258">
                  <c:v>0.16338233349732806</c:v>
                </c:pt>
                <c:pt idx="259">
                  <c:v>0.16409748871336688</c:v>
                </c:pt>
                <c:pt idx="260">
                  <c:v>0.16521136907683717</c:v>
                </c:pt>
                <c:pt idx="261">
                  <c:v>0.16661494021690174</c:v>
                </c:pt>
                <c:pt idx="262">
                  <c:v>0.16817081081111579</c:v>
                </c:pt>
                <c:pt idx="264">
                  <c:v>0.16737336051625271</c:v>
                </c:pt>
                <c:pt idx="265">
                  <c:v>0.16741239051176474</c:v>
                </c:pt>
                <c:pt idx="266">
                  <c:v>0.16752565997040225</c:v>
                </c:pt>
                <c:pt idx="267">
                  <c:v>0.16770208128835895</c:v>
                </c:pt>
                <c:pt idx="268">
                  <c:v>0.16792438511783381</c:v>
                </c:pt>
                <c:pt idx="269">
                  <c:v>0.16817081081111579</c:v>
                </c:pt>
                <c:pt idx="270">
                  <c:v>0.16841723650439777</c:v>
                </c:pt>
                <c:pt idx="271">
                  <c:v>0.16863954033387257</c:v>
                </c:pt>
                <c:pt idx="272">
                  <c:v>0.16881596165182933</c:v>
                </c:pt>
                <c:pt idx="273">
                  <c:v>0.16892923111046679</c:v>
                </c:pt>
                <c:pt idx="274">
                  <c:v>0.16896826110597885</c:v>
                </c:pt>
                <c:pt idx="275">
                  <c:v>0.16892923111046679</c:v>
                </c:pt>
                <c:pt idx="276">
                  <c:v>0.16881596165182933</c:v>
                </c:pt>
                <c:pt idx="277">
                  <c:v>0.16863954033387257</c:v>
                </c:pt>
                <c:pt idx="278">
                  <c:v>0.16841723650439777</c:v>
                </c:pt>
                <c:pt idx="279">
                  <c:v>0.16817081081111579</c:v>
                </c:pt>
                <c:pt idx="280">
                  <c:v>0.16792438511783381</c:v>
                </c:pt>
                <c:pt idx="281">
                  <c:v>0.16770208128835895</c:v>
                </c:pt>
                <c:pt idx="282">
                  <c:v>0.16752565997040225</c:v>
                </c:pt>
                <c:pt idx="283">
                  <c:v>0.16741239051176474</c:v>
                </c:pt>
                <c:pt idx="284">
                  <c:v>0.16737336051625271</c:v>
                </c:pt>
              </c:numCache>
            </c:numRef>
          </c:xVal>
          <c:yVal>
            <c:numRef>
              <c:f>Planètes!$U$6:$U$290</c:f>
              <c:numCache>
                <c:formatCode>General</c:formatCode>
                <c:ptCount val="285"/>
                <c:pt idx="0">
                  <c:v>-0.13240323412528454</c:v>
                </c:pt>
                <c:pt idx="1">
                  <c:v>-0.13152833802364994</c:v>
                </c:pt>
                <c:pt idx="2">
                  <c:v>-0.13055850822402665</c:v>
                </c:pt>
                <c:pt idx="3">
                  <c:v>-0.12958867842440336</c:v>
                </c:pt>
                <c:pt idx="4">
                  <c:v>-0.12871378232276875</c:v>
                </c:pt>
                <c:pt idx="5">
                  <c:v>-0.12801946084531041</c:v>
                </c:pt>
                <c:pt idx="6">
                  <c:v>-0.12757367901586411</c:v>
                </c:pt>
                <c:pt idx="7">
                  <c:v>-0.12742007306584069</c:v>
                </c:pt>
                <c:pt idx="8">
                  <c:v>-0.12757367901586408</c:v>
                </c:pt>
                <c:pt idx="9">
                  <c:v>-0.12801946084531041</c:v>
                </c:pt>
                <c:pt idx="10">
                  <c:v>-0.12871378232276875</c:v>
                </c:pt>
                <c:pt idx="11">
                  <c:v>-0.12958867842440336</c:v>
                </c:pt>
                <c:pt idx="12">
                  <c:v>-0.13055850822402665</c:v>
                </c:pt>
                <c:pt idx="13">
                  <c:v>-0.13152833802364994</c:v>
                </c:pt>
                <c:pt idx="14">
                  <c:v>-0.13240323412528454</c:v>
                </c:pt>
                <c:pt idx="15">
                  <c:v>-0.13309755560274292</c:v>
                </c:pt>
                <c:pt idx="16">
                  <c:v>-0.13354333743218921</c:v>
                </c:pt>
                <c:pt idx="17">
                  <c:v>-0.13369694338221258</c:v>
                </c:pt>
                <c:pt idx="18">
                  <c:v>-0.13354333743218921</c:v>
                </c:pt>
                <c:pt idx="19">
                  <c:v>-0.13309755560274289</c:v>
                </c:pt>
                <c:pt idx="20">
                  <c:v>-0.13240323412528454</c:v>
                </c:pt>
                <c:pt idx="22">
                  <c:v>-0.13134363889352163</c:v>
                </c:pt>
                <c:pt idx="23">
                  <c:v>-0.13049498967493606</c:v>
                </c:pt>
                <c:pt idx="24">
                  <c:v>-0.12955425476930149</c:v>
                </c:pt>
                <c:pt idx="25">
                  <c:v>-0.12861351986366687</c:v>
                </c:pt>
                <c:pt idx="26">
                  <c:v>-0.12776487064508132</c:v>
                </c:pt>
                <c:pt idx="27">
                  <c:v>-0.12709137881194671</c:v>
                </c:pt>
                <c:pt idx="28">
                  <c:v>-0.12665897043738378</c:v>
                </c:pt>
                <c:pt idx="29">
                  <c:v>-0.12650997266586111</c:v>
                </c:pt>
                <c:pt idx="30">
                  <c:v>-0.12665897043738381</c:v>
                </c:pt>
                <c:pt idx="31">
                  <c:v>-0.12709137881194671</c:v>
                </c:pt>
                <c:pt idx="32">
                  <c:v>-0.1277648706450813</c:v>
                </c:pt>
                <c:pt idx="33">
                  <c:v>-0.1286135198636669</c:v>
                </c:pt>
                <c:pt idx="34">
                  <c:v>-0.12955425476930149</c:v>
                </c:pt>
                <c:pt idx="35">
                  <c:v>-0.13049498967493606</c:v>
                </c:pt>
                <c:pt idx="36">
                  <c:v>-0.13134363889352163</c:v>
                </c:pt>
                <c:pt idx="37">
                  <c:v>-0.13201713072665625</c:v>
                </c:pt>
                <c:pt idx="38">
                  <c:v>-0.13244953910121915</c:v>
                </c:pt>
                <c:pt idx="39">
                  <c:v>-0.13259853687274184</c:v>
                </c:pt>
                <c:pt idx="40">
                  <c:v>-0.13244953910121915</c:v>
                </c:pt>
                <c:pt idx="41">
                  <c:v>-0.13201713072665625</c:v>
                </c:pt>
                <c:pt idx="42">
                  <c:v>-0.13134363889352163</c:v>
                </c:pt>
                <c:pt idx="44">
                  <c:v>-0.13013646558965813</c:v>
                </c:pt>
                <c:pt idx="45">
                  <c:v>-0.12938405494225236</c:v>
                </c:pt>
                <c:pt idx="46">
                  <c:v>-0.12855000131457633</c:v>
                </c:pt>
                <c:pt idx="47">
                  <c:v>-0.12771594768690031</c:v>
                </c:pt>
                <c:pt idx="48">
                  <c:v>-0.12696353703949453</c:v>
                </c:pt>
                <c:pt idx="49">
                  <c:v>-0.12636642056888034</c:v>
                </c:pt>
                <c:pt idx="50">
                  <c:v>-0.1259830481955565</c:v>
                </c:pt>
                <c:pt idx="51">
                  <c:v>-0.12585094707853639</c:v>
                </c:pt>
                <c:pt idx="52">
                  <c:v>-0.12598304819555653</c:v>
                </c:pt>
                <c:pt idx="53">
                  <c:v>-0.12636642056888037</c:v>
                </c:pt>
                <c:pt idx="54">
                  <c:v>-0.12696353703949453</c:v>
                </c:pt>
                <c:pt idx="55">
                  <c:v>-0.12771594768690031</c:v>
                </c:pt>
                <c:pt idx="56">
                  <c:v>-0.12855000131457633</c:v>
                </c:pt>
                <c:pt idx="57">
                  <c:v>-0.12938405494225233</c:v>
                </c:pt>
                <c:pt idx="58">
                  <c:v>-0.13013646558965811</c:v>
                </c:pt>
                <c:pt idx="59">
                  <c:v>-0.1307335820602723</c:v>
                </c:pt>
                <c:pt idx="60">
                  <c:v>-0.13111695443359614</c:v>
                </c:pt>
                <c:pt idx="61">
                  <c:v>-0.13124905555061622</c:v>
                </c:pt>
                <c:pt idx="62">
                  <c:v>-0.13111695443359611</c:v>
                </c:pt>
                <c:pt idx="63">
                  <c:v>-0.1307335820602723</c:v>
                </c:pt>
                <c:pt idx="64">
                  <c:v>-0.13013646558965813</c:v>
                </c:pt>
                <c:pt idx="66">
                  <c:v>-0.12876326695468138</c:v>
                </c:pt>
                <c:pt idx="67">
                  <c:v>-0.12818583552760249</c:v>
                </c:pt>
                <c:pt idx="68">
                  <c:v>-0.12754574785985115</c:v>
                </c:pt>
                <c:pt idx="69">
                  <c:v>-0.12690566019209978</c:v>
                </c:pt>
                <c:pt idx="70">
                  <c:v>-0.12632822876502092</c:v>
                </c:pt>
                <c:pt idx="71">
                  <c:v>-0.12586997658989843</c:v>
                </c:pt>
                <c:pt idx="72">
                  <c:v>-0.12557576058246386</c:v>
                </c:pt>
                <c:pt idx="73">
                  <c:v>-0.12547438065544841</c:v>
                </c:pt>
                <c:pt idx="74">
                  <c:v>-0.12557576058246386</c:v>
                </c:pt>
                <c:pt idx="75">
                  <c:v>-0.12586997658989843</c:v>
                </c:pt>
                <c:pt idx="76">
                  <c:v>-0.12632822876502092</c:v>
                </c:pt>
                <c:pt idx="77">
                  <c:v>-0.12690566019209978</c:v>
                </c:pt>
                <c:pt idx="78">
                  <c:v>-0.12754574785985115</c:v>
                </c:pt>
                <c:pt idx="79">
                  <c:v>-0.12818583552760252</c:v>
                </c:pt>
                <c:pt idx="80">
                  <c:v>-0.12876326695468138</c:v>
                </c:pt>
                <c:pt idx="81">
                  <c:v>-0.1292215191298039</c:v>
                </c:pt>
                <c:pt idx="82">
                  <c:v>-0.12951573513723844</c:v>
                </c:pt>
                <c:pt idx="83">
                  <c:v>-0.12961711506425388</c:v>
                </c:pt>
                <c:pt idx="84">
                  <c:v>-0.12951573513723841</c:v>
                </c:pt>
                <c:pt idx="85">
                  <c:v>-0.12922151912980387</c:v>
                </c:pt>
                <c:pt idx="86">
                  <c:v>-0.12876326695468138</c:v>
                </c:pt>
                <c:pt idx="88">
                  <c:v>-0.12729576286644836</c:v>
                </c:pt>
                <c:pt idx="89">
                  <c:v>-0.12703329403595798</c:v>
                </c:pt>
                <c:pt idx="90">
                  <c:v>-0.12674234509607102</c:v>
                </c:pt>
                <c:pt idx="91">
                  <c:v>-0.126451396156184</c:v>
                </c:pt>
                <c:pt idx="92">
                  <c:v>-0.12618892732569365</c:v>
                </c:pt>
                <c:pt idx="93">
                  <c:v>-0.12598063088245615</c:v>
                </c:pt>
                <c:pt idx="94">
                  <c:v>-0.12584689633362223</c:v>
                </c:pt>
                <c:pt idx="95">
                  <c:v>-0.12580081454861522</c:v>
                </c:pt>
                <c:pt idx="96">
                  <c:v>-0.12584689633362223</c:v>
                </c:pt>
                <c:pt idx="97">
                  <c:v>-0.12598063088245612</c:v>
                </c:pt>
                <c:pt idx="98">
                  <c:v>-0.12618892732569365</c:v>
                </c:pt>
                <c:pt idx="99">
                  <c:v>-0.126451396156184</c:v>
                </c:pt>
                <c:pt idx="100">
                  <c:v>-0.12674234509607102</c:v>
                </c:pt>
                <c:pt idx="101">
                  <c:v>-0.12703329403595798</c:v>
                </c:pt>
                <c:pt idx="102">
                  <c:v>-0.12729576286644839</c:v>
                </c:pt>
                <c:pt idx="103">
                  <c:v>-0.12750405930968589</c:v>
                </c:pt>
                <c:pt idx="104">
                  <c:v>-0.12763779385851975</c:v>
                </c:pt>
                <c:pt idx="105">
                  <c:v>-0.12768387564352679</c:v>
                </c:pt>
                <c:pt idx="106">
                  <c:v>-0.12763779385851978</c:v>
                </c:pt>
                <c:pt idx="107">
                  <c:v>-0.12750405930968589</c:v>
                </c:pt>
                <c:pt idx="108">
                  <c:v>-0.12729576286644836</c:v>
                </c:pt>
                <c:pt idx="110">
                  <c:v>-0.13335214580297197</c:v>
                </c:pt>
                <c:pt idx="111">
                  <c:v>-0.1325034965843864</c:v>
                </c:pt>
                <c:pt idx="112">
                  <c:v>-0.13156276167875181</c:v>
                </c:pt>
                <c:pt idx="113">
                  <c:v>-0.13062202677311721</c:v>
                </c:pt>
                <c:pt idx="114">
                  <c:v>-0.12977337755453167</c:v>
                </c:pt>
                <c:pt idx="115">
                  <c:v>-0.12909988572139702</c:v>
                </c:pt>
                <c:pt idx="116">
                  <c:v>-0.12866747734683412</c:v>
                </c:pt>
                <c:pt idx="117">
                  <c:v>-0.12851847957531143</c:v>
                </c:pt>
                <c:pt idx="118">
                  <c:v>-0.12866747734683412</c:v>
                </c:pt>
                <c:pt idx="119">
                  <c:v>-0.12909988572139705</c:v>
                </c:pt>
                <c:pt idx="120">
                  <c:v>-0.12977337755453164</c:v>
                </c:pt>
                <c:pt idx="121">
                  <c:v>-0.13062202677311724</c:v>
                </c:pt>
                <c:pt idx="122">
                  <c:v>-0.13156276167875181</c:v>
                </c:pt>
                <c:pt idx="123">
                  <c:v>-0.1325034965843864</c:v>
                </c:pt>
                <c:pt idx="124">
                  <c:v>-0.13335214580297194</c:v>
                </c:pt>
                <c:pt idx="125">
                  <c:v>-0.13402563763610659</c:v>
                </c:pt>
                <c:pt idx="126">
                  <c:v>-0.13445804601066949</c:v>
                </c:pt>
                <c:pt idx="127">
                  <c:v>-0.13460704378219218</c:v>
                </c:pt>
                <c:pt idx="128">
                  <c:v>-0.13445804601066949</c:v>
                </c:pt>
                <c:pt idx="129">
                  <c:v>-0.13402563763610659</c:v>
                </c:pt>
                <c:pt idx="130">
                  <c:v>-0.13335214580297197</c:v>
                </c:pt>
                <c:pt idx="132">
                  <c:v>-0.13415347940855876</c:v>
                </c:pt>
                <c:pt idx="133">
                  <c:v>-0.13340106876115299</c:v>
                </c:pt>
                <c:pt idx="134">
                  <c:v>-0.13256701513347699</c:v>
                </c:pt>
                <c:pt idx="135">
                  <c:v>-0.13173296150580097</c:v>
                </c:pt>
                <c:pt idx="136">
                  <c:v>-0.13098055085839522</c:v>
                </c:pt>
                <c:pt idx="137">
                  <c:v>-0.13038343438778099</c:v>
                </c:pt>
                <c:pt idx="138">
                  <c:v>-0.13000006201445719</c:v>
                </c:pt>
                <c:pt idx="139">
                  <c:v>-0.12986796089743705</c:v>
                </c:pt>
                <c:pt idx="140">
                  <c:v>-0.13000006201445719</c:v>
                </c:pt>
                <c:pt idx="141">
                  <c:v>-0.13038343438778099</c:v>
                </c:pt>
                <c:pt idx="142">
                  <c:v>-0.13098055085839516</c:v>
                </c:pt>
                <c:pt idx="143">
                  <c:v>-0.13173296150580097</c:v>
                </c:pt>
                <c:pt idx="144">
                  <c:v>-0.13256701513347696</c:v>
                </c:pt>
                <c:pt idx="145">
                  <c:v>-0.13340106876115299</c:v>
                </c:pt>
                <c:pt idx="146">
                  <c:v>-0.13415347940855876</c:v>
                </c:pt>
                <c:pt idx="147">
                  <c:v>-0.13475059587917296</c:v>
                </c:pt>
                <c:pt idx="148">
                  <c:v>-0.13513396825249679</c:v>
                </c:pt>
                <c:pt idx="149">
                  <c:v>-0.13526606936951691</c:v>
                </c:pt>
                <c:pt idx="150">
                  <c:v>-0.13513396825249679</c:v>
                </c:pt>
                <c:pt idx="151">
                  <c:v>-0.13475059587917296</c:v>
                </c:pt>
                <c:pt idx="152">
                  <c:v>-0.13415347940855876</c:v>
                </c:pt>
                <c:pt idx="154">
                  <c:v>-0.13478878768303235</c:v>
                </c:pt>
                <c:pt idx="155">
                  <c:v>-0.13421135625595348</c:v>
                </c:pt>
                <c:pt idx="156">
                  <c:v>-0.13357126858820212</c:v>
                </c:pt>
                <c:pt idx="157">
                  <c:v>-0.13293118092045075</c:v>
                </c:pt>
                <c:pt idx="158">
                  <c:v>-0.13235374949337192</c:v>
                </c:pt>
                <c:pt idx="159">
                  <c:v>-0.1318954973182494</c:v>
                </c:pt>
                <c:pt idx="160">
                  <c:v>-0.13160128131081483</c:v>
                </c:pt>
                <c:pt idx="161">
                  <c:v>-0.13149990138379941</c:v>
                </c:pt>
                <c:pt idx="162">
                  <c:v>-0.13160128131081483</c:v>
                </c:pt>
                <c:pt idx="163">
                  <c:v>-0.1318954973182494</c:v>
                </c:pt>
                <c:pt idx="164">
                  <c:v>-0.13235374949337192</c:v>
                </c:pt>
                <c:pt idx="165">
                  <c:v>-0.13293118092045078</c:v>
                </c:pt>
                <c:pt idx="166">
                  <c:v>-0.13357126858820212</c:v>
                </c:pt>
                <c:pt idx="167">
                  <c:v>-0.13421135625595348</c:v>
                </c:pt>
                <c:pt idx="168">
                  <c:v>-0.13478878768303235</c:v>
                </c:pt>
                <c:pt idx="169">
                  <c:v>-0.13524703985815487</c:v>
                </c:pt>
                <c:pt idx="170">
                  <c:v>-0.13554125586558941</c:v>
                </c:pt>
                <c:pt idx="171">
                  <c:v>-0.13564263579260485</c:v>
                </c:pt>
                <c:pt idx="172">
                  <c:v>-0.13554125586558941</c:v>
                </c:pt>
                <c:pt idx="173">
                  <c:v>-0.13524703985815484</c:v>
                </c:pt>
                <c:pt idx="174">
                  <c:v>-0.13478878768303235</c:v>
                </c:pt>
                <c:pt idx="176">
                  <c:v>-0.13492808912235965</c:v>
                </c:pt>
                <c:pt idx="177">
                  <c:v>-0.13466562029186926</c:v>
                </c:pt>
                <c:pt idx="178">
                  <c:v>-0.13437467135198228</c:v>
                </c:pt>
                <c:pt idx="179">
                  <c:v>-0.13408372241209529</c:v>
                </c:pt>
                <c:pt idx="180">
                  <c:v>-0.1338212535816049</c:v>
                </c:pt>
                <c:pt idx="181">
                  <c:v>-0.13361295713836741</c:v>
                </c:pt>
                <c:pt idx="182">
                  <c:v>-0.13347922258953351</c:v>
                </c:pt>
                <c:pt idx="183">
                  <c:v>-0.13343314080452651</c:v>
                </c:pt>
                <c:pt idx="184">
                  <c:v>-0.13347922258953351</c:v>
                </c:pt>
                <c:pt idx="185">
                  <c:v>-0.13361295713836741</c:v>
                </c:pt>
                <c:pt idx="186">
                  <c:v>-0.1338212535816049</c:v>
                </c:pt>
                <c:pt idx="187">
                  <c:v>-0.13408372241209529</c:v>
                </c:pt>
                <c:pt idx="188">
                  <c:v>-0.13437467135198228</c:v>
                </c:pt>
                <c:pt idx="189">
                  <c:v>-0.13466562029186926</c:v>
                </c:pt>
                <c:pt idx="190">
                  <c:v>-0.13492808912235965</c:v>
                </c:pt>
                <c:pt idx="191">
                  <c:v>-0.13513638556559715</c:v>
                </c:pt>
                <c:pt idx="192">
                  <c:v>-0.13527012011443104</c:v>
                </c:pt>
                <c:pt idx="193">
                  <c:v>-0.13531620189943805</c:v>
                </c:pt>
                <c:pt idx="194">
                  <c:v>-0.13527012011443104</c:v>
                </c:pt>
                <c:pt idx="195">
                  <c:v>-0.13513638556559715</c:v>
                </c:pt>
                <c:pt idx="196">
                  <c:v>-0.13492808912235965</c:v>
                </c:pt>
                <c:pt idx="198">
                  <c:v>-0.12654149440512596</c:v>
                </c:pt>
                <c:pt idx="199">
                  <c:v>-0.12730815270896581</c:v>
                </c:pt>
                <c:pt idx="200">
                  <c:v>-0.12839297845717831</c:v>
                </c:pt>
                <c:pt idx="201">
                  <c:v>-0.12968978134710307</c:v>
                </c:pt>
                <c:pt idx="202">
                  <c:v>-0.13107162127651711</c:v>
                </c:pt>
                <c:pt idx="203">
                  <c:v>-0.13240323412528454</c:v>
                </c:pt>
                <c:pt idx="204">
                  <c:v>-0.13355427234987571</c:v>
                </c:pt>
                <c:pt idx="205">
                  <c:v>-0.13441206430911279</c:v>
                </c:pt>
                <c:pt idx="206">
                  <c:v>-0.13489264334943762</c:v>
                </c:pt>
                <c:pt idx="207">
                  <c:v>-0.13494896704599213</c:v>
                </c:pt>
                <c:pt idx="208">
                  <c:v>-0.13457552204292733</c:v>
                </c:pt>
                <c:pt idx="209">
                  <c:v>-0.13380886373908746</c:v>
                </c:pt>
                <c:pt idx="210">
                  <c:v>-0.13272403799087495</c:v>
                </c:pt>
                <c:pt idx="211">
                  <c:v>-0.13142723510095022</c:v>
                </c:pt>
                <c:pt idx="212">
                  <c:v>-0.13004539517153618</c:v>
                </c:pt>
                <c:pt idx="213">
                  <c:v>-0.12871378232276875</c:v>
                </c:pt>
                <c:pt idx="214">
                  <c:v>-0.12756274409817758</c:v>
                </c:pt>
                <c:pt idx="215">
                  <c:v>-0.12670495213894051</c:v>
                </c:pt>
                <c:pt idx="216">
                  <c:v>-0.12622437309861567</c:v>
                </c:pt>
                <c:pt idx="217">
                  <c:v>-0.12616804940206117</c:v>
                </c:pt>
                <c:pt idx="218">
                  <c:v>-0.12654149440512596</c:v>
                </c:pt>
                <c:pt idx="220">
                  <c:v>-0.12801946084531041</c:v>
                </c:pt>
                <c:pt idx="221">
                  <c:v>-0.12690240513263712</c:v>
                </c:pt>
                <c:pt idx="222">
                  <c:v>-0.12614323426411717</c:v>
                </c:pt>
                <c:pt idx="223">
                  <c:v>-0.12581626117381572</c:v>
                </c:pt>
                <c:pt idx="224">
                  <c:v>-0.125953492265967</c:v>
                </c:pt>
                <c:pt idx="225">
                  <c:v>-0.12654149440512596</c:v>
                </c:pt>
                <c:pt idx="226">
                  <c:v>-0.12752270984505998</c:v>
                </c:pt>
                <c:pt idx="227">
                  <c:v>-0.12880109038197829</c:v>
                </c:pt>
                <c:pt idx="228">
                  <c:v>-0.13025149922192639</c:v>
                </c:pt>
                <c:pt idx="229">
                  <c:v>-0.13173196024205758</c:v>
                </c:pt>
                <c:pt idx="230">
                  <c:v>-0.13309755560274292</c:v>
                </c:pt>
                <c:pt idx="231">
                  <c:v>-0.13421461131541618</c:v>
                </c:pt>
                <c:pt idx="232">
                  <c:v>-0.13497378218393613</c:v>
                </c:pt>
                <c:pt idx="233">
                  <c:v>-0.13530075527423757</c:v>
                </c:pt>
                <c:pt idx="234">
                  <c:v>-0.1351635241820863</c:v>
                </c:pt>
                <c:pt idx="235">
                  <c:v>-0.13457552204292733</c:v>
                </c:pt>
                <c:pt idx="236">
                  <c:v>-0.13359430660299332</c:v>
                </c:pt>
                <c:pt idx="237">
                  <c:v>-0.13231592606607503</c:v>
                </c:pt>
                <c:pt idx="238">
                  <c:v>-0.13086551722612691</c:v>
                </c:pt>
                <c:pt idx="239">
                  <c:v>-0.12938505620599572</c:v>
                </c:pt>
                <c:pt idx="240">
                  <c:v>-0.12801946084531041</c:v>
                </c:pt>
                <c:pt idx="242">
                  <c:v>-0.12654149440512596</c:v>
                </c:pt>
                <c:pt idx="243">
                  <c:v>-0.12658638624962934</c:v>
                </c:pt>
                <c:pt idx="244">
                  <c:v>-0.12702009706838785</c:v>
                </c:pt>
                <c:pt idx="245">
                  <c:v>-0.12780017222462051</c:v>
                </c:pt>
                <c:pt idx="246">
                  <c:v>-0.12885025252693197</c:v>
                </c:pt>
                <c:pt idx="247">
                  <c:v>-0.13006754879899238</c:v>
                </c:pt>
                <c:pt idx="248">
                  <c:v>-0.1313329036002906</c:v>
                </c:pt>
                <c:pt idx="249">
                  <c:v>-0.13252245518663025</c:v>
                </c:pt>
                <c:pt idx="250">
                  <c:v>-0.13351976196064719</c:v>
                </c:pt>
                <c:pt idx="251">
                  <c:v>-0.13422720058665566</c:v>
                </c:pt>
                <c:pt idx="252">
                  <c:v>-0.13457552204292733</c:v>
                </c:pt>
                <c:pt idx="253">
                  <c:v>-0.13453063019842396</c:v>
                </c:pt>
                <c:pt idx="254">
                  <c:v>-0.13409691937966545</c:v>
                </c:pt>
                <c:pt idx="255">
                  <c:v>-0.13331684422343279</c:v>
                </c:pt>
                <c:pt idx="256">
                  <c:v>-0.1322667639211213</c:v>
                </c:pt>
                <c:pt idx="257">
                  <c:v>-0.13104946764906092</c:v>
                </c:pt>
                <c:pt idx="258">
                  <c:v>-0.1297841128477627</c:v>
                </c:pt>
                <c:pt idx="259">
                  <c:v>-0.12859456126142305</c:v>
                </c:pt>
                <c:pt idx="260">
                  <c:v>-0.12759725448740611</c:v>
                </c:pt>
                <c:pt idx="261">
                  <c:v>-0.12688981586139764</c:v>
                </c:pt>
                <c:pt idx="262">
                  <c:v>-0.12654149440512596</c:v>
                </c:pt>
                <c:pt idx="264">
                  <c:v>-0.12745871241057252</c:v>
                </c:pt>
                <c:pt idx="265">
                  <c:v>-0.12636910167977736</c:v>
                </c:pt>
                <c:pt idx="266">
                  <c:v>-0.12568957925084506</c:v>
                </c:pt>
                <c:pt idx="267">
                  <c:v>-0.12548666151363069</c:v>
                </c:pt>
                <c:pt idx="268">
                  <c:v>-0.12578021147006385</c:v>
                </c:pt>
                <c:pt idx="269">
                  <c:v>-0.12654149440512596</c:v>
                </c:pt>
                <c:pt idx="270">
                  <c:v>-0.12769599064096313</c:v>
                </c:pt>
                <c:pt idx="271">
                  <c:v>-0.12913069004216327</c:v>
                </c:pt>
                <c:pt idx="272">
                  <c:v>-0.13070515423519846</c:v>
                </c:pt>
                <c:pt idx="273">
                  <c:v>-0.13226526369491731</c:v>
                </c:pt>
                <c:pt idx="274">
                  <c:v>-0.13365830403748077</c:v>
                </c:pt>
                <c:pt idx="275">
                  <c:v>-0.13474791476827591</c:v>
                </c:pt>
                <c:pt idx="276">
                  <c:v>-0.13542743719720823</c:v>
                </c:pt>
                <c:pt idx="277">
                  <c:v>-0.1356303549344226</c:v>
                </c:pt>
                <c:pt idx="278">
                  <c:v>-0.13533680497798944</c:v>
                </c:pt>
                <c:pt idx="279">
                  <c:v>-0.13457552204292733</c:v>
                </c:pt>
                <c:pt idx="280">
                  <c:v>-0.13342102580709017</c:v>
                </c:pt>
                <c:pt idx="281">
                  <c:v>-0.13198632640589003</c:v>
                </c:pt>
                <c:pt idx="282">
                  <c:v>-0.13041186221285483</c:v>
                </c:pt>
                <c:pt idx="283">
                  <c:v>-0.12885175275313596</c:v>
                </c:pt>
                <c:pt idx="284">
                  <c:v>-0.12745871241057252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DC1-4D34-853E-DDFBC45566B2}"/>
            </c:ext>
          </c:extLst>
        </c:ser>
        <c:ser>
          <c:idx val="13"/>
          <c:order val="9"/>
          <c:tx>
            <c:strRef>
              <c:f>Planètes!$V$3</c:f>
              <c:strCache>
                <c:ptCount val="1"/>
                <c:pt idx="0">
                  <c:v>Body9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Planètes!$V$6:$V$290</c:f>
              <c:numCache>
                <c:formatCode>General</c:formatCode>
                <c:ptCount val="285"/>
                <c:pt idx="0">
                  <c:v>-0.17193665000442729</c:v>
                </c:pt>
                <c:pt idx="1">
                  <c:v>-0.17093199173141591</c:v>
                </c:pt>
                <c:pt idx="2">
                  <c:v>-0.17058581008317233</c:v>
                </c:pt>
                <c:pt idx="3">
                  <c:v>-0.17093199173141591</c:v>
                </c:pt>
                <c:pt idx="4">
                  <c:v>-0.17193665000442729</c:v>
                </c:pt>
                <c:pt idx="5">
                  <c:v>-0.17350144195057821</c:v>
                </c:pt>
                <c:pt idx="6">
                  <c:v>-0.17547319483163296</c:v>
                </c:pt>
                <c:pt idx="7">
                  <c:v>-0.17765889973758367</c:v>
                </c:pt>
                <c:pt idx="8">
                  <c:v>-0.17984460464353444</c:v>
                </c:pt>
                <c:pt idx="9">
                  <c:v>-0.18181635752458913</c:v>
                </c:pt>
                <c:pt idx="10">
                  <c:v>-0.18338114947074011</c:v>
                </c:pt>
                <c:pt idx="11">
                  <c:v>-0.18438580774375143</c:v>
                </c:pt>
                <c:pt idx="12">
                  <c:v>-0.18473198939199506</c:v>
                </c:pt>
                <c:pt idx="13">
                  <c:v>-0.18438580774375146</c:v>
                </c:pt>
                <c:pt idx="14">
                  <c:v>-0.18338114947074008</c:v>
                </c:pt>
                <c:pt idx="15">
                  <c:v>-0.18181635752458913</c:v>
                </c:pt>
                <c:pt idx="16">
                  <c:v>-0.17984460464353441</c:v>
                </c:pt>
                <c:pt idx="17">
                  <c:v>-0.1776588997375837</c:v>
                </c:pt>
                <c:pt idx="18">
                  <c:v>-0.17547319483163296</c:v>
                </c:pt>
                <c:pt idx="19">
                  <c:v>-0.17350144195057821</c:v>
                </c:pt>
                <c:pt idx="20">
                  <c:v>-0.17193665000442729</c:v>
                </c:pt>
                <c:pt idx="22">
                  <c:v>-0.17210831749642197</c:v>
                </c:pt>
                <c:pt idx="23">
                  <c:v>-0.17113379897160097</c:v>
                </c:pt>
                <c:pt idx="24">
                  <c:v>-0.17079800277280469</c:v>
                </c:pt>
                <c:pt idx="25">
                  <c:v>-0.17113379897160097</c:v>
                </c:pt>
                <c:pt idx="26">
                  <c:v>-0.17210831749642194</c:v>
                </c:pt>
                <c:pt idx="27">
                  <c:v>-0.17362616568418837</c:v>
                </c:pt>
                <c:pt idx="28">
                  <c:v>-0.17553876597881146</c:v>
                </c:pt>
                <c:pt idx="29">
                  <c:v>-0.17765889973758367</c:v>
                </c:pt>
                <c:pt idx="30">
                  <c:v>-0.17977903349635591</c:v>
                </c:pt>
                <c:pt idx="31">
                  <c:v>-0.18169163379097897</c:v>
                </c:pt>
                <c:pt idx="32">
                  <c:v>-0.18320948197874543</c:v>
                </c:pt>
                <c:pt idx="33">
                  <c:v>-0.1841840005035664</c:v>
                </c:pt>
                <c:pt idx="34">
                  <c:v>-0.18451979670236271</c:v>
                </c:pt>
                <c:pt idx="35">
                  <c:v>-0.1841840005035664</c:v>
                </c:pt>
                <c:pt idx="36">
                  <c:v>-0.1832094819787454</c:v>
                </c:pt>
                <c:pt idx="37">
                  <c:v>-0.18169163379097897</c:v>
                </c:pt>
                <c:pt idx="38">
                  <c:v>-0.17977903349635588</c:v>
                </c:pt>
                <c:pt idx="39">
                  <c:v>-0.1776588997375837</c:v>
                </c:pt>
                <c:pt idx="40">
                  <c:v>-0.17553876597881149</c:v>
                </c:pt>
                <c:pt idx="41">
                  <c:v>-0.1736261656841884</c:v>
                </c:pt>
                <c:pt idx="42">
                  <c:v>-0.17210831749642197</c:v>
                </c:pt>
                <c:pt idx="44">
                  <c:v>-0.17273776496706919</c:v>
                </c:pt>
                <c:pt idx="45">
                  <c:v>-0.1718737588522794</c:v>
                </c:pt>
                <c:pt idx="46">
                  <c:v>-0.1715760426347899</c:v>
                </c:pt>
                <c:pt idx="47">
                  <c:v>-0.1718737588522794</c:v>
                </c:pt>
                <c:pt idx="48">
                  <c:v>-0.17273776496706919</c:v>
                </c:pt>
                <c:pt idx="49">
                  <c:v>-0.17408348604075896</c:v>
                </c:pt>
                <c:pt idx="50">
                  <c:v>-0.17577919351846602</c:v>
                </c:pt>
                <c:pt idx="51">
                  <c:v>-0.17765889973758367</c:v>
                </c:pt>
                <c:pt idx="52">
                  <c:v>-0.17953860595670129</c:v>
                </c:pt>
                <c:pt idx="53">
                  <c:v>-0.18123431343440838</c:v>
                </c:pt>
                <c:pt idx="54">
                  <c:v>-0.1825800345080982</c:v>
                </c:pt>
                <c:pt idx="55">
                  <c:v>-0.18344404062288797</c:v>
                </c:pt>
                <c:pt idx="56">
                  <c:v>-0.18374175684037744</c:v>
                </c:pt>
                <c:pt idx="57">
                  <c:v>-0.18344404062288794</c:v>
                </c:pt>
                <c:pt idx="58">
                  <c:v>-0.18258003450809818</c:v>
                </c:pt>
                <c:pt idx="59">
                  <c:v>-0.18123431343440835</c:v>
                </c:pt>
                <c:pt idx="60">
                  <c:v>-0.17953860595670135</c:v>
                </c:pt>
                <c:pt idx="61">
                  <c:v>-0.17765889973758367</c:v>
                </c:pt>
                <c:pt idx="62">
                  <c:v>-0.17577919351846605</c:v>
                </c:pt>
                <c:pt idx="63">
                  <c:v>-0.17408348604075899</c:v>
                </c:pt>
                <c:pt idx="64">
                  <c:v>-0.17273776496706919</c:v>
                </c:pt>
                <c:pt idx="66">
                  <c:v>-0.17388221491370046</c:v>
                </c:pt>
                <c:pt idx="67">
                  <c:v>-0.17321914045351294</c:v>
                </c:pt>
                <c:pt idx="68">
                  <c:v>-0.17299066056567219</c:v>
                </c:pt>
                <c:pt idx="69">
                  <c:v>-0.17321914045351294</c:v>
                </c:pt>
                <c:pt idx="70">
                  <c:v>-0.17388221491370046</c:v>
                </c:pt>
                <c:pt idx="71">
                  <c:v>-0.17491497759816005</c:v>
                </c:pt>
                <c:pt idx="72">
                  <c:v>-0.17621633449965621</c:v>
                </c:pt>
                <c:pt idx="73">
                  <c:v>-0.17765889973758364</c:v>
                </c:pt>
                <c:pt idx="74">
                  <c:v>-0.17910146497551116</c:v>
                </c:pt>
                <c:pt idx="75">
                  <c:v>-0.18040282187700729</c:v>
                </c:pt>
                <c:pt idx="76">
                  <c:v>-0.18143558456146691</c:v>
                </c:pt>
                <c:pt idx="77">
                  <c:v>-0.1820986590216544</c:v>
                </c:pt>
                <c:pt idx="78">
                  <c:v>-0.18232713890949517</c:v>
                </c:pt>
                <c:pt idx="79">
                  <c:v>-0.18209865902165437</c:v>
                </c:pt>
                <c:pt idx="80">
                  <c:v>-0.18143558456146691</c:v>
                </c:pt>
                <c:pt idx="81">
                  <c:v>-0.18040282187700726</c:v>
                </c:pt>
                <c:pt idx="82">
                  <c:v>-0.17910146497551116</c:v>
                </c:pt>
                <c:pt idx="83">
                  <c:v>-0.17765889973758367</c:v>
                </c:pt>
                <c:pt idx="84">
                  <c:v>-0.17621633449965621</c:v>
                </c:pt>
                <c:pt idx="85">
                  <c:v>-0.17491497759816008</c:v>
                </c:pt>
                <c:pt idx="86">
                  <c:v>-0.17388221491370046</c:v>
                </c:pt>
                <c:pt idx="88">
                  <c:v>-0.17594222481763677</c:v>
                </c:pt>
                <c:pt idx="89">
                  <c:v>-0.17564082733573336</c:v>
                </c:pt>
                <c:pt idx="90">
                  <c:v>-0.17553697284126024</c:v>
                </c:pt>
                <c:pt idx="91">
                  <c:v>-0.17564082733573333</c:v>
                </c:pt>
                <c:pt idx="92">
                  <c:v>-0.17594222481763677</c:v>
                </c:pt>
                <c:pt idx="93">
                  <c:v>-0.17641166240148201</c:v>
                </c:pt>
                <c:pt idx="94">
                  <c:v>-0.17700318826579847</c:v>
                </c:pt>
                <c:pt idx="95">
                  <c:v>-0.17765889973758367</c:v>
                </c:pt>
                <c:pt idx="96">
                  <c:v>-0.17831461120936887</c:v>
                </c:pt>
                <c:pt idx="97">
                  <c:v>-0.17890613707368533</c:v>
                </c:pt>
                <c:pt idx="98">
                  <c:v>-0.17937557465753062</c:v>
                </c:pt>
                <c:pt idx="99">
                  <c:v>-0.17967697213943401</c:v>
                </c:pt>
                <c:pt idx="100">
                  <c:v>-0.17978082663390707</c:v>
                </c:pt>
                <c:pt idx="101">
                  <c:v>-0.17967697213943401</c:v>
                </c:pt>
                <c:pt idx="102">
                  <c:v>-0.17937557465753062</c:v>
                </c:pt>
                <c:pt idx="103">
                  <c:v>-0.1789061370736853</c:v>
                </c:pt>
                <c:pt idx="104">
                  <c:v>-0.17831461120936892</c:v>
                </c:pt>
                <c:pt idx="105">
                  <c:v>-0.17765889973758367</c:v>
                </c:pt>
                <c:pt idx="106">
                  <c:v>-0.17700318826579844</c:v>
                </c:pt>
                <c:pt idx="107">
                  <c:v>-0.17641166240148204</c:v>
                </c:pt>
                <c:pt idx="108">
                  <c:v>-0.17594222481763677</c:v>
                </c:pt>
                <c:pt idx="110">
                  <c:v>-0.17210831749642197</c:v>
                </c:pt>
                <c:pt idx="111">
                  <c:v>-0.17113379897160097</c:v>
                </c:pt>
                <c:pt idx="112">
                  <c:v>-0.17079800277280469</c:v>
                </c:pt>
                <c:pt idx="113">
                  <c:v>-0.17113379897160097</c:v>
                </c:pt>
                <c:pt idx="114">
                  <c:v>-0.17210831749642194</c:v>
                </c:pt>
                <c:pt idx="115">
                  <c:v>-0.17362616568418837</c:v>
                </c:pt>
                <c:pt idx="116">
                  <c:v>-0.17553876597881146</c:v>
                </c:pt>
                <c:pt idx="117">
                  <c:v>-0.17765889973758367</c:v>
                </c:pt>
                <c:pt idx="118">
                  <c:v>-0.17977903349635591</c:v>
                </c:pt>
                <c:pt idx="119">
                  <c:v>-0.18169163379097897</c:v>
                </c:pt>
                <c:pt idx="120">
                  <c:v>-0.18320948197874543</c:v>
                </c:pt>
                <c:pt idx="121">
                  <c:v>-0.1841840005035664</c:v>
                </c:pt>
                <c:pt idx="122">
                  <c:v>-0.18451979670236271</c:v>
                </c:pt>
                <c:pt idx="123">
                  <c:v>-0.1841840005035664</c:v>
                </c:pt>
                <c:pt idx="124">
                  <c:v>-0.1832094819787454</c:v>
                </c:pt>
                <c:pt idx="125">
                  <c:v>-0.18169163379097897</c:v>
                </c:pt>
                <c:pt idx="126">
                  <c:v>-0.17977903349635588</c:v>
                </c:pt>
                <c:pt idx="127">
                  <c:v>-0.1776588997375837</c:v>
                </c:pt>
                <c:pt idx="128">
                  <c:v>-0.17553876597881149</c:v>
                </c:pt>
                <c:pt idx="129">
                  <c:v>-0.1736261656841884</c:v>
                </c:pt>
                <c:pt idx="130">
                  <c:v>-0.17210831749642197</c:v>
                </c:pt>
                <c:pt idx="132">
                  <c:v>-0.17273776496706919</c:v>
                </c:pt>
                <c:pt idx="133">
                  <c:v>-0.1718737588522794</c:v>
                </c:pt>
                <c:pt idx="134">
                  <c:v>-0.1715760426347899</c:v>
                </c:pt>
                <c:pt idx="135">
                  <c:v>-0.1718737588522794</c:v>
                </c:pt>
                <c:pt idx="136">
                  <c:v>-0.17273776496706919</c:v>
                </c:pt>
                <c:pt idx="137">
                  <c:v>-0.17408348604075896</c:v>
                </c:pt>
                <c:pt idx="138">
                  <c:v>-0.17577919351846602</c:v>
                </c:pt>
                <c:pt idx="139">
                  <c:v>-0.17765889973758367</c:v>
                </c:pt>
                <c:pt idx="140">
                  <c:v>-0.17953860595670129</c:v>
                </c:pt>
                <c:pt idx="141">
                  <c:v>-0.18123431343440838</c:v>
                </c:pt>
                <c:pt idx="142">
                  <c:v>-0.1825800345080982</c:v>
                </c:pt>
                <c:pt idx="143">
                  <c:v>-0.18344404062288797</c:v>
                </c:pt>
                <c:pt idx="144">
                  <c:v>-0.18374175684037744</c:v>
                </c:pt>
                <c:pt idx="145">
                  <c:v>-0.18344404062288794</c:v>
                </c:pt>
                <c:pt idx="146">
                  <c:v>-0.18258003450809818</c:v>
                </c:pt>
                <c:pt idx="147">
                  <c:v>-0.18123431343440835</c:v>
                </c:pt>
                <c:pt idx="148">
                  <c:v>-0.17953860595670135</c:v>
                </c:pt>
                <c:pt idx="149">
                  <c:v>-0.17765889973758367</c:v>
                </c:pt>
                <c:pt idx="150">
                  <c:v>-0.17577919351846605</c:v>
                </c:pt>
                <c:pt idx="151">
                  <c:v>-0.17408348604075899</c:v>
                </c:pt>
                <c:pt idx="152">
                  <c:v>-0.17273776496706919</c:v>
                </c:pt>
                <c:pt idx="154">
                  <c:v>-0.17388221491370046</c:v>
                </c:pt>
                <c:pt idx="155">
                  <c:v>-0.17321914045351294</c:v>
                </c:pt>
                <c:pt idx="156">
                  <c:v>-0.17299066056567219</c:v>
                </c:pt>
                <c:pt idx="157">
                  <c:v>-0.17321914045351294</c:v>
                </c:pt>
                <c:pt idx="158">
                  <c:v>-0.17388221491370046</c:v>
                </c:pt>
                <c:pt idx="159">
                  <c:v>-0.17491497759816005</c:v>
                </c:pt>
                <c:pt idx="160">
                  <c:v>-0.17621633449965621</c:v>
                </c:pt>
                <c:pt idx="161">
                  <c:v>-0.17765889973758364</c:v>
                </c:pt>
                <c:pt idx="162">
                  <c:v>-0.17910146497551116</c:v>
                </c:pt>
                <c:pt idx="163">
                  <c:v>-0.18040282187700729</c:v>
                </c:pt>
                <c:pt idx="164">
                  <c:v>-0.18143558456146691</c:v>
                </c:pt>
                <c:pt idx="165">
                  <c:v>-0.1820986590216544</c:v>
                </c:pt>
                <c:pt idx="166">
                  <c:v>-0.18232713890949517</c:v>
                </c:pt>
                <c:pt idx="167">
                  <c:v>-0.18209865902165437</c:v>
                </c:pt>
                <c:pt idx="168">
                  <c:v>-0.18143558456146691</c:v>
                </c:pt>
                <c:pt idx="169">
                  <c:v>-0.18040282187700726</c:v>
                </c:pt>
                <c:pt idx="170">
                  <c:v>-0.17910146497551116</c:v>
                </c:pt>
                <c:pt idx="171">
                  <c:v>-0.17765889973758367</c:v>
                </c:pt>
                <c:pt idx="172">
                  <c:v>-0.17621633449965621</c:v>
                </c:pt>
                <c:pt idx="173">
                  <c:v>-0.17491497759816008</c:v>
                </c:pt>
                <c:pt idx="174">
                  <c:v>-0.17388221491370046</c:v>
                </c:pt>
                <c:pt idx="176">
                  <c:v>-0.17594222481763677</c:v>
                </c:pt>
                <c:pt idx="177">
                  <c:v>-0.17564082733573336</c:v>
                </c:pt>
                <c:pt idx="178">
                  <c:v>-0.17553697284126024</c:v>
                </c:pt>
                <c:pt idx="179">
                  <c:v>-0.17564082733573333</c:v>
                </c:pt>
                <c:pt idx="180">
                  <c:v>-0.17594222481763677</c:v>
                </c:pt>
                <c:pt idx="181">
                  <c:v>-0.17641166240148201</c:v>
                </c:pt>
                <c:pt idx="182">
                  <c:v>-0.17700318826579847</c:v>
                </c:pt>
                <c:pt idx="183">
                  <c:v>-0.17765889973758367</c:v>
                </c:pt>
                <c:pt idx="184">
                  <c:v>-0.17831461120936887</c:v>
                </c:pt>
                <c:pt idx="185">
                  <c:v>-0.17890613707368533</c:v>
                </c:pt>
                <c:pt idx="186">
                  <c:v>-0.17937557465753062</c:v>
                </c:pt>
                <c:pt idx="187">
                  <c:v>-0.17967697213943401</c:v>
                </c:pt>
                <c:pt idx="188">
                  <c:v>-0.17978082663390707</c:v>
                </c:pt>
                <c:pt idx="189">
                  <c:v>-0.17967697213943401</c:v>
                </c:pt>
                <c:pt idx="190">
                  <c:v>-0.17937557465753062</c:v>
                </c:pt>
                <c:pt idx="191">
                  <c:v>-0.1789061370736853</c:v>
                </c:pt>
                <c:pt idx="192">
                  <c:v>-0.17831461120936892</c:v>
                </c:pt>
                <c:pt idx="193">
                  <c:v>-0.17765889973758367</c:v>
                </c:pt>
                <c:pt idx="194">
                  <c:v>-0.17700318826579844</c:v>
                </c:pt>
                <c:pt idx="195">
                  <c:v>-0.17641166240148204</c:v>
                </c:pt>
                <c:pt idx="196">
                  <c:v>-0.17594222481763677</c:v>
                </c:pt>
                <c:pt idx="198">
                  <c:v>-0.17765889973758367</c:v>
                </c:pt>
                <c:pt idx="199">
                  <c:v>-0.17589062732398086</c:v>
                </c:pt>
                <c:pt idx="200">
                  <c:v>-0.17429544573449979</c:v>
                </c:pt>
                <c:pt idx="201">
                  <c:v>-0.17302950245740265</c:v>
                </c:pt>
                <c:pt idx="202">
                  <c:v>-0.17221671684099707</c:v>
                </c:pt>
                <c:pt idx="203">
                  <c:v>-0.17193665000442729</c:v>
                </c:pt>
                <c:pt idx="204">
                  <c:v>-0.17221671684099707</c:v>
                </c:pt>
                <c:pt idx="205">
                  <c:v>-0.17302950245740265</c:v>
                </c:pt>
                <c:pt idx="206">
                  <c:v>-0.17429544573449979</c:v>
                </c:pt>
                <c:pt idx="207">
                  <c:v>-0.17589062732398086</c:v>
                </c:pt>
                <c:pt idx="208">
                  <c:v>-0.17765889973758367</c:v>
                </c:pt>
                <c:pt idx="209">
                  <c:v>-0.17942717215118653</c:v>
                </c:pt>
                <c:pt idx="210">
                  <c:v>-0.18102235374066755</c:v>
                </c:pt>
                <c:pt idx="211">
                  <c:v>-0.18228829701776475</c:v>
                </c:pt>
                <c:pt idx="212">
                  <c:v>-0.1831010826341703</c:v>
                </c:pt>
                <c:pt idx="213">
                  <c:v>-0.18338114947074011</c:v>
                </c:pt>
                <c:pt idx="214">
                  <c:v>-0.1831010826341703</c:v>
                </c:pt>
                <c:pt idx="215">
                  <c:v>-0.18228829701776475</c:v>
                </c:pt>
                <c:pt idx="216">
                  <c:v>-0.18102235374066758</c:v>
                </c:pt>
                <c:pt idx="217">
                  <c:v>-0.17942717215118653</c:v>
                </c:pt>
                <c:pt idx="218">
                  <c:v>-0.17765889973758367</c:v>
                </c:pt>
                <c:pt idx="220">
                  <c:v>-0.17350144195057821</c:v>
                </c:pt>
                <c:pt idx="221">
                  <c:v>-0.17370492241803009</c:v>
                </c:pt>
                <c:pt idx="222">
                  <c:v>-0.17429544573449979</c:v>
                </c:pt>
                <c:pt idx="223">
                  <c:v>-0.17521520736335336</c:v>
                </c:pt>
                <c:pt idx="224">
                  <c:v>-0.17637417462800251</c:v>
                </c:pt>
                <c:pt idx="225">
                  <c:v>-0.17765889973758367</c:v>
                </c:pt>
                <c:pt idx="226">
                  <c:v>-0.17894362484716481</c:v>
                </c:pt>
                <c:pt idx="227">
                  <c:v>-0.18010259211181398</c:v>
                </c:pt>
                <c:pt idx="228">
                  <c:v>-0.18102235374066755</c:v>
                </c:pt>
                <c:pt idx="229">
                  <c:v>-0.18161287705713725</c:v>
                </c:pt>
                <c:pt idx="230">
                  <c:v>-0.18181635752458913</c:v>
                </c:pt>
                <c:pt idx="231">
                  <c:v>-0.18161287705713725</c:v>
                </c:pt>
                <c:pt idx="232">
                  <c:v>-0.18102235374066755</c:v>
                </c:pt>
                <c:pt idx="233">
                  <c:v>-0.18010259211181398</c:v>
                </c:pt>
                <c:pt idx="234">
                  <c:v>-0.17894362484716481</c:v>
                </c:pt>
                <c:pt idx="235">
                  <c:v>-0.17765889973758367</c:v>
                </c:pt>
                <c:pt idx="236">
                  <c:v>-0.17637417462800251</c:v>
                </c:pt>
                <c:pt idx="237">
                  <c:v>-0.17521520736335336</c:v>
                </c:pt>
                <c:pt idx="238">
                  <c:v>-0.17429544573449979</c:v>
                </c:pt>
                <c:pt idx="239">
                  <c:v>-0.17370492241803009</c:v>
                </c:pt>
                <c:pt idx="240">
                  <c:v>-0.17350144195057821</c:v>
                </c:pt>
                <c:pt idx="242">
                  <c:v>-0.17765889973758367</c:v>
                </c:pt>
                <c:pt idx="243">
                  <c:v>-0.17550010448599454</c:v>
                </c:pt>
                <c:pt idx="244">
                  <c:v>-0.17355262715484193</c:v>
                </c:pt>
                <c:pt idx="245">
                  <c:v>-0.17200710039417144</c:v>
                </c:pt>
                <c:pt idx="246">
                  <c:v>-0.17101481113163569</c:v>
                </c:pt>
                <c:pt idx="247">
                  <c:v>-0.1706728915539375</c:v>
                </c:pt>
                <c:pt idx="248">
                  <c:v>-0.17101481113163569</c:v>
                </c:pt>
                <c:pt idx="249">
                  <c:v>-0.17200710039417144</c:v>
                </c:pt>
                <c:pt idx="250">
                  <c:v>-0.17355262715484193</c:v>
                </c:pt>
                <c:pt idx="251">
                  <c:v>-0.17550010448599454</c:v>
                </c:pt>
                <c:pt idx="252">
                  <c:v>-0.17765889973758367</c:v>
                </c:pt>
                <c:pt idx="253">
                  <c:v>-0.1798176949891728</c:v>
                </c:pt>
                <c:pt idx="254">
                  <c:v>-0.18176517232032541</c:v>
                </c:pt>
                <c:pt idx="255">
                  <c:v>-0.18331069908099593</c:v>
                </c:pt>
                <c:pt idx="256">
                  <c:v>-0.18430298834353165</c:v>
                </c:pt>
                <c:pt idx="257">
                  <c:v>-0.18464490792122984</c:v>
                </c:pt>
                <c:pt idx="258">
                  <c:v>-0.18430298834353165</c:v>
                </c:pt>
                <c:pt idx="259">
                  <c:v>-0.18331069908099593</c:v>
                </c:pt>
                <c:pt idx="260">
                  <c:v>-0.18176517232032541</c:v>
                </c:pt>
                <c:pt idx="261">
                  <c:v>-0.1798176949891728</c:v>
                </c:pt>
                <c:pt idx="262">
                  <c:v>-0.17765889973758367</c:v>
                </c:pt>
                <c:pt idx="264">
                  <c:v>-0.17876537473385309</c:v>
                </c:pt>
                <c:pt idx="265">
                  <c:v>-0.17871121999290338</c:v>
                </c:pt>
                <c:pt idx="266">
                  <c:v>-0.17855405681341663</c:v>
                </c:pt>
                <c:pt idx="267">
                  <c:v>-0.1783092694224212</c:v>
                </c:pt>
                <c:pt idx="268">
                  <c:v>-0.17800081931528189</c:v>
                </c:pt>
                <c:pt idx="269">
                  <c:v>-0.17765889973758367</c:v>
                </c:pt>
                <c:pt idx="270">
                  <c:v>-0.17731698015988545</c:v>
                </c:pt>
                <c:pt idx="271">
                  <c:v>-0.17700853005274614</c:v>
                </c:pt>
                <c:pt idx="272">
                  <c:v>-0.17676374266175074</c:v>
                </c:pt>
                <c:pt idx="273">
                  <c:v>-0.17660657948226396</c:v>
                </c:pt>
                <c:pt idx="274">
                  <c:v>-0.17655242474131425</c:v>
                </c:pt>
                <c:pt idx="275">
                  <c:v>-0.17660657948226396</c:v>
                </c:pt>
                <c:pt idx="276">
                  <c:v>-0.17676374266175074</c:v>
                </c:pt>
                <c:pt idx="277">
                  <c:v>-0.17700853005274614</c:v>
                </c:pt>
                <c:pt idx="278">
                  <c:v>-0.17731698015988545</c:v>
                </c:pt>
                <c:pt idx="279">
                  <c:v>-0.17765889973758367</c:v>
                </c:pt>
                <c:pt idx="280">
                  <c:v>-0.17800081931528189</c:v>
                </c:pt>
                <c:pt idx="281">
                  <c:v>-0.1783092694224212</c:v>
                </c:pt>
                <c:pt idx="282">
                  <c:v>-0.17855405681341663</c:v>
                </c:pt>
                <c:pt idx="283">
                  <c:v>-0.17871121999290338</c:v>
                </c:pt>
                <c:pt idx="284">
                  <c:v>-0.17876537473385309</c:v>
                </c:pt>
              </c:numCache>
            </c:numRef>
          </c:xVal>
          <c:yVal>
            <c:numRef>
              <c:f>Planètes!$W$6:$W$290</c:f>
              <c:numCache>
                <c:formatCode>General</c:formatCode>
                <c:ptCount val="285"/>
                <c:pt idx="0">
                  <c:v>0.28613074765001645</c:v>
                </c:pt>
                <c:pt idx="1">
                  <c:v>0.28734467993774426</c:v>
                </c:pt>
                <c:pt idx="2">
                  <c:v>0.28869033424476842</c:v>
                </c:pt>
                <c:pt idx="3">
                  <c:v>0.29003598855179258</c:v>
                </c:pt>
                <c:pt idx="4">
                  <c:v>0.29124992083952034</c:v>
                </c:pt>
                <c:pt idx="5">
                  <c:v>0.29221330295766534</c:v>
                </c:pt>
                <c:pt idx="6">
                  <c:v>0.29283183235222565</c:v>
                </c:pt>
                <c:pt idx="7">
                  <c:v>0.29304496305651395</c:v>
                </c:pt>
                <c:pt idx="8">
                  <c:v>0.29283183235222565</c:v>
                </c:pt>
                <c:pt idx="9">
                  <c:v>0.29221330295766534</c:v>
                </c:pt>
                <c:pt idx="10">
                  <c:v>0.29124992083952034</c:v>
                </c:pt>
                <c:pt idx="11">
                  <c:v>0.29003598855179258</c:v>
                </c:pt>
                <c:pt idx="12">
                  <c:v>0.28869033424476842</c:v>
                </c:pt>
                <c:pt idx="13">
                  <c:v>0.28734467993774426</c:v>
                </c:pt>
                <c:pt idx="14">
                  <c:v>0.28613074765001645</c:v>
                </c:pt>
                <c:pt idx="15">
                  <c:v>0.2851673655318715</c:v>
                </c:pt>
                <c:pt idx="16">
                  <c:v>0.28454883613731119</c:v>
                </c:pt>
                <c:pt idx="17">
                  <c:v>0.28433570543302289</c:v>
                </c:pt>
                <c:pt idx="18">
                  <c:v>0.28454883613731119</c:v>
                </c:pt>
                <c:pt idx="19">
                  <c:v>0.2851673655318715</c:v>
                </c:pt>
                <c:pt idx="20">
                  <c:v>0.28613074765001645</c:v>
                </c:pt>
                <c:pt idx="22">
                  <c:v>0.28760095292508414</c:v>
                </c:pt>
                <c:pt idx="23">
                  <c:v>0.2887784672441801</c:v>
                </c:pt>
                <c:pt idx="24">
                  <c:v>0.29008375192199354</c:v>
                </c:pt>
                <c:pt idx="25">
                  <c:v>0.29138903659980697</c:v>
                </c:pt>
                <c:pt idx="26">
                  <c:v>0.29256655091890293</c:v>
                </c:pt>
                <c:pt idx="27">
                  <c:v>0.29350103157350355</c:v>
                </c:pt>
                <c:pt idx="28">
                  <c:v>0.29410100508622705</c:v>
                </c:pt>
                <c:pt idx="29">
                  <c:v>0.29430774186938669</c:v>
                </c:pt>
                <c:pt idx="30">
                  <c:v>0.29410100508622705</c:v>
                </c:pt>
                <c:pt idx="31">
                  <c:v>0.2935010315735036</c:v>
                </c:pt>
                <c:pt idx="32">
                  <c:v>0.29256655091890293</c:v>
                </c:pt>
                <c:pt idx="33">
                  <c:v>0.29138903659980697</c:v>
                </c:pt>
                <c:pt idx="34">
                  <c:v>0.29008375192199354</c:v>
                </c:pt>
                <c:pt idx="35">
                  <c:v>0.2887784672441801</c:v>
                </c:pt>
                <c:pt idx="36">
                  <c:v>0.2876009529250842</c:v>
                </c:pt>
                <c:pt idx="37">
                  <c:v>0.28666647227048353</c:v>
                </c:pt>
                <c:pt idx="38">
                  <c:v>0.28606649875776002</c:v>
                </c:pt>
                <c:pt idx="39">
                  <c:v>0.28585976197460039</c:v>
                </c:pt>
                <c:pt idx="40">
                  <c:v>0.28606649875776002</c:v>
                </c:pt>
                <c:pt idx="41">
                  <c:v>0.28666647227048353</c:v>
                </c:pt>
                <c:pt idx="42">
                  <c:v>0.28760095292508414</c:v>
                </c:pt>
                <c:pt idx="44">
                  <c:v>0.28927592512773204</c:v>
                </c:pt>
                <c:pt idx="45">
                  <c:v>0.29031990689517795</c:v>
                </c:pt>
                <c:pt idx="46">
                  <c:v>0.29147716959921871</c:v>
                </c:pt>
                <c:pt idx="47">
                  <c:v>0.29263443230325947</c:v>
                </c:pt>
                <c:pt idx="48">
                  <c:v>0.29367841407070538</c:v>
                </c:pt>
                <c:pt idx="49">
                  <c:v>0.29450692269231005</c:v>
                </c:pt>
                <c:pt idx="50">
                  <c:v>0.29503885797163193</c:v>
                </c:pt>
                <c:pt idx="51">
                  <c:v>0.29522215037731991</c:v>
                </c:pt>
                <c:pt idx="52">
                  <c:v>0.29503885797163193</c:v>
                </c:pt>
                <c:pt idx="53">
                  <c:v>0.2945069226923101</c:v>
                </c:pt>
                <c:pt idx="54">
                  <c:v>0.29367841407070538</c:v>
                </c:pt>
                <c:pt idx="55">
                  <c:v>0.29263443230325947</c:v>
                </c:pt>
                <c:pt idx="56">
                  <c:v>0.29147716959921871</c:v>
                </c:pt>
                <c:pt idx="57">
                  <c:v>0.29031990689517795</c:v>
                </c:pt>
                <c:pt idx="58">
                  <c:v>0.28927592512773204</c:v>
                </c:pt>
                <c:pt idx="59">
                  <c:v>0.28844741650612737</c:v>
                </c:pt>
                <c:pt idx="60">
                  <c:v>0.28791548122680555</c:v>
                </c:pt>
                <c:pt idx="61">
                  <c:v>0.28773218882111756</c:v>
                </c:pt>
                <c:pt idx="62">
                  <c:v>0.28791548122680555</c:v>
                </c:pt>
                <c:pt idx="63">
                  <c:v>0.28844741650612737</c:v>
                </c:pt>
                <c:pt idx="64">
                  <c:v>0.28927592512773204</c:v>
                </c:pt>
                <c:pt idx="66">
                  <c:v>0.2911812601239076</c:v>
                </c:pt>
                <c:pt idx="67">
                  <c:v>0.29198245543380796</c:v>
                </c:pt>
                <c:pt idx="68">
                  <c:v>0.29287058727644388</c:v>
                </c:pt>
                <c:pt idx="69">
                  <c:v>0.2937587191190798</c:v>
                </c:pt>
                <c:pt idx="70">
                  <c:v>0.29455991442898016</c:v>
                </c:pt>
                <c:pt idx="71">
                  <c:v>0.2951957466269558</c:v>
                </c:pt>
                <c:pt idx="72">
                  <c:v>0.29560397602736566</c:v>
                </c:pt>
                <c:pt idx="73">
                  <c:v>0.29574464229219588</c:v>
                </c:pt>
                <c:pt idx="74">
                  <c:v>0.29560397602736566</c:v>
                </c:pt>
                <c:pt idx="75">
                  <c:v>0.2951957466269558</c:v>
                </c:pt>
                <c:pt idx="76">
                  <c:v>0.29455991442898011</c:v>
                </c:pt>
                <c:pt idx="77">
                  <c:v>0.2937587191190798</c:v>
                </c:pt>
                <c:pt idx="78">
                  <c:v>0.29287058727644388</c:v>
                </c:pt>
                <c:pt idx="79">
                  <c:v>0.29198245543380791</c:v>
                </c:pt>
                <c:pt idx="80">
                  <c:v>0.2911812601239076</c:v>
                </c:pt>
                <c:pt idx="81">
                  <c:v>0.29054542792593185</c:v>
                </c:pt>
                <c:pt idx="82">
                  <c:v>0.29013719852552211</c:v>
                </c:pt>
                <c:pt idx="83">
                  <c:v>0.28999653226069178</c:v>
                </c:pt>
                <c:pt idx="84">
                  <c:v>0.29013719852552211</c:v>
                </c:pt>
                <c:pt idx="85">
                  <c:v>0.29054542792593191</c:v>
                </c:pt>
                <c:pt idx="86">
                  <c:v>0.2911812601239076</c:v>
                </c:pt>
                <c:pt idx="88">
                  <c:v>0.29321744543979839</c:v>
                </c:pt>
                <c:pt idx="89">
                  <c:v>0.29358162512611674</c:v>
                </c:pt>
                <c:pt idx="90">
                  <c:v>0.29398532141822398</c:v>
                </c:pt>
                <c:pt idx="91">
                  <c:v>0.29438901771033121</c:v>
                </c:pt>
                <c:pt idx="92">
                  <c:v>0.29475319739664957</c:v>
                </c:pt>
                <c:pt idx="93">
                  <c:v>0.29504221203209308</c:v>
                </c:pt>
                <c:pt idx="94">
                  <c:v>0.29522777085046115</c:v>
                </c:pt>
                <c:pt idx="95">
                  <c:v>0.29529171006174765</c:v>
                </c:pt>
                <c:pt idx="96">
                  <c:v>0.29522777085046115</c:v>
                </c:pt>
                <c:pt idx="97">
                  <c:v>0.29504221203209308</c:v>
                </c:pt>
                <c:pt idx="98">
                  <c:v>0.29475319739664957</c:v>
                </c:pt>
                <c:pt idx="99">
                  <c:v>0.29438901771033121</c:v>
                </c:pt>
                <c:pt idx="100">
                  <c:v>0.29398532141822398</c:v>
                </c:pt>
                <c:pt idx="101">
                  <c:v>0.29358162512611674</c:v>
                </c:pt>
                <c:pt idx="102">
                  <c:v>0.29321744543979844</c:v>
                </c:pt>
                <c:pt idx="103">
                  <c:v>0.29292843080435493</c:v>
                </c:pt>
                <c:pt idx="104">
                  <c:v>0.29274287198598681</c:v>
                </c:pt>
                <c:pt idx="105">
                  <c:v>0.29267893277470031</c:v>
                </c:pt>
                <c:pt idx="106">
                  <c:v>0.29274287198598681</c:v>
                </c:pt>
                <c:pt idx="107">
                  <c:v>0.29292843080435493</c:v>
                </c:pt>
                <c:pt idx="108">
                  <c:v>0.29321744543979839</c:v>
                </c:pt>
                <c:pt idx="110">
                  <c:v>0.28481411757063391</c:v>
                </c:pt>
                <c:pt idx="111">
                  <c:v>0.28599163188972981</c:v>
                </c:pt>
                <c:pt idx="112">
                  <c:v>0.28729691656754325</c:v>
                </c:pt>
                <c:pt idx="113">
                  <c:v>0.28860220124535674</c:v>
                </c:pt>
                <c:pt idx="114">
                  <c:v>0.28977971556445264</c:v>
                </c:pt>
                <c:pt idx="115">
                  <c:v>0.29071419621905326</c:v>
                </c:pt>
                <c:pt idx="116">
                  <c:v>0.29131416973177676</c:v>
                </c:pt>
                <c:pt idx="117">
                  <c:v>0.29152090651493645</c:v>
                </c:pt>
                <c:pt idx="118">
                  <c:v>0.29131416973177676</c:v>
                </c:pt>
                <c:pt idx="119">
                  <c:v>0.29071419621905326</c:v>
                </c:pt>
                <c:pt idx="120">
                  <c:v>0.28977971556445264</c:v>
                </c:pt>
                <c:pt idx="121">
                  <c:v>0.28860220124535668</c:v>
                </c:pt>
                <c:pt idx="122">
                  <c:v>0.28729691656754325</c:v>
                </c:pt>
                <c:pt idx="123">
                  <c:v>0.28599163188972981</c:v>
                </c:pt>
                <c:pt idx="124">
                  <c:v>0.28481411757063391</c:v>
                </c:pt>
                <c:pt idx="125">
                  <c:v>0.28387963691603324</c:v>
                </c:pt>
                <c:pt idx="126">
                  <c:v>0.28327966340330979</c:v>
                </c:pt>
                <c:pt idx="127">
                  <c:v>0.2830729266201501</c:v>
                </c:pt>
                <c:pt idx="128">
                  <c:v>0.28327966340330979</c:v>
                </c:pt>
                <c:pt idx="129">
                  <c:v>0.28387963691603324</c:v>
                </c:pt>
                <c:pt idx="130">
                  <c:v>0.28481411757063391</c:v>
                </c:pt>
                <c:pt idx="132">
                  <c:v>0.28370225441883146</c:v>
                </c:pt>
                <c:pt idx="133">
                  <c:v>0.28474623618627731</c:v>
                </c:pt>
                <c:pt idx="134">
                  <c:v>0.28590349889031808</c:v>
                </c:pt>
                <c:pt idx="135">
                  <c:v>0.28706076159435889</c:v>
                </c:pt>
                <c:pt idx="136">
                  <c:v>0.28810474336180475</c:v>
                </c:pt>
                <c:pt idx="137">
                  <c:v>0.28893325198340947</c:v>
                </c:pt>
                <c:pt idx="138">
                  <c:v>0.28946518726273129</c:v>
                </c:pt>
                <c:pt idx="139">
                  <c:v>0.28964847966841928</c:v>
                </c:pt>
                <c:pt idx="140">
                  <c:v>0.28946518726273129</c:v>
                </c:pt>
                <c:pt idx="141">
                  <c:v>0.28893325198340947</c:v>
                </c:pt>
                <c:pt idx="142">
                  <c:v>0.28810474336180475</c:v>
                </c:pt>
                <c:pt idx="143">
                  <c:v>0.28706076159435889</c:v>
                </c:pt>
                <c:pt idx="144">
                  <c:v>0.28590349889031808</c:v>
                </c:pt>
                <c:pt idx="145">
                  <c:v>0.28474623618627731</c:v>
                </c:pt>
                <c:pt idx="146">
                  <c:v>0.2837022544188314</c:v>
                </c:pt>
                <c:pt idx="147">
                  <c:v>0.28287374579722674</c:v>
                </c:pt>
                <c:pt idx="148">
                  <c:v>0.28234181051790486</c:v>
                </c:pt>
                <c:pt idx="149">
                  <c:v>0.28215851811221693</c:v>
                </c:pt>
                <c:pt idx="150">
                  <c:v>0.28234181051790486</c:v>
                </c:pt>
                <c:pt idx="151">
                  <c:v>0.28287374579722674</c:v>
                </c:pt>
                <c:pt idx="152">
                  <c:v>0.28370225441883146</c:v>
                </c:pt>
                <c:pt idx="154">
                  <c:v>0.28282075406055668</c:v>
                </c:pt>
                <c:pt idx="155">
                  <c:v>0.28362194937045704</c:v>
                </c:pt>
                <c:pt idx="156">
                  <c:v>0.28451008121309296</c:v>
                </c:pt>
                <c:pt idx="157">
                  <c:v>0.28539821305572888</c:v>
                </c:pt>
                <c:pt idx="158">
                  <c:v>0.28619940836562924</c:v>
                </c:pt>
                <c:pt idx="159">
                  <c:v>0.28683524056360493</c:v>
                </c:pt>
                <c:pt idx="160">
                  <c:v>0.28724346996401473</c:v>
                </c:pt>
                <c:pt idx="161">
                  <c:v>0.28738413622884501</c:v>
                </c:pt>
                <c:pt idx="162">
                  <c:v>0.28724346996401473</c:v>
                </c:pt>
                <c:pt idx="163">
                  <c:v>0.28683524056360493</c:v>
                </c:pt>
                <c:pt idx="164">
                  <c:v>0.28619940836562924</c:v>
                </c:pt>
                <c:pt idx="165">
                  <c:v>0.28539821305572888</c:v>
                </c:pt>
                <c:pt idx="166">
                  <c:v>0.28451008121309296</c:v>
                </c:pt>
                <c:pt idx="167">
                  <c:v>0.28362194937045704</c:v>
                </c:pt>
                <c:pt idx="168">
                  <c:v>0.28282075406055668</c:v>
                </c:pt>
                <c:pt idx="169">
                  <c:v>0.28218492186258098</c:v>
                </c:pt>
                <c:pt idx="170">
                  <c:v>0.28177669246217119</c:v>
                </c:pt>
                <c:pt idx="171">
                  <c:v>0.28163602619734091</c:v>
                </c:pt>
                <c:pt idx="172">
                  <c:v>0.28177669246217119</c:v>
                </c:pt>
                <c:pt idx="173">
                  <c:v>0.28218492186258098</c:v>
                </c:pt>
                <c:pt idx="174">
                  <c:v>0.28282075406055668</c:v>
                </c:pt>
                <c:pt idx="176">
                  <c:v>0.28262747109288727</c:v>
                </c:pt>
                <c:pt idx="177">
                  <c:v>0.28299165077920563</c:v>
                </c:pt>
                <c:pt idx="178">
                  <c:v>0.28339534707131286</c:v>
                </c:pt>
                <c:pt idx="179">
                  <c:v>0.2837990433634201</c:v>
                </c:pt>
                <c:pt idx="180">
                  <c:v>0.2841632230497384</c:v>
                </c:pt>
                <c:pt idx="181">
                  <c:v>0.28445223768518191</c:v>
                </c:pt>
                <c:pt idx="182">
                  <c:v>0.28463779650355003</c:v>
                </c:pt>
                <c:pt idx="183">
                  <c:v>0.28470173571483648</c:v>
                </c:pt>
                <c:pt idx="184">
                  <c:v>0.28463779650355003</c:v>
                </c:pt>
                <c:pt idx="185">
                  <c:v>0.28445223768518191</c:v>
                </c:pt>
                <c:pt idx="186">
                  <c:v>0.2841632230497384</c:v>
                </c:pt>
                <c:pt idx="187">
                  <c:v>0.2837990433634201</c:v>
                </c:pt>
                <c:pt idx="188">
                  <c:v>0.28339534707131286</c:v>
                </c:pt>
                <c:pt idx="189">
                  <c:v>0.28299165077920563</c:v>
                </c:pt>
                <c:pt idx="190">
                  <c:v>0.28262747109288727</c:v>
                </c:pt>
                <c:pt idx="191">
                  <c:v>0.28233845645744376</c:v>
                </c:pt>
                <c:pt idx="192">
                  <c:v>0.28215289763907569</c:v>
                </c:pt>
                <c:pt idx="193">
                  <c:v>0.28208895842778919</c:v>
                </c:pt>
                <c:pt idx="194">
                  <c:v>0.28215289763907569</c:v>
                </c:pt>
                <c:pt idx="195">
                  <c:v>0.28233845645744376</c:v>
                </c:pt>
                <c:pt idx="196">
                  <c:v>0.28262747109288727</c:v>
                </c:pt>
                <c:pt idx="198">
                  <c:v>0.294264004953669</c:v>
                </c:pt>
                <c:pt idx="199">
                  <c:v>0.2932002543357991</c:v>
                </c:pt>
                <c:pt idx="200">
                  <c:v>0.29169504131695817</c:v>
                </c:pt>
                <c:pt idx="201">
                  <c:v>0.28989570663486608</c:v>
                </c:pt>
                <c:pt idx="202">
                  <c:v>0.28797838170490803</c:v>
                </c:pt>
                <c:pt idx="203">
                  <c:v>0.28613074765001645</c:v>
                </c:pt>
                <c:pt idx="204">
                  <c:v>0.28453366376470768</c:v>
                </c:pt>
                <c:pt idx="205">
                  <c:v>0.28334346374721353</c:v>
                </c:pt>
                <c:pt idx="206">
                  <c:v>0.28267665266785724</c:v>
                </c:pt>
                <c:pt idx="207">
                  <c:v>0.28259850264103242</c:v>
                </c:pt>
                <c:pt idx="208">
                  <c:v>0.28311666353586784</c:v>
                </c:pt>
                <c:pt idx="209">
                  <c:v>0.28418041415373774</c:v>
                </c:pt>
                <c:pt idx="210">
                  <c:v>0.28568562717257867</c:v>
                </c:pt>
                <c:pt idx="211">
                  <c:v>0.28748496185467071</c:v>
                </c:pt>
                <c:pt idx="212">
                  <c:v>0.28940228678462881</c:v>
                </c:pt>
                <c:pt idx="213">
                  <c:v>0.29124992083952034</c:v>
                </c:pt>
                <c:pt idx="214">
                  <c:v>0.29284700472482911</c:v>
                </c:pt>
                <c:pt idx="215">
                  <c:v>0.29403720474232331</c:v>
                </c:pt>
                <c:pt idx="216">
                  <c:v>0.2947040158216796</c:v>
                </c:pt>
                <c:pt idx="217">
                  <c:v>0.29478216584850442</c:v>
                </c:pt>
                <c:pt idx="218">
                  <c:v>0.294264004953669</c:v>
                </c:pt>
                <c:pt idx="220">
                  <c:v>0.29221330295766534</c:v>
                </c:pt>
                <c:pt idx="221">
                  <c:v>0.29376323556597317</c:v>
                </c:pt>
                <c:pt idx="222">
                  <c:v>0.29481659724797959</c:v>
                </c:pt>
                <c:pt idx="223">
                  <c:v>0.29527027762304747</c:v>
                </c:pt>
                <c:pt idx="224">
                  <c:v>0.29507986729508817</c:v>
                </c:pt>
                <c:pt idx="225">
                  <c:v>0.294264004953669</c:v>
                </c:pt>
                <c:pt idx="226">
                  <c:v>0.29290255288921541</c:v>
                </c:pt>
                <c:pt idx="227">
                  <c:v>0.29112877951559024</c:v>
                </c:pt>
                <c:pt idx="228">
                  <c:v>0.28911631412920991</c:v>
                </c:pt>
                <c:pt idx="229">
                  <c:v>0.28706215086376397</c:v>
                </c:pt>
                <c:pt idx="230">
                  <c:v>0.2851673655318715</c:v>
                </c:pt>
                <c:pt idx="231">
                  <c:v>0.28361743292356367</c:v>
                </c:pt>
                <c:pt idx="232">
                  <c:v>0.28256407124155725</c:v>
                </c:pt>
                <c:pt idx="233">
                  <c:v>0.28211039086648937</c:v>
                </c:pt>
                <c:pt idx="234">
                  <c:v>0.28230080119444867</c:v>
                </c:pt>
                <c:pt idx="235">
                  <c:v>0.28311666353586784</c:v>
                </c:pt>
                <c:pt idx="236">
                  <c:v>0.28447811560032144</c:v>
                </c:pt>
                <c:pt idx="237">
                  <c:v>0.2862518889739466</c:v>
                </c:pt>
                <c:pt idx="238">
                  <c:v>0.28826435436032694</c:v>
                </c:pt>
                <c:pt idx="239">
                  <c:v>0.29031851762577282</c:v>
                </c:pt>
                <c:pt idx="240">
                  <c:v>0.29221330295766534</c:v>
                </c:pt>
                <c:pt idx="242">
                  <c:v>0.294264004953669</c:v>
                </c:pt>
                <c:pt idx="243">
                  <c:v>0.2942017168038002</c:v>
                </c:pt>
                <c:pt idx="244">
                  <c:v>0.29359993612899304</c:v>
                </c:pt>
                <c:pt idx="245">
                  <c:v>0.2925175694145502</c:v>
                </c:pt>
                <c:pt idx="246">
                  <c:v>0.29106056625577381</c:v>
                </c:pt>
                <c:pt idx="247">
                  <c:v>0.28937154827338263</c:v>
                </c:pt>
                <c:pt idx="248">
                  <c:v>0.28761584831557346</c:v>
                </c:pt>
                <c:pt idx="249">
                  <c:v>0.28596532652689766</c:v>
                </c:pt>
                <c:pt idx="250">
                  <c:v>0.28458154747989217</c:v>
                </c:pt>
                <c:pt idx="251">
                  <c:v>0.28359996510903346</c:v>
                </c:pt>
                <c:pt idx="252">
                  <c:v>0.28311666353586784</c:v>
                </c:pt>
                <c:pt idx="253">
                  <c:v>0.28317895168573665</c:v>
                </c:pt>
                <c:pt idx="254">
                  <c:v>0.2837807323605438</c:v>
                </c:pt>
                <c:pt idx="255">
                  <c:v>0.28486309907498664</c:v>
                </c:pt>
                <c:pt idx="256">
                  <c:v>0.28632010223376303</c:v>
                </c:pt>
                <c:pt idx="257">
                  <c:v>0.28800912021615421</c:v>
                </c:pt>
                <c:pt idx="258">
                  <c:v>0.28976482017396338</c:v>
                </c:pt>
                <c:pt idx="259">
                  <c:v>0.29141534196263918</c:v>
                </c:pt>
                <c:pt idx="260">
                  <c:v>0.29279912100964467</c:v>
                </c:pt>
                <c:pt idx="261">
                  <c:v>0.29378070338050338</c:v>
                </c:pt>
                <c:pt idx="262">
                  <c:v>0.294264004953669</c:v>
                </c:pt>
                <c:pt idx="264">
                  <c:v>0.2929913503497491</c:v>
                </c:pt>
                <c:pt idx="265">
                  <c:v>0.2945032026082009</c:v>
                </c:pt>
                <c:pt idx="266">
                  <c:v>0.29544605081060449</c:v>
                </c:pt>
                <c:pt idx="267">
                  <c:v>0.29572760240569895</c:v>
                </c:pt>
                <c:pt idx="268">
                  <c:v>0.29532029716167119</c:v>
                </c:pt>
                <c:pt idx="269">
                  <c:v>0.294264004953669</c:v>
                </c:pt>
                <c:pt idx="270">
                  <c:v>0.29266212302263239</c:v>
                </c:pt>
                <c:pt idx="271">
                  <c:v>0.29067145473293876</c:v>
                </c:pt>
                <c:pt idx="272">
                  <c:v>0.28848686056658496</c:v>
                </c:pt>
                <c:pt idx="273">
                  <c:v>0.28632218382153624</c:v>
                </c:pt>
                <c:pt idx="274">
                  <c:v>0.28438931813978768</c:v>
                </c:pt>
                <c:pt idx="275">
                  <c:v>0.28287746588133594</c:v>
                </c:pt>
                <c:pt idx="276">
                  <c:v>0.28193461767893235</c:v>
                </c:pt>
                <c:pt idx="277">
                  <c:v>0.28165306608383789</c:v>
                </c:pt>
                <c:pt idx="278">
                  <c:v>0.28206037132786566</c:v>
                </c:pt>
                <c:pt idx="279">
                  <c:v>0.28311666353586784</c:v>
                </c:pt>
                <c:pt idx="280">
                  <c:v>0.28471854546690445</c:v>
                </c:pt>
                <c:pt idx="281">
                  <c:v>0.28670921375659808</c:v>
                </c:pt>
                <c:pt idx="282">
                  <c:v>0.28889380792295188</c:v>
                </c:pt>
                <c:pt idx="283">
                  <c:v>0.29105848466800061</c:v>
                </c:pt>
                <c:pt idx="284">
                  <c:v>0.2929913503497491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DC1-4D34-853E-DDFBC45566B2}"/>
            </c:ext>
          </c:extLst>
        </c:ser>
        <c:ser>
          <c:idx val="14"/>
          <c:order val="10"/>
          <c:tx>
            <c:strRef>
              <c:f>Planètes!$X$3</c:f>
              <c:strCache>
                <c:ptCount val="1"/>
                <c:pt idx="0">
                  <c:v>Body10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Planètes!$X$6:$X$290</c:f>
              <c:numCache>
                <c:formatCode>General</c:formatCode>
                <c:ptCount val="285"/>
                <c:pt idx="0">
                  <c:v>-6.8049837453750817E-3</c:v>
                </c:pt>
                <c:pt idx="1">
                  <c:v>-5.2884981998636282E-3</c:v>
                </c:pt>
                <c:pt idx="2">
                  <c:v>-4.765952892881592E-3</c:v>
                </c:pt>
                <c:pt idx="3">
                  <c:v>-5.2884981998636282E-3</c:v>
                </c:pt>
                <c:pt idx="4">
                  <c:v>-6.8049837453750817E-3</c:v>
                </c:pt>
                <c:pt idx="5">
                  <c:v>-9.1669653582452382E-3</c:v>
                </c:pt>
                <c:pt idx="6">
                  <c:v>-1.2143235821312715E-2</c:v>
                </c:pt>
                <c:pt idx="7">
                  <c:v>-1.5442457044756885E-2</c:v>
                </c:pt>
                <c:pt idx="8">
                  <c:v>-1.8741678268201056E-2</c:v>
                </c:pt>
                <c:pt idx="9">
                  <c:v>-2.1717948731268616E-2</c:v>
                </c:pt>
                <c:pt idx="10">
                  <c:v>-2.4079930344138745E-2</c:v>
                </c:pt>
                <c:pt idx="11">
                  <c:v>-2.5596415889650226E-2</c:v>
                </c:pt>
                <c:pt idx="12">
                  <c:v>-2.6118961196632207E-2</c:v>
                </c:pt>
                <c:pt idx="13">
                  <c:v>-2.559641588965017E-2</c:v>
                </c:pt>
                <c:pt idx="14">
                  <c:v>-2.4079930344138759E-2</c:v>
                </c:pt>
                <c:pt idx="15">
                  <c:v>-2.1717948731268602E-2</c:v>
                </c:pt>
                <c:pt idx="16">
                  <c:v>-1.8741678268201098E-2</c:v>
                </c:pt>
                <c:pt idx="17">
                  <c:v>-1.5442457044756913E-2</c:v>
                </c:pt>
                <c:pt idx="18">
                  <c:v>-1.2143235821312742E-2</c:v>
                </c:pt>
                <c:pt idx="19">
                  <c:v>-9.1669653582452382E-3</c:v>
                </c:pt>
                <c:pt idx="20">
                  <c:v>-6.8049837453750817E-3</c:v>
                </c:pt>
                <c:pt idx="22">
                  <c:v>-7.0641079443565513E-3</c:v>
                </c:pt>
                <c:pt idx="23">
                  <c:v>-5.5931169652104207E-3</c:v>
                </c:pt>
                <c:pt idx="24">
                  <c:v>-5.0862480174378166E-3</c:v>
                </c:pt>
                <c:pt idx="25">
                  <c:v>-5.5931169652103929E-3</c:v>
                </c:pt>
                <c:pt idx="26">
                  <c:v>-7.0641079443565513E-3</c:v>
                </c:pt>
                <c:pt idx="27">
                  <c:v>-9.3552301088405676E-3</c:v>
                </c:pt>
                <c:pt idx="28">
                  <c:v>-1.2242212458016072E-2</c:v>
                </c:pt>
                <c:pt idx="29">
                  <c:v>-1.5442457044756885E-2</c:v>
                </c:pt>
                <c:pt idx="30">
                  <c:v>-1.8642701631497727E-2</c:v>
                </c:pt>
                <c:pt idx="31">
                  <c:v>-2.1529683980673231E-2</c:v>
                </c:pt>
                <c:pt idx="32">
                  <c:v>-2.3820806145157303E-2</c:v>
                </c:pt>
                <c:pt idx="33">
                  <c:v>-2.529179712430342E-2</c:v>
                </c:pt>
                <c:pt idx="34">
                  <c:v>-2.5798666072075982E-2</c:v>
                </c:pt>
                <c:pt idx="35">
                  <c:v>-2.5291797124303406E-2</c:v>
                </c:pt>
                <c:pt idx="36">
                  <c:v>-2.3820806145157275E-2</c:v>
                </c:pt>
                <c:pt idx="37">
                  <c:v>-2.1529683980673245E-2</c:v>
                </c:pt>
                <c:pt idx="38">
                  <c:v>-1.8642701631497754E-2</c:v>
                </c:pt>
                <c:pt idx="39">
                  <c:v>-1.5442457044756913E-2</c:v>
                </c:pt>
                <c:pt idx="40">
                  <c:v>-1.2242212458016072E-2</c:v>
                </c:pt>
                <c:pt idx="41">
                  <c:v>-9.3552301088406092E-3</c:v>
                </c:pt>
                <c:pt idx="42">
                  <c:v>-7.0641079443565513E-3</c:v>
                </c:pt>
                <c:pt idx="44">
                  <c:v>-8.0142300072885142E-3</c:v>
                </c:pt>
                <c:pt idx="45">
                  <c:v>-6.7100524381486504E-3</c:v>
                </c:pt>
                <c:pt idx="46">
                  <c:v>-6.2606634741441125E-3</c:v>
                </c:pt>
                <c:pt idx="47">
                  <c:v>-6.7100524381486781E-3</c:v>
                </c:pt>
                <c:pt idx="48">
                  <c:v>-8.0142300072885142E-3</c:v>
                </c:pt>
                <c:pt idx="49">
                  <c:v>-1.0045534194356859E-2</c:v>
                </c:pt>
                <c:pt idx="50">
                  <c:v>-1.2605126792594928E-2</c:v>
                </c:pt>
                <c:pt idx="51">
                  <c:v>-1.5442457044756885E-2</c:v>
                </c:pt>
                <c:pt idx="52">
                  <c:v>-1.8279787296918898E-2</c:v>
                </c:pt>
                <c:pt idx="53">
                  <c:v>-2.0839379895156968E-2</c:v>
                </c:pt>
                <c:pt idx="54">
                  <c:v>-2.2870684082225284E-2</c:v>
                </c:pt>
                <c:pt idx="55">
                  <c:v>-2.4174861651365162E-2</c:v>
                </c:pt>
                <c:pt idx="56">
                  <c:v>-2.46242506153697E-2</c:v>
                </c:pt>
                <c:pt idx="57">
                  <c:v>-2.4174861651365134E-2</c:v>
                </c:pt>
                <c:pt idx="58">
                  <c:v>-2.2870684082225298E-2</c:v>
                </c:pt>
                <c:pt idx="59">
                  <c:v>-2.0839379895156968E-2</c:v>
                </c:pt>
                <c:pt idx="60">
                  <c:v>-1.8279787296918884E-2</c:v>
                </c:pt>
                <c:pt idx="61">
                  <c:v>-1.5442457044756927E-2</c:v>
                </c:pt>
                <c:pt idx="62">
                  <c:v>-1.2605126792594915E-2</c:v>
                </c:pt>
                <c:pt idx="63">
                  <c:v>-1.0045534194356845E-2</c:v>
                </c:pt>
                <c:pt idx="64">
                  <c:v>-8.0142300072885142E-3</c:v>
                </c:pt>
                <c:pt idx="66">
                  <c:v>-9.7417246671648861E-3</c:v>
                </c:pt>
                <c:pt idx="67">
                  <c:v>-8.7408442071273129E-3</c:v>
                </c:pt>
                <c:pt idx="68">
                  <c:v>-8.3959643045191934E-3</c:v>
                </c:pt>
                <c:pt idx="69">
                  <c:v>-8.7408442071273407E-3</c:v>
                </c:pt>
                <c:pt idx="70">
                  <c:v>-9.7417246671648861E-3</c:v>
                </c:pt>
                <c:pt idx="71">
                  <c:v>-1.1300632531659194E-2</c:v>
                </c:pt>
                <c:pt idx="72">
                  <c:v>-1.3264971037283801E-2</c:v>
                </c:pt>
                <c:pt idx="73">
                  <c:v>-1.5442457044756913E-2</c:v>
                </c:pt>
                <c:pt idx="74">
                  <c:v>-1.7619943052230053E-2</c:v>
                </c:pt>
                <c:pt idx="75">
                  <c:v>-1.9584281557854633E-2</c:v>
                </c:pt>
                <c:pt idx="76">
                  <c:v>-2.1143189422348913E-2</c:v>
                </c:pt>
                <c:pt idx="77">
                  <c:v>-2.21440698823865E-2</c:v>
                </c:pt>
                <c:pt idx="78">
                  <c:v>-2.2488949784994633E-2</c:v>
                </c:pt>
                <c:pt idx="79">
                  <c:v>-2.2144069882386458E-2</c:v>
                </c:pt>
                <c:pt idx="80">
                  <c:v>-2.1143189422348954E-2</c:v>
                </c:pt>
                <c:pt idx="81">
                  <c:v>-1.9584281557854633E-2</c:v>
                </c:pt>
                <c:pt idx="82">
                  <c:v>-1.7619943052230039E-2</c:v>
                </c:pt>
                <c:pt idx="83">
                  <c:v>-1.5442457044756885E-2</c:v>
                </c:pt>
                <c:pt idx="84">
                  <c:v>-1.3264971037283774E-2</c:v>
                </c:pt>
                <c:pt idx="85">
                  <c:v>-1.130063253165918E-2</c:v>
                </c:pt>
                <c:pt idx="86">
                  <c:v>-9.7417246671648861E-3</c:v>
                </c:pt>
                <c:pt idx="88">
                  <c:v>-1.2851215054942328E-2</c:v>
                </c:pt>
                <c:pt idx="89">
                  <c:v>-1.2396269391288933E-2</c:v>
                </c:pt>
                <c:pt idx="90">
                  <c:v>-1.2239505799194306E-2</c:v>
                </c:pt>
                <c:pt idx="91">
                  <c:v>-1.2396269391288905E-2</c:v>
                </c:pt>
                <c:pt idx="92">
                  <c:v>-1.2851215054942328E-2</c:v>
                </c:pt>
                <c:pt idx="93">
                  <c:v>-1.3559809538803397E-2</c:v>
                </c:pt>
                <c:pt idx="94">
                  <c:v>-1.4452690677723673E-2</c:v>
                </c:pt>
                <c:pt idx="95">
                  <c:v>-1.5442457044756913E-2</c:v>
                </c:pt>
                <c:pt idx="96">
                  <c:v>-1.6432223411790181E-2</c:v>
                </c:pt>
                <c:pt idx="97">
                  <c:v>-1.732510455071043E-2</c:v>
                </c:pt>
                <c:pt idx="98">
                  <c:v>-1.8033699034571471E-2</c:v>
                </c:pt>
                <c:pt idx="99">
                  <c:v>-1.8488644698224907E-2</c:v>
                </c:pt>
                <c:pt idx="100">
                  <c:v>-1.8645408290319535E-2</c:v>
                </c:pt>
                <c:pt idx="101">
                  <c:v>-1.8488644698224893E-2</c:v>
                </c:pt>
                <c:pt idx="102">
                  <c:v>-1.8033699034571485E-2</c:v>
                </c:pt>
                <c:pt idx="103">
                  <c:v>-1.732510455071043E-2</c:v>
                </c:pt>
                <c:pt idx="104">
                  <c:v>-1.6432223411790139E-2</c:v>
                </c:pt>
                <c:pt idx="105">
                  <c:v>-1.5442457044756885E-2</c:v>
                </c:pt>
                <c:pt idx="106">
                  <c:v>-1.4452690677723659E-2</c:v>
                </c:pt>
                <c:pt idx="107">
                  <c:v>-1.3559809538803411E-2</c:v>
                </c:pt>
                <c:pt idx="108">
                  <c:v>-1.2851215054942328E-2</c:v>
                </c:pt>
                <c:pt idx="110">
                  <c:v>-7.0641079443565513E-3</c:v>
                </c:pt>
                <c:pt idx="111">
                  <c:v>-5.5931169652104207E-3</c:v>
                </c:pt>
                <c:pt idx="112">
                  <c:v>-5.0862480174378166E-3</c:v>
                </c:pt>
                <c:pt idx="113">
                  <c:v>-5.5931169652103929E-3</c:v>
                </c:pt>
                <c:pt idx="114">
                  <c:v>-7.0641079443565513E-3</c:v>
                </c:pt>
                <c:pt idx="115">
                  <c:v>-9.3552301088405676E-3</c:v>
                </c:pt>
                <c:pt idx="116">
                  <c:v>-1.2242212458016072E-2</c:v>
                </c:pt>
                <c:pt idx="117">
                  <c:v>-1.5442457044756885E-2</c:v>
                </c:pt>
                <c:pt idx="118">
                  <c:v>-1.8642701631497727E-2</c:v>
                </c:pt>
                <c:pt idx="119">
                  <c:v>-2.1529683980673231E-2</c:v>
                </c:pt>
                <c:pt idx="120">
                  <c:v>-2.3820806145157303E-2</c:v>
                </c:pt>
                <c:pt idx="121">
                  <c:v>-2.529179712430342E-2</c:v>
                </c:pt>
                <c:pt idx="122">
                  <c:v>-2.5798666072075982E-2</c:v>
                </c:pt>
                <c:pt idx="123">
                  <c:v>-2.5291797124303406E-2</c:v>
                </c:pt>
                <c:pt idx="124">
                  <c:v>-2.3820806145157275E-2</c:v>
                </c:pt>
                <c:pt idx="125">
                  <c:v>-2.1529683980673245E-2</c:v>
                </c:pt>
                <c:pt idx="126">
                  <c:v>-1.8642701631497754E-2</c:v>
                </c:pt>
                <c:pt idx="127">
                  <c:v>-1.5442457044756913E-2</c:v>
                </c:pt>
                <c:pt idx="128">
                  <c:v>-1.2242212458016072E-2</c:v>
                </c:pt>
                <c:pt idx="129">
                  <c:v>-9.3552301088406092E-3</c:v>
                </c:pt>
                <c:pt idx="130">
                  <c:v>-7.0641079443565513E-3</c:v>
                </c:pt>
                <c:pt idx="132">
                  <c:v>-8.0142300072885142E-3</c:v>
                </c:pt>
                <c:pt idx="133">
                  <c:v>-6.7100524381486504E-3</c:v>
                </c:pt>
                <c:pt idx="134">
                  <c:v>-6.2606634741441125E-3</c:v>
                </c:pt>
                <c:pt idx="135">
                  <c:v>-6.7100524381486781E-3</c:v>
                </c:pt>
                <c:pt idx="136">
                  <c:v>-8.0142300072885142E-3</c:v>
                </c:pt>
                <c:pt idx="137">
                  <c:v>-1.0045534194356859E-2</c:v>
                </c:pt>
                <c:pt idx="138">
                  <c:v>-1.2605126792594928E-2</c:v>
                </c:pt>
                <c:pt idx="139">
                  <c:v>-1.5442457044756885E-2</c:v>
                </c:pt>
                <c:pt idx="140">
                  <c:v>-1.8279787296918898E-2</c:v>
                </c:pt>
                <c:pt idx="141">
                  <c:v>-2.0839379895156968E-2</c:v>
                </c:pt>
                <c:pt idx="142">
                  <c:v>-2.2870684082225284E-2</c:v>
                </c:pt>
                <c:pt idx="143">
                  <c:v>-2.4174861651365162E-2</c:v>
                </c:pt>
                <c:pt idx="144">
                  <c:v>-2.46242506153697E-2</c:v>
                </c:pt>
                <c:pt idx="145">
                  <c:v>-2.4174861651365134E-2</c:v>
                </c:pt>
                <c:pt idx="146">
                  <c:v>-2.2870684082225298E-2</c:v>
                </c:pt>
                <c:pt idx="147">
                  <c:v>-2.0839379895156968E-2</c:v>
                </c:pt>
                <c:pt idx="148">
                  <c:v>-1.8279787296918884E-2</c:v>
                </c:pt>
                <c:pt idx="149">
                  <c:v>-1.5442457044756927E-2</c:v>
                </c:pt>
                <c:pt idx="150">
                  <c:v>-1.2605126792594915E-2</c:v>
                </c:pt>
                <c:pt idx="151">
                  <c:v>-1.0045534194356845E-2</c:v>
                </c:pt>
                <c:pt idx="152">
                  <c:v>-8.0142300072885142E-3</c:v>
                </c:pt>
                <c:pt idx="154">
                  <c:v>-9.7417246671648861E-3</c:v>
                </c:pt>
                <c:pt idx="155">
                  <c:v>-8.7408442071273129E-3</c:v>
                </c:pt>
                <c:pt idx="156">
                  <c:v>-8.3959643045191934E-3</c:v>
                </c:pt>
                <c:pt idx="157">
                  <c:v>-8.7408442071273407E-3</c:v>
                </c:pt>
                <c:pt idx="158">
                  <c:v>-9.7417246671648861E-3</c:v>
                </c:pt>
                <c:pt idx="159">
                  <c:v>-1.1300632531659194E-2</c:v>
                </c:pt>
                <c:pt idx="160">
                  <c:v>-1.3264971037283801E-2</c:v>
                </c:pt>
                <c:pt idx="161">
                  <c:v>-1.5442457044756913E-2</c:v>
                </c:pt>
                <c:pt idx="162">
                  <c:v>-1.7619943052230053E-2</c:v>
                </c:pt>
                <c:pt idx="163">
                  <c:v>-1.9584281557854633E-2</c:v>
                </c:pt>
                <c:pt idx="164">
                  <c:v>-2.1143189422348913E-2</c:v>
                </c:pt>
                <c:pt idx="165">
                  <c:v>-2.21440698823865E-2</c:v>
                </c:pt>
                <c:pt idx="166">
                  <c:v>-2.2488949784994633E-2</c:v>
                </c:pt>
                <c:pt idx="167">
                  <c:v>-2.2144069882386458E-2</c:v>
                </c:pt>
                <c:pt idx="168">
                  <c:v>-2.1143189422348954E-2</c:v>
                </c:pt>
                <c:pt idx="169">
                  <c:v>-1.9584281557854633E-2</c:v>
                </c:pt>
                <c:pt idx="170">
                  <c:v>-1.7619943052230039E-2</c:v>
                </c:pt>
                <c:pt idx="171">
                  <c:v>-1.5442457044756885E-2</c:v>
                </c:pt>
                <c:pt idx="172">
                  <c:v>-1.3264971037283774E-2</c:v>
                </c:pt>
                <c:pt idx="173">
                  <c:v>-1.130063253165918E-2</c:v>
                </c:pt>
                <c:pt idx="174">
                  <c:v>-9.7417246671648861E-3</c:v>
                </c:pt>
                <c:pt idx="176">
                  <c:v>-1.2851215054942328E-2</c:v>
                </c:pt>
                <c:pt idx="177">
                  <c:v>-1.2396269391288933E-2</c:v>
                </c:pt>
                <c:pt idx="178">
                  <c:v>-1.2239505799194306E-2</c:v>
                </c:pt>
                <c:pt idx="179">
                  <c:v>-1.2396269391288905E-2</c:v>
                </c:pt>
                <c:pt idx="180">
                  <c:v>-1.2851215054942328E-2</c:v>
                </c:pt>
                <c:pt idx="181">
                  <c:v>-1.3559809538803397E-2</c:v>
                </c:pt>
                <c:pt idx="182">
                  <c:v>-1.4452690677723673E-2</c:v>
                </c:pt>
                <c:pt idx="183">
                  <c:v>-1.5442457044756913E-2</c:v>
                </c:pt>
                <c:pt idx="184">
                  <c:v>-1.6432223411790181E-2</c:v>
                </c:pt>
                <c:pt idx="185">
                  <c:v>-1.732510455071043E-2</c:v>
                </c:pt>
                <c:pt idx="186">
                  <c:v>-1.8033699034571471E-2</c:v>
                </c:pt>
                <c:pt idx="187">
                  <c:v>-1.8488644698224907E-2</c:v>
                </c:pt>
                <c:pt idx="188">
                  <c:v>-1.8645408290319535E-2</c:v>
                </c:pt>
                <c:pt idx="189">
                  <c:v>-1.8488644698224893E-2</c:v>
                </c:pt>
                <c:pt idx="190">
                  <c:v>-1.8033699034571485E-2</c:v>
                </c:pt>
                <c:pt idx="191">
                  <c:v>-1.732510455071043E-2</c:v>
                </c:pt>
                <c:pt idx="192">
                  <c:v>-1.6432223411790139E-2</c:v>
                </c:pt>
                <c:pt idx="193">
                  <c:v>-1.5442457044756885E-2</c:v>
                </c:pt>
                <c:pt idx="194">
                  <c:v>-1.4452690677723659E-2</c:v>
                </c:pt>
                <c:pt idx="195">
                  <c:v>-1.3559809538803411E-2</c:v>
                </c:pt>
                <c:pt idx="196">
                  <c:v>-1.2851215054942328E-2</c:v>
                </c:pt>
                <c:pt idx="198">
                  <c:v>-1.5442457044756913E-2</c:v>
                </c:pt>
                <c:pt idx="199">
                  <c:v>-1.2773331006788097E-2</c:v>
                </c:pt>
                <c:pt idx="200">
                  <c:v>-1.0365477622310271E-2</c:v>
                </c:pt>
                <c:pt idx="201">
                  <c:v>-8.4545943570971671E-3</c:v>
                </c:pt>
                <c:pt idx="202">
                  <c:v>-7.2277317790544193E-3</c:v>
                </c:pt>
                <c:pt idx="203">
                  <c:v>-6.8049837453750817E-3</c:v>
                </c:pt>
                <c:pt idx="204">
                  <c:v>-7.2277317790544193E-3</c:v>
                </c:pt>
                <c:pt idx="205">
                  <c:v>-8.4545943570971671E-3</c:v>
                </c:pt>
                <c:pt idx="206">
                  <c:v>-1.0365477622310271E-2</c:v>
                </c:pt>
                <c:pt idx="207">
                  <c:v>-1.2773331006788097E-2</c:v>
                </c:pt>
                <c:pt idx="208">
                  <c:v>-1.5442457044756913E-2</c:v>
                </c:pt>
                <c:pt idx="209">
                  <c:v>-1.8111583082725757E-2</c:v>
                </c:pt>
                <c:pt idx="210">
                  <c:v>-2.0519436467203528E-2</c:v>
                </c:pt>
                <c:pt idx="211">
                  <c:v>-2.2430319732416631E-2</c:v>
                </c:pt>
                <c:pt idx="212">
                  <c:v>-2.3657182310459407E-2</c:v>
                </c:pt>
                <c:pt idx="213">
                  <c:v>-2.4079930344138745E-2</c:v>
                </c:pt>
                <c:pt idx="214">
                  <c:v>-2.3657182310459407E-2</c:v>
                </c:pt>
                <c:pt idx="215">
                  <c:v>-2.2430319732416631E-2</c:v>
                </c:pt>
                <c:pt idx="216">
                  <c:v>-2.0519436467203528E-2</c:v>
                </c:pt>
                <c:pt idx="217">
                  <c:v>-1.8111583082725757E-2</c:v>
                </c:pt>
                <c:pt idx="218">
                  <c:v>-1.5442457044756913E-2</c:v>
                </c:pt>
                <c:pt idx="220">
                  <c:v>-9.1669653582452382E-3</c:v>
                </c:pt>
                <c:pt idx="221">
                  <c:v>-9.4741097833438981E-3</c:v>
                </c:pt>
                <c:pt idx="222">
                  <c:v>-1.0365477622310271E-2</c:v>
                </c:pt>
                <c:pt idx="223">
                  <c:v>-1.1753815580541338E-2</c:v>
                </c:pt>
                <c:pt idx="224">
                  <c:v>-1.3503223465566122E-2</c:v>
                </c:pt>
                <c:pt idx="225">
                  <c:v>-1.5442457044756913E-2</c:v>
                </c:pt>
                <c:pt idx="226">
                  <c:v>-1.7381690623947718E-2</c:v>
                </c:pt>
                <c:pt idx="227">
                  <c:v>-1.9131098508972488E-2</c:v>
                </c:pt>
                <c:pt idx="228">
                  <c:v>-2.0519436467203556E-2</c:v>
                </c:pt>
                <c:pt idx="229">
                  <c:v>-2.1410804306169914E-2</c:v>
                </c:pt>
                <c:pt idx="230">
                  <c:v>-2.1717948731268602E-2</c:v>
                </c:pt>
                <c:pt idx="231">
                  <c:v>-2.1410804306169914E-2</c:v>
                </c:pt>
                <c:pt idx="232">
                  <c:v>-2.0519436467203556E-2</c:v>
                </c:pt>
                <c:pt idx="233">
                  <c:v>-1.9131098508972488E-2</c:v>
                </c:pt>
                <c:pt idx="234">
                  <c:v>-1.7381690623947732E-2</c:v>
                </c:pt>
                <c:pt idx="235">
                  <c:v>-1.5442457044756913E-2</c:v>
                </c:pt>
                <c:pt idx="236">
                  <c:v>-1.3503223465566122E-2</c:v>
                </c:pt>
                <c:pt idx="237">
                  <c:v>-1.1753815580541338E-2</c:v>
                </c:pt>
                <c:pt idx="238">
                  <c:v>-1.0365477622310271E-2</c:v>
                </c:pt>
                <c:pt idx="239">
                  <c:v>-9.4741097833438981E-3</c:v>
                </c:pt>
                <c:pt idx="240">
                  <c:v>-9.1669653582452382E-3</c:v>
                </c:pt>
                <c:pt idx="242">
                  <c:v>-1.5442457044756913E-2</c:v>
                </c:pt>
                <c:pt idx="243">
                  <c:v>-1.2183854709317071E-2</c:v>
                </c:pt>
                <c:pt idx="244">
                  <c:v>-9.2442270744875765E-3</c:v>
                </c:pt>
                <c:pt idx="245">
                  <c:v>-6.9113253747556669E-3</c:v>
                </c:pt>
                <c:pt idx="246">
                  <c:v>-5.4135102827729265E-3</c:v>
                </c:pt>
                <c:pt idx="247">
                  <c:v>-4.8973983756340767E-3</c:v>
                </c:pt>
                <c:pt idx="248">
                  <c:v>-5.4135102827729265E-3</c:v>
                </c:pt>
                <c:pt idx="249">
                  <c:v>-6.9113253747556669E-3</c:v>
                </c:pt>
                <c:pt idx="250">
                  <c:v>-9.2442270744875765E-3</c:v>
                </c:pt>
                <c:pt idx="251">
                  <c:v>-1.2183854709317071E-2</c:v>
                </c:pt>
                <c:pt idx="252">
                  <c:v>-1.5442457044756913E-2</c:v>
                </c:pt>
                <c:pt idx="253">
                  <c:v>-1.8701059380196741E-2</c:v>
                </c:pt>
                <c:pt idx="254">
                  <c:v>-2.1640687015026222E-2</c:v>
                </c:pt>
                <c:pt idx="255">
                  <c:v>-2.3973588714758132E-2</c:v>
                </c:pt>
                <c:pt idx="256">
                  <c:v>-2.5471403806740914E-2</c:v>
                </c:pt>
                <c:pt idx="257">
                  <c:v>-2.598751571387975E-2</c:v>
                </c:pt>
                <c:pt idx="258">
                  <c:v>-2.5471403806740914E-2</c:v>
                </c:pt>
                <c:pt idx="259">
                  <c:v>-2.3973588714758132E-2</c:v>
                </c:pt>
                <c:pt idx="260">
                  <c:v>-2.1640687015026222E-2</c:v>
                </c:pt>
                <c:pt idx="261">
                  <c:v>-1.8701059380196741E-2</c:v>
                </c:pt>
                <c:pt idx="262">
                  <c:v>-1.5442457044756913E-2</c:v>
                </c:pt>
                <c:pt idx="264">
                  <c:v>-1.7112630260255335E-2</c:v>
                </c:pt>
                <c:pt idx="265">
                  <c:v>-1.7030886164698333E-2</c:v>
                </c:pt>
                <c:pt idx="266">
                  <c:v>-1.679365555964496E-2</c:v>
                </c:pt>
                <c:pt idx="267">
                  <c:v>-1.6424160229600776E-2</c:v>
                </c:pt>
                <c:pt idx="268">
                  <c:v>-1.5958568951895791E-2</c:v>
                </c:pt>
                <c:pt idx="269">
                  <c:v>-1.5442457044756913E-2</c:v>
                </c:pt>
                <c:pt idx="270">
                  <c:v>-1.4926345137618022E-2</c:v>
                </c:pt>
                <c:pt idx="271">
                  <c:v>-1.4460753859913023E-2</c:v>
                </c:pt>
                <c:pt idx="272">
                  <c:v>-1.4091258529868839E-2</c:v>
                </c:pt>
                <c:pt idx="273">
                  <c:v>-1.3854027924815507E-2</c:v>
                </c:pt>
                <c:pt idx="274">
                  <c:v>-1.3772283829258491E-2</c:v>
                </c:pt>
                <c:pt idx="275">
                  <c:v>-1.3854027924815507E-2</c:v>
                </c:pt>
                <c:pt idx="276">
                  <c:v>-1.4091258529868839E-2</c:v>
                </c:pt>
                <c:pt idx="277">
                  <c:v>-1.4460753859913023E-2</c:v>
                </c:pt>
                <c:pt idx="278">
                  <c:v>-1.4926345137618022E-2</c:v>
                </c:pt>
                <c:pt idx="279">
                  <c:v>-1.5442457044756913E-2</c:v>
                </c:pt>
                <c:pt idx="280">
                  <c:v>-1.5958568951895791E-2</c:v>
                </c:pt>
                <c:pt idx="281">
                  <c:v>-1.6424160229600776E-2</c:v>
                </c:pt>
                <c:pt idx="282">
                  <c:v>-1.679365555964496E-2</c:v>
                </c:pt>
                <c:pt idx="283">
                  <c:v>-1.7030886164698333E-2</c:v>
                </c:pt>
                <c:pt idx="284">
                  <c:v>-1.7112630260255335E-2</c:v>
                </c:pt>
              </c:numCache>
            </c:numRef>
          </c:xVal>
          <c:yVal>
            <c:numRef>
              <c:f>Planètes!$Y$6:$Y$290</c:f>
              <c:numCache>
                <c:formatCode>General</c:formatCode>
                <c:ptCount val="285"/>
                <c:pt idx="0">
                  <c:v>0.28870627756293921</c:v>
                </c:pt>
                <c:pt idx="1">
                  <c:v>0.29053865262719952</c:v>
                </c:pt>
                <c:pt idx="2">
                  <c:v>0.29256985603305086</c:v>
                </c:pt>
                <c:pt idx="3">
                  <c:v>0.29460105943890225</c:v>
                </c:pt>
                <c:pt idx="4">
                  <c:v>0.29643343450316256</c:v>
                </c:pt>
                <c:pt idx="5">
                  <c:v>0.29788761558763427</c:v>
                </c:pt>
                <c:pt idx="6">
                  <c:v>0.29882125731589387</c:v>
                </c:pt>
                <c:pt idx="7">
                  <c:v>0.29914296833051496</c:v>
                </c:pt>
                <c:pt idx="8">
                  <c:v>0.29882125731589387</c:v>
                </c:pt>
                <c:pt idx="9">
                  <c:v>0.29788761558763427</c:v>
                </c:pt>
                <c:pt idx="10">
                  <c:v>0.29643343450316256</c:v>
                </c:pt>
                <c:pt idx="11">
                  <c:v>0.29460105943890225</c:v>
                </c:pt>
                <c:pt idx="12">
                  <c:v>0.29256985603305086</c:v>
                </c:pt>
                <c:pt idx="13">
                  <c:v>0.29053865262719952</c:v>
                </c:pt>
                <c:pt idx="14">
                  <c:v>0.28870627756293915</c:v>
                </c:pt>
                <c:pt idx="15">
                  <c:v>0.28725209647846744</c:v>
                </c:pt>
                <c:pt idx="16">
                  <c:v>0.28631845475020784</c:v>
                </c:pt>
                <c:pt idx="17">
                  <c:v>0.28599674373558681</c:v>
                </c:pt>
                <c:pt idx="18">
                  <c:v>0.28631845475020784</c:v>
                </c:pt>
                <c:pt idx="19">
                  <c:v>0.28725209647846744</c:v>
                </c:pt>
                <c:pt idx="20">
                  <c:v>0.28870627756293921</c:v>
                </c:pt>
                <c:pt idx="22">
                  <c:v>0.29092548493769371</c:v>
                </c:pt>
                <c:pt idx="23">
                  <c:v>0.29270288875002626</c:v>
                </c:pt>
                <c:pt idx="24">
                  <c:v>0.29467315605370203</c:v>
                </c:pt>
                <c:pt idx="25">
                  <c:v>0.29664342335737781</c:v>
                </c:pt>
                <c:pt idx="26">
                  <c:v>0.29842082716971036</c:v>
                </c:pt>
                <c:pt idx="27">
                  <c:v>0.29983138282164795</c:v>
                </c:pt>
                <c:pt idx="28">
                  <c:v>0.3007370152980598</c:v>
                </c:pt>
                <c:pt idx="29">
                  <c:v>0.3010490749822422</c:v>
                </c:pt>
                <c:pt idx="30">
                  <c:v>0.30073701529805974</c:v>
                </c:pt>
                <c:pt idx="31">
                  <c:v>0.29983138282164795</c:v>
                </c:pt>
                <c:pt idx="32">
                  <c:v>0.29842082716971041</c:v>
                </c:pt>
                <c:pt idx="33">
                  <c:v>0.29664342335737781</c:v>
                </c:pt>
                <c:pt idx="34">
                  <c:v>0.29467315605370203</c:v>
                </c:pt>
                <c:pt idx="35">
                  <c:v>0.2927028887500262</c:v>
                </c:pt>
                <c:pt idx="36">
                  <c:v>0.29092548493769371</c:v>
                </c:pt>
                <c:pt idx="37">
                  <c:v>0.28951492928575612</c:v>
                </c:pt>
                <c:pt idx="38">
                  <c:v>0.28860929680934433</c:v>
                </c:pt>
                <c:pt idx="39">
                  <c:v>0.28829723712516186</c:v>
                </c:pt>
                <c:pt idx="40">
                  <c:v>0.28860929680934433</c:v>
                </c:pt>
                <c:pt idx="41">
                  <c:v>0.28951492928575617</c:v>
                </c:pt>
                <c:pt idx="42">
                  <c:v>0.29092548493769371</c:v>
                </c:pt>
                <c:pt idx="44">
                  <c:v>0.29345377859005711</c:v>
                </c:pt>
                <c:pt idx="45">
                  <c:v>0.295029621145321</c:v>
                </c:pt>
                <c:pt idx="46">
                  <c:v>0.29677645607435316</c:v>
                </c:pt>
                <c:pt idx="47">
                  <c:v>0.29852329100338532</c:v>
                </c:pt>
                <c:pt idx="48">
                  <c:v>0.3000991335586492</c:v>
                </c:pt>
                <c:pt idx="49">
                  <c:v>0.30134972929129489</c:v>
                </c:pt>
                <c:pt idx="50">
                  <c:v>0.30215266117759815</c:v>
                </c:pt>
                <c:pt idx="51">
                  <c:v>0.30242933265017224</c:v>
                </c:pt>
                <c:pt idx="52">
                  <c:v>0.30215266117759815</c:v>
                </c:pt>
                <c:pt idx="53">
                  <c:v>0.30134972929129489</c:v>
                </c:pt>
                <c:pt idx="54">
                  <c:v>0.3000991335586492</c:v>
                </c:pt>
                <c:pt idx="55">
                  <c:v>0.29852329100338532</c:v>
                </c:pt>
                <c:pt idx="56">
                  <c:v>0.29677645607435316</c:v>
                </c:pt>
                <c:pt idx="57">
                  <c:v>0.29502962114532094</c:v>
                </c:pt>
                <c:pt idx="58">
                  <c:v>0.29345377859005711</c:v>
                </c:pt>
                <c:pt idx="59">
                  <c:v>0.29220318285741143</c:v>
                </c:pt>
                <c:pt idx="60">
                  <c:v>0.29140025097110811</c:v>
                </c:pt>
                <c:pt idx="61">
                  <c:v>0.29112357949853401</c:v>
                </c:pt>
                <c:pt idx="62">
                  <c:v>0.29140025097110817</c:v>
                </c:pt>
                <c:pt idx="63">
                  <c:v>0.29220318285741143</c:v>
                </c:pt>
                <c:pt idx="64">
                  <c:v>0.29345377859005711</c:v>
                </c:pt>
                <c:pt idx="66">
                  <c:v>0.29632979430473061</c:v>
                </c:pt>
                <c:pt idx="67">
                  <c:v>0.29753916184714241</c:v>
                </c:pt>
                <c:pt idx="68">
                  <c:v>0.29887975609500428</c:v>
                </c:pt>
                <c:pt idx="69">
                  <c:v>0.3002203503428662</c:v>
                </c:pt>
                <c:pt idx="70">
                  <c:v>0.30142971788527806</c:v>
                </c:pt>
                <c:pt idx="71">
                  <c:v>0.30238947740102939</c:v>
                </c:pt>
                <c:pt idx="72">
                  <c:v>0.30300568094168068</c:v>
                </c:pt>
                <c:pt idx="73">
                  <c:v>0.30321801021133055</c:v>
                </c:pt>
                <c:pt idx="74">
                  <c:v>0.30300568094168068</c:v>
                </c:pt>
                <c:pt idx="75">
                  <c:v>0.30238947740102939</c:v>
                </c:pt>
                <c:pt idx="76">
                  <c:v>0.30142971788527806</c:v>
                </c:pt>
                <c:pt idx="77">
                  <c:v>0.3002203503428662</c:v>
                </c:pt>
                <c:pt idx="78">
                  <c:v>0.29887975609500428</c:v>
                </c:pt>
                <c:pt idx="79">
                  <c:v>0.29753916184714246</c:v>
                </c:pt>
                <c:pt idx="80">
                  <c:v>0.29632979430473061</c:v>
                </c:pt>
                <c:pt idx="81">
                  <c:v>0.29537003478897927</c:v>
                </c:pt>
                <c:pt idx="82">
                  <c:v>0.29475383124832788</c:v>
                </c:pt>
                <c:pt idx="83">
                  <c:v>0.29454150197867801</c:v>
                </c:pt>
                <c:pt idx="84">
                  <c:v>0.29475383124832788</c:v>
                </c:pt>
                <c:pt idx="85">
                  <c:v>0.29537003478897927</c:v>
                </c:pt>
                <c:pt idx="86">
                  <c:v>0.29632979430473061</c:v>
                </c:pt>
                <c:pt idx="88">
                  <c:v>0.29940332257049174</c:v>
                </c:pt>
                <c:pt idx="89">
                  <c:v>0.29995303508976978</c:v>
                </c:pt>
                <c:pt idx="90">
                  <c:v>0.30056239611152524</c:v>
                </c:pt>
                <c:pt idx="91">
                  <c:v>0.30117175713328059</c:v>
                </c:pt>
                <c:pt idx="92">
                  <c:v>0.30172146965255875</c:v>
                </c:pt>
                <c:pt idx="93">
                  <c:v>0.30215772397790025</c:v>
                </c:pt>
                <c:pt idx="94">
                  <c:v>0.30243781649637813</c:v>
                </c:pt>
                <c:pt idx="95">
                  <c:v>0.30253432980076445</c:v>
                </c:pt>
                <c:pt idx="96">
                  <c:v>0.30243781649637813</c:v>
                </c:pt>
                <c:pt idx="97">
                  <c:v>0.30215772397790025</c:v>
                </c:pt>
                <c:pt idx="98">
                  <c:v>0.30172146965255875</c:v>
                </c:pt>
                <c:pt idx="99">
                  <c:v>0.30117175713328059</c:v>
                </c:pt>
                <c:pt idx="100">
                  <c:v>0.30056239611152524</c:v>
                </c:pt>
                <c:pt idx="101">
                  <c:v>0.29995303508976978</c:v>
                </c:pt>
                <c:pt idx="102">
                  <c:v>0.29940332257049174</c:v>
                </c:pt>
                <c:pt idx="103">
                  <c:v>0.29896706824515018</c:v>
                </c:pt>
                <c:pt idx="104">
                  <c:v>0.2986869757266723</c:v>
                </c:pt>
                <c:pt idx="105">
                  <c:v>0.29859046242228598</c:v>
                </c:pt>
                <c:pt idx="106">
                  <c:v>0.2986869757266723</c:v>
                </c:pt>
                <c:pt idx="107">
                  <c:v>0.29896706824515018</c:v>
                </c:pt>
                <c:pt idx="108">
                  <c:v>0.29940332257049174</c:v>
                </c:pt>
                <c:pt idx="110">
                  <c:v>0.28671888489639141</c:v>
                </c:pt>
                <c:pt idx="111">
                  <c:v>0.2884962887087239</c:v>
                </c:pt>
                <c:pt idx="112">
                  <c:v>0.29046655601239973</c:v>
                </c:pt>
                <c:pt idx="113">
                  <c:v>0.29243682331607551</c:v>
                </c:pt>
                <c:pt idx="114">
                  <c:v>0.29421422712840806</c:v>
                </c:pt>
                <c:pt idx="115">
                  <c:v>0.29562478278034565</c:v>
                </c:pt>
                <c:pt idx="116">
                  <c:v>0.2965304152567575</c:v>
                </c:pt>
                <c:pt idx="117">
                  <c:v>0.2968424749409399</c:v>
                </c:pt>
                <c:pt idx="118">
                  <c:v>0.29653041525675744</c:v>
                </c:pt>
                <c:pt idx="119">
                  <c:v>0.29562478278034565</c:v>
                </c:pt>
                <c:pt idx="120">
                  <c:v>0.29421422712840806</c:v>
                </c:pt>
                <c:pt idx="121">
                  <c:v>0.29243682331607551</c:v>
                </c:pt>
                <c:pt idx="122">
                  <c:v>0.29046655601239973</c:v>
                </c:pt>
                <c:pt idx="123">
                  <c:v>0.2884962887087239</c:v>
                </c:pt>
                <c:pt idx="124">
                  <c:v>0.28671888489639141</c:v>
                </c:pt>
                <c:pt idx="125">
                  <c:v>0.28530832924445382</c:v>
                </c:pt>
                <c:pt idx="126">
                  <c:v>0.28440269676804197</c:v>
                </c:pt>
                <c:pt idx="127">
                  <c:v>0.28409063708385957</c:v>
                </c:pt>
                <c:pt idx="128">
                  <c:v>0.28440269676804197</c:v>
                </c:pt>
                <c:pt idx="129">
                  <c:v>0.28530832924445382</c:v>
                </c:pt>
                <c:pt idx="130">
                  <c:v>0.28671888489639141</c:v>
                </c:pt>
                <c:pt idx="132">
                  <c:v>0.28504057850745257</c:v>
                </c:pt>
                <c:pt idx="133">
                  <c:v>0.28661642106271645</c:v>
                </c:pt>
                <c:pt idx="134">
                  <c:v>0.28836325599174861</c:v>
                </c:pt>
                <c:pt idx="135">
                  <c:v>0.29011009092078077</c:v>
                </c:pt>
                <c:pt idx="136">
                  <c:v>0.29168593347604466</c:v>
                </c:pt>
                <c:pt idx="137">
                  <c:v>0.29293652920869029</c:v>
                </c:pt>
                <c:pt idx="138">
                  <c:v>0.2937394610949936</c:v>
                </c:pt>
                <c:pt idx="139">
                  <c:v>0.2940161325675677</c:v>
                </c:pt>
                <c:pt idx="140">
                  <c:v>0.2937394610949936</c:v>
                </c:pt>
                <c:pt idx="141">
                  <c:v>0.29293652920869029</c:v>
                </c:pt>
                <c:pt idx="142">
                  <c:v>0.29168593347604466</c:v>
                </c:pt>
                <c:pt idx="143">
                  <c:v>0.29011009092078077</c:v>
                </c:pt>
                <c:pt idx="144">
                  <c:v>0.28836325599174861</c:v>
                </c:pt>
                <c:pt idx="145">
                  <c:v>0.2866164210627164</c:v>
                </c:pt>
                <c:pt idx="146">
                  <c:v>0.28504057850745257</c:v>
                </c:pt>
                <c:pt idx="147">
                  <c:v>0.28378998277480683</c:v>
                </c:pt>
                <c:pt idx="148">
                  <c:v>0.28298705088850357</c:v>
                </c:pt>
                <c:pt idx="149">
                  <c:v>0.28271037941592947</c:v>
                </c:pt>
                <c:pt idx="150">
                  <c:v>0.28298705088850362</c:v>
                </c:pt>
                <c:pt idx="151">
                  <c:v>0.28378998277480683</c:v>
                </c:pt>
                <c:pt idx="152">
                  <c:v>0.28504057850745257</c:v>
                </c:pt>
                <c:pt idx="154">
                  <c:v>0.28370999418082371</c:v>
                </c:pt>
                <c:pt idx="155">
                  <c:v>0.28491936172323551</c:v>
                </c:pt>
                <c:pt idx="156">
                  <c:v>0.28625995597109744</c:v>
                </c:pt>
                <c:pt idx="157">
                  <c:v>0.28760055021895931</c:v>
                </c:pt>
                <c:pt idx="158">
                  <c:v>0.28880991776137116</c:v>
                </c:pt>
                <c:pt idx="159">
                  <c:v>0.28976967727712249</c:v>
                </c:pt>
                <c:pt idx="160">
                  <c:v>0.29038588081777383</c:v>
                </c:pt>
                <c:pt idx="161">
                  <c:v>0.2905982100874237</c:v>
                </c:pt>
                <c:pt idx="162">
                  <c:v>0.29038588081777383</c:v>
                </c:pt>
                <c:pt idx="163">
                  <c:v>0.28976967727712249</c:v>
                </c:pt>
                <c:pt idx="164">
                  <c:v>0.28880991776137116</c:v>
                </c:pt>
                <c:pt idx="165">
                  <c:v>0.28760055021895931</c:v>
                </c:pt>
                <c:pt idx="166">
                  <c:v>0.28625995597109744</c:v>
                </c:pt>
                <c:pt idx="167">
                  <c:v>0.28491936172323556</c:v>
                </c:pt>
                <c:pt idx="168">
                  <c:v>0.28370999418082371</c:v>
                </c:pt>
                <c:pt idx="169">
                  <c:v>0.28275023466507238</c:v>
                </c:pt>
                <c:pt idx="170">
                  <c:v>0.28213403112442104</c:v>
                </c:pt>
                <c:pt idx="171">
                  <c:v>0.28192170185477117</c:v>
                </c:pt>
                <c:pt idx="172">
                  <c:v>0.28213403112442104</c:v>
                </c:pt>
                <c:pt idx="173">
                  <c:v>0.28275023466507238</c:v>
                </c:pt>
                <c:pt idx="174">
                  <c:v>0.28370999418082371</c:v>
                </c:pt>
                <c:pt idx="176">
                  <c:v>0.28341824241354302</c:v>
                </c:pt>
                <c:pt idx="177">
                  <c:v>0.28396795493282112</c:v>
                </c:pt>
                <c:pt idx="178">
                  <c:v>0.28457731595457653</c:v>
                </c:pt>
                <c:pt idx="179">
                  <c:v>0.28518667697633193</c:v>
                </c:pt>
                <c:pt idx="180">
                  <c:v>0.28573638949561003</c:v>
                </c:pt>
                <c:pt idx="181">
                  <c:v>0.28617264382095153</c:v>
                </c:pt>
                <c:pt idx="182">
                  <c:v>0.28645273633942947</c:v>
                </c:pt>
                <c:pt idx="183">
                  <c:v>0.28654924964381573</c:v>
                </c:pt>
                <c:pt idx="184">
                  <c:v>0.28645273633942947</c:v>
                </c:pt>
                <c:pt idx="185">
                  <c:v>0.28617264382095153</c:v>
                </c:pt>
                <c:pt idx="186">
                  <c:v>0.28573638949561003</c:v>
                </c:pt>
                <c:pt idx="187">
                  <c:v>0.28518667697633193</c:v>
                </c:pt>
                <c:pt idx="188">
                  <c:v>0.28457731595457653</c:v>
                </c:pt>
                <c:pt idx="189">
                  <c:v>0.28396795493282112</c:v>
                </c:pt>
                <c:pt idx="190">
                  <c:v>0.28341824241354302</c:v>
                </c:pt>
                <c:pt idx="191">
                  <c:v>0.28298198808820152</c:v>
                </c:pt>
                <c:pt idx="192">
                  <c:v>0.28270189556972358</c:v>
                </c:pt>
                <c:pt idx="193">
                  <c:v>0.28260538226533727</c:v>
                </c:pt>
                <c:pt idx="194">
                  <c:v>0.28270189556972358</c:v>
                </c:pt>
                <c:pt idx="195">
                  <c:v>0.28298198808820152</c:v>
                </c:pt>
                <c:pt idx="196">
                  <c:v>0.28341824241354302</c:v>
                </c:pt>
                <c:pt idx="198">
                  <c:v>0.30098305611565546</c:v>
                </c:pt>
                <c:pt idx="199">
                  <c:v>0.29937737338814119</c:v>
                </c:pt>
                <c:pt idx="200">
                  <c:v>0.29710532343114832</c:v>
                </c:pt>
                <c:pt idx="201">
                  <c:v>0.29438931032477011</c:v>
                </c:pt>
                <c:pt idx="202">
                  <c:v>0.29149519635543503</c:v>
                </c:pt>
                <c:pt idx="203">
                  <c:v>0.28870627756293921</c:v>
                </c:pt>
                <c:pt idx="204">
                  <c:v>0.286295552750232</c:v>
                </c:pt>
                <c:pt idx="205">
                  <c:v>0.28449900045848858</c:v>
                </c:pt>
                <c:pt idx="206">
                  <c:v>0.28349247974334069</c:v>
                </c:pt>
                <c:pt idx="207">
                  <c:v>0.28337451586522922</c:v>
                </c:pt>
                <c:pt idx="208">
                  <c:v>0.28415665595044626</c:v>
                </c:pt>
                <c:pt idx="209">
                  <c:v>0.28576233867796053</c:v>
                </c:pt>
                <c:pt idx="210">
                  <c:v>0.28803438863495345</c:v>
                </c:pt>
                <c:pt idx="211">
                  <c:v>0.2907504017413316</c:v>
                </c:pt>
                <c:pt idx="212">
                  <c:v>0.29364451571066674</c:v>
                </c:pt>
                <c:pt idx="213">
                  <c:v>0.29643343450316256</c:v>
                </c:pt>
                <c:pt idx="214">
                  <c:v>0.29884415931586983</c:v>
                </c:pt>
                <c:pt idx="215">
                  <c:v>0.30064071160761319</c:v>
                </c:pt>
                <c:pt idx="216">
                  <c:v>0.30164723232276103</c:v>
                </c:pt>
                <c:pt idx="217">
                  <c:v>0.30176519620087255</c:v>
                </c:pt>
                <c:pt idx="218">
                  <c:v>0.30098305611565546</c:v>
                </c:pt>
                <c:pt idx="220">
                  <c:v>0.29788761558763427</c:v>
                </c:pt>
                <c:pt idx="221">
                  <c:v>0.30022716771212976</c:v>
                </c:pt>
                <c:pt idx="222">
                  <c:v>0.30181716881784937</c:v>
                </c:pt>
                <c:pt idx="223">
                  <c:v>0.30250197851837618</c:v>
                </c:pt>
                <c:pt idx="224">
                  <c:v>0.30221456286887294</c:v>
                </c:pt>
                <c:pt idx="225">
                  <c:v>0.30098305611565546</c:v>
                </c:pt>
                <c:pt idx="226">
                  <c:v>0.29892800672014086</c:v>
                </c:pt>
                <c:pt idx="227">
                  <c:v>0.29625057723553316</c:v>
                </c:pt>
                <c:pt idx="228">
                  <c:v>0.29321285311453393</c:v>
                </c:pt>
                <c:pt idx="229">
                  <c:v>0.29011218795917504</c:v>
                </c:pt>
                <c:pt idx="230">
                  <c:v>0.28725209647846744</c:v>
                </c:pt>
                <c:pt idx="231">
                  <c:v>0.28491254435397195</c:v>
                </c:pt>
                <c:pt idx="232">
                  <c:v>0.28332254324825235</c:v>
                </c:pt>
                <c:pt idx="233">
                  <c:v>0.28263773354772553</c:v>
                </c:pt>
                <c:pt idx="234">
                  <c:v>0.28292514919722883</c:v>
                </c:pt>
                <c:pt idx="235">
                  <c:v>0.28415665595044626</c:v>
                </c:pt>
                <c:pt idx="236">
                  <c:v>0.28621170534596091</c:v>
                </c:pt>
                <c:pt idx="237">
                  <c:v>0.28888913483056855</c:v>
                </c:pt>
                <c:pt idx="238">
                  <c:v>0.29192685895156778</c:v>
                </c:pt>
                <c:pt idx="239">
                  <c:v>0.29502752410692668</c:v>
                </c:pt>
                <c:pt idx="240">
                  <c:v>0.29788761558763427</c:v>
                </c:pt>
                <c:pt idx="242">
                  <c:v>0.30098305611565546</c:v>
                </c:pt>
                <c:pt idx="243">
                  <c:v>0.30088903501268915</c:v>
                </c:pt>
                <c:pt idx="244">
                  <c:v>0.29998067470806755</c:v>
                </c:pt>
                <c:pt idx="245">
                  <c:v>0.29834689183732543</c:v>
                </c:pt>
                <c:pt idx="246">
                  <c:v>0.29614761245108578</c:v>
                </c:pt>
                <c:pt idx="247">
                  <c:v>0.29359811733895402</c:v>
                </c:pt>
                <c:pt idx="248">
                  <c:v>0.2909479688458827</c:v>
                </c:pt>
                <c:pt idx="249">
                  <c:v>0.2884565819710439</c:v>
                </c:pt>
                <c:pt idx="250">
                  <c:v>0.28636783102025992</c:v>
                </c:pt>
                <c:pt idx="251">
                  <c:v>0.28488617748977713</c:v>
                </c:pt>
                <c:pt idx="252">
                  <c:v>0.28415665595044626</c:v>
                </c:pt>
                <c:pt idx="253">
                  <c:v>0.28425067705341261</c:v>
                </c:pt>
                <c:pt idx="254">
                  <c:v>0.28515903735803416</c:v>
                </c:pt>
                <c:pt idx="255">
                  <c:v>0.28679282022877628</c:v>
                </c:pt>
                <c:pt idx="256">
                  <c:v>0.28899209961501598</c:v>
                </c:pt>
                <c:pt idx="257">
                  <c:v>0.29154159472714769</c:v>
                </c:pt>
                <c:pt idx="258">
                  <c:v>0.29419174322021902</c:v>
                </c:pt>
                <c:pt idx="259">
                  <c:v>0.29668313009505781</c:v>
                </c:pt>
                <c:pt idx="260">
                  <c:v>0.29877188104584179</c:v>
                </c:pt>
                <c:pt idx="261">
                  <c:v>0.30025353457632464</c:v>
                </c:pt>
                <c:pt idx="262">
                  <c:v>0.30098305611565546</c:v>
                </c:pt>
                <c:pt idx="264">
                  <c:v>0.29906204241067863</c:v>
                </c:pt>
                <c:pt idx="265">
                  <c:v>0.30134411399509797</c:v>
                </c:pt>
                <c:pt idx="266">
                  <c:v>0.30276730007634206</c:v>
                </c:pt>
                <c:pt idx="267">
                  <c:v>0.30319228928485842</c:v>
                </c:pt>
                <c:pt idx="268">
                  <c:v>0.30257748071584339</c:v>
                </c:pt>
                <c:pt idx="269">
                  <c:v>0.30098305611565546</c:v>
                </c:pt>
                <c:pt idx="270">
                  <c:v>0.29856508887317035</c:v>
                </c:pt>
                <c:pt idx="271">
                  <c:v>0.29556026646905098</c:v>
                </c:pt>
                <c:pt idx="272">
                  <c:v>0.29226272185604124</c:v>
                </c:pt>
                <c:pt idx="273">
                  <c:v>0.28899524167620683</c:v>
                </c:pt>
                <c:pt idx="274">
                  <c:v>0.28607766965542308</c:v>
                </c:pt>
                <c:pt idx="275">
                  <c:v>0.2837955980710038</c:v>
                </c:pt>
                <c:pt idx="276">
                  <c:v>0.28237241198975971</c:v>
                </c:pt>
                <c:pt idx="277">
                  <c:v>0.28194742278124335</c:v>
                </c:pt>
                <c:pt idx="278">
                  <c:v>0.28256223135025837</c:v>
                </c:pt>
                <c:pt idx="279">
                  <c:v>0.28415665595044626</c:v>
                </c:pt>
                <c:pt idx="280">
                  <c:v>0.28657462319293137</c:v>
                </c:pt>
                <c:pt idx="281">
                  <c:v>0.28957944559705079</c:v>
                </c:pt>
                <c:pt idx="282">
                  <c:v>0.29287699021006053</c:v>
                </c:pt>
                <c:pt idx="283">
                  <c:v>0.29614447038989489</c:v>
                </c:pt>
                <c:pt idx="284">
                  <c:v>0.29906204241067863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DC1-4D34-853E-DDFBC45566B2}"/>
            </c:ext>
          </c:extLst>
        </c:ser>
        <c:ser>
          <c:idx val="3"/>
          <c:order val="11"/>
          <c:tx>
            <c:strRef>
              <c:f>'Calculs 3D'!$G$16:$G$17</c:f>
              <c:strCache>
                <c:ptCount val="2"/>
                <c:pt idx="0">
                  <c:v>Vector1</c:v>
                </c:pt>
              </c:strCache>
            </c:strRef>
          </c:tx>
          <c:spPr>
            <a:ln w="1270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3D'!$K$16:$K$17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3D'!$L$16:$L$17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DC1-4D34-853E-DDFBC45566B2}"/>
            </c:ext>
          </c:extLst>
        </c:ser>
        <c:ser>
          <c:idx val="4"/>
          <c:order val="12"/>
          <c:tx>
            <c:strRef>
              <c:f>'Calculs 3D'!$G$19:$G$20</c:f>
              <c:strCache>
                <c:ptCount val="2"/>
                <c:pt idx="0">
                  <c:v>Vector2</c:v>
                </c:pt>
              </c:strCache>
            </c:strRef>
          </c:tx>
          <c:spPr>
            <a:ln w="1270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3D'!$K$19:$K$20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3D'!$L$19:$L$20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DC1-4D34-853E-DDFBC45566B2}"/>
            </c:ext>
          </c:extLst>
        </c:ser>
        <c:ser>
          <c:idx val="7"/>
          <c:order val="13"/>
          <c:tx>
            <c:strRef>
              <c:f>'Calculs 3D'!$G$22:$G$23</c:f>
              <c:strCache>
                <c:ptCount val="2"/>
                <c:pt idx="0">
                  <c:v>Vector3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3D'!$K$22:$K$23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3D'!$L$22:$L$23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DC1-4D34-853E-DDFBC45566B2}"/>
            </c:ext>
          </c:extLst>
        </c:ser>
        <c:ser>
          <c:idx val="15"/>
          <c:order val="14"/>
          <c:tx>
            <c:strRef>
              <c:f>'Calculs 3D'!$G$25:$G$26</c:f>
              <c:strCache>
                <c:ptCount val="2"/>
                <c:pt idx="0">
                  <c:v>Vector4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3D'!$K$25:$K$26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3D'!$L$25:$L$26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DC1-4D34-853E-DDFBC45566B2}"/>
            </c:ext>
          </c:extLst>
        </c:ser>
        <c:ser>
          <c:idx val="16"/>
          <c:order val="15"/>
          <c:tx>
            <c:strRef>
              <c:f>'Calculs 3D'!$G$28:$G$29</c:f>
              <c:strCache>
                <c:ptCount val="2"/>
                <c:pt idx="0">
                  <c:v>Vector5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3D'!$K$28:$K$29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3D'!$L$28:$L$29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DC1-4D34-853E-DDFBC45566B2}"/>
            </c:ext>
          </c:extLst>
        </c:ser>
        <c:ser>
          <c:idx val="17"/>
          <c:order val="16"/>
          <c:tx>
            <c:strRef>
              <c:f>'Calculs 3D'!$G$31:$G$32</c:f>
              <c:strCache>
                <c:ptCount val="2"/>
                <c:pt idx="0">
                  <c:v>Vector6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3D'!$K$31:$K$32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3D'!$L$31:$L$32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DC1-4D34-853E-DDFBC45566B2}"/>
            </c:ext>
          </c:extLst>
        </c:ser>
        <c:ser>
          <c:idx val="18"/>
          <c:order val="17"/>
          <c:tx>
            <c:strRef>
              <c:f>'Calculs 3D'!$G$34:$G$35</c:f>
              <c:strCache>
                <c:ptCount val="2"/>
                <c:pt idx="0">
                  <c:v>Vector7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3D'!$K$34:$K$35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3D'!$L$34:$L$35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DC1-4D34-853E-DDFBC45566B2}"/>
            </c:ext>
          </c:extLst>
        </c:ser>
        <c:ser>
          <c:idx val="19"/>
          <c:order val="18"/>
          <c:tx>
            <c:strRef>
              <c:f>'Calculs 3D'!$G$37:$G$38</c:f>
              <c:strCache>
                <c:ptCount val="2"/>
                <c:pt idx="0">
                  <c:v>Vector8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3D'!$K$37:$K$38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3D'!$L$37:$L$38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DC1-4D34-853E-DDFBC45566B2}"/>
            </c:ext>
          </c:extLst>
        </c:ser>
        <c:ser>
          <c:idx val="20"/>
          <c:order val="19"/>
          <c:tx>
            <c:strRef>
              <c:f>'Calculs 3D'!$G$40:$G$41</c:f>
              <c:strCache>
                <c:ptCount val="2"/>
                <c:pt idx="0">
                  <c:v>Vector9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3D'!$K$40:$K$41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3D'!$L$40:$L$41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DC1-4D34-853E-DDFBC45566B2}"/>
            </c:ext>
          </c:extLst>
        </c:ser>
        <c:ser>
          <c:idx val="21"/>
          <c:order val="20"/>
          <c:tx>
            <c:strRef>
              <c:f>'Calculs 3D'!$G$43:$G$44</c:f>
              <c:strCache>
                <c:ptCount val="2"/>
                <c:pt idx="0">
                  <c:v>Vector10</c:v>
                </c:pt>
              </c:strCache>
            </c:strRef>
          </c:tx>
          <c:spPr>
            <a:ln w="6350">
              <a:solidFill>
                <a:schemeClr val="bg1"/>
              </a:solidFill>
              <a:headEnd type="oval" w="sm" len="sm"/>
            </a:ln>
          </c:spPr>
          <c:marker>
            <c:symbol val="none"/>
          </c:marker>
          <c:xVal>
            <c:numRef>
              <c:f>'Calculs 3D'!$K$43:$K$44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'Calculs 3D'!$L$43:$L$44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DC1-4D34-853E-DDFBC45566B2}"/>
            </c:ext>
          </c:extLst>
        </c:ser>
        <c:ser>
          <c:idx val="5"/>
          <c:order val="21"/>
          <c:tx>
            <c:strRef>
              <c:f>'Calculs 3D'!$G$47</c:f>
              <c:strCache>
                <c:ptCount val="1"/>
                <c:pt idx="0">
                  <c:v>VectorOri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('Calculs 3D'!$K$16,'Calculs 3D'!$K$18:$K$19,'Calculs 3D'!$K$21:$K$22,'Calculs 3D'!$K$24:$K$25,'Calculs 3D'!$K$27:$K$28,'Calculs 3D'!$K$30:$K$31,'Calculs 3D'!$K$33:$K$34,'Calculs 3D'!$K$36:$K$37,'Calculs 3D'!$K$39:$K$40,'Calculs 3D'!$K$42:$K$43)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('Calculs 3D'!$L$16,'Calculs 3D'!$L$18:$L$19,'Calculs 3D'!$L$21:$L$22,'Calculs 3D'!$L$24:$L$25,'Calculs 3D'!$L$27:$L$28,'Calculs 3D'!$L$30:$L$31,'Calculs 3D'!$L$33:$L$34,'Calculs 3D'!$L$36:$L$37,'Calculs 3D'!$L$39:$L$40,'Calculs 3D'!$L$42:$L$43)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DC1-4D34-853E-DDFBC4556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03616"/>
        <c:axId val="67304192"/>
      </c:scatterChart>
      <c:valAx>
        <c:axId val="67303616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none"/>
        <c:minorTickMark val="none"/>
        <c:tickLblPos val="none"/>
        <c:crossAx val="67304192"/>
        <c:crosses val="autoZero"/>
        <c:crossBetween val="midCat"/>
      </c:valAx>
      <c:valAx>
        <c:axId val="67304192"/>
        <c:scaling>
          <c:orientation val="minMax"/>
          <c:max val="1.5"/>
          <c:min val="-1.5"/>
        </c:scaling>
        <c:delete val="1"/>
        <c:axPos val="l"/>
        <c:numFmt formatCode="General" sourceLinked="1"/>
        <c:majorTickMark val="out"/>
        <c:minorTickMark val="none"/>
        <c:tickLblPos val="none"/>
        <c:crossAx val="6730361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060122762411071E-3"/>
          <c:y val="5.7388001882222577E-3"/>
          <c:w val="0.98885927280385266"/>
          <c:h val="0.988795443122801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'Calculs 3D'!$Q$5</c:f>
              <c:strCache>
                <c:ptCount val="1"/>
                <c:pt idx="0">
                  <c:v>Body1</c:v>
                </c:pt>
              </c:strCache>
            </c:strRef>
          </c:tx>
          <c:spPr>
            <a:ln w="63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</c:spPr>
          </c:marker>
          <c:xVal>
            <c:numRef>
              <c:f>'Calculs 3D'!$R$5</c:f>
              <c:numCache>
                <c:formatCode>General</c:formatCode>
                <c:ptCount val="1"/>
                <c:pt idx="0">
                  <c:v>-4.9349784271878194E-2</c:v>
                </c:pt>
              </c:numCache>
            </c:numRef>
          </c:xVal>
          <c:yVal>
            <c:numRef>
              <c:f>'Calculs 3D'!$S$5</c:f>
              <c:numCache>
                <c:formatCode>General</c:formatCode>
                <c:ptCount val="1"/>
                <c:pt idx="0">
                  <c:v>0.1539745834717095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7A-44F7-B43B-7A622B13738D}"/>
            </c:ext>
          </c:extLst>
        </c:ser>
        <c:ser>
          <c:idx val="6"/>
          <c:order val="1"/>
          <c:tx>
            <c:strRef>
              <c:f>'Calculs 3D'!$Q$6</c:f>
              <c:strCache>
                <c:ptCount val="1"/>
                <c:pt idx="0">
                  <c:v>Body2</c:v>
                </c:pt>
              </c:strCache>
            </c:strRef>
          </c:tx>
          <c:spPr>
            <a:ln w="6350">
              <a:solidFill>
                <a:srgbClr val="3333FF"/>
              </a:solidFill>
            </a:ln>
          </c:spPr>
          <c:marker>
            <c:symbol val="circle"/>
            <c:size val="5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'Calculs 3D'!$R$6</c:f>
              <c:numCache>
                <c:formatCode>General</c:formatCode>
                <c:ptCount val="1"/>
                <c:pt idx="0">
                  <c:v>2.0778562160652762E-2</c:v>
                </c:pt>
              </c:numCache>
            </c:numRef>
          </c:xVal>
          <c:yVal>
            <c:numRef>
              <c:f>'Calculs 3D'!$S$6</c:f>
              <c:numCache>
                <c:formatCode>General</c:formatCode>
                <c:ptCount val="1"/>
                <c:pt idx="0">
                  <c:v>1.4355539553473972E-2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A-44F7-B43B-7A622B13738D}"/>
            </c:ext>
          </c:extLst>
        </c:ser>
        <c:ser>
          <c:idx val="8"/>
          <c:order val="2"/>
          <c:tx>
            <c:strRef>
              <c:f>'Calculs 3D'!$Q$7</c:f>
              <c:strCache>
                <c:ptCount val="1"/>
                <c:pt idx="0">
                  <c:v>Body3</c:v>
                </c:pt>
              </c:strCache>
            </c:strRef>
          </c:tx>
          <c:spPr>
            <a:ln w="6350">
              <a:solidFill>
                <a:srgbClr val="CC0000"/>
              </a:solidFill>
            </a:ln>
          </c:spPr>
          <c:marker>
            <c:symbol val="circle"/>
            <c:size val="5"/>
            <c:spPr>
              <a:solidFill>
                <a:srgbClr val="3333FF"/>
              </a:solidFill>
              <a:ln>
                <a:noFill/>
              </a:ln>
            </c:spPr>
          </c:marker>
          <c:xVal>
            <c:numRef>
              <c:f>'Calculs 3D'!$R$7</c:f>
              <c:numCache>
                <c:formatCode>General</c:formatCode>
                <c:ptCount val="1"/>
                <c:pt idx="0">
                  <c:v>9.0407409473252889E-2</c:v>
                </c:pt>
              </c:numCache>
            </c:numRef>
          </c:xVal>
          <c:yVal>
            <c:numRef>
              <c:f>'Calculs 3D'!$S$7</c:f>
              <c:numCache>
                <c:formatCode>General</c:formatCode>
                <c:ptCount val="1"/>
                <c:pt idx="0">
                  <c:v>0.2475715452597384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7A-44F7-B43B-7A622B13738D}"/>
            </c:ext>
          </c:extLst>
        </c:ser>
        <c:ser>
          <c:idx val="9"/>
          <c:order val="3"/>
          <c:tx>
            <c:strRef>
              <c:f>'Calculs 3D'!$Q$8</c:f>
              <c:strCache>
                <c:ptCount val="1"/>
                <c:pt idx="0">
                  <c:v>Body4</c:v>
                </c:pt>
              </c:strCache>
            </c:strRef>
          </c:tx>
          <c:spPr>
            <a:ln w="6350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'Calculs 3D'!$R$8</c:f>
              <c:numCache>
                <c:formatCode>General</c:formatCode>
                <c:ptCount val="1"/>
                <c:pt idx="0">
                  <c:v>-7.5486684985342944E-2</c:v>
                </c:pt>
              </c:numCache>
            </c:numRef>
          </c:xVal>
          <c:yVal>
            <c:numRef>
              <c:f>'Calculs 3D'!$S$8</c:f>
              <c:numCache>
                <c:formatCode>General</c:formatCode>
                <c:ptCount val="1"/>
                <c:pt idx="0">
                  <c:v>-5.6918715935267358E-2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7A-44F7-B43B-7A622B13738D}"/>
            </c:ext>
          </c:extLst>
        </c:ser>
        <c:ser>
          <c:idx val="0"/>
          <c:order val="4"/>
          <c:tx>
            <c:strRef>
              <c:f>'Calculs 3D'!$Q$9</c:f>
              <c:strCache>
                <c:ptCount val="1"/>
                <c:pt idx="0">
                  <c:v>Body5</c:v>
                </c:pt>
              </c:strCache>
            </c:strRef>
          </c:tx>
          <c:spPr>
            <a:ln w="6350" cmpd="sng">
              <a:noFill/>
            </a:ln>
          </c:spPr>
          <c:marker>
            <c:symbol val="circle"/>
            <c:size val="5"/>
            <c:spPr>
              <a:solidFill>
                <a:srgbClr val="9900CC"/>
              </a:solidFill>
              <a:ln>
                <a:noFill/>
              </a:ln>
            </c:spPr>
          </c:marker>
          <c:xVal>
            <c:numRef>
              <c:f>'Calculs 3D'!$R$9</c:f>
              <c:numCache>
                <c:formatCode>General</c:formatCode>
                <c:ptCount val="1"/>
                <c:pt idx="0">
                  <c:v>-7.3435050904588203E-3</c:v>
                </c:pt>
              </c:numCache>
            </c:numRef>
          </c:xVal>
          <c:yVal>
            <c:numRef>
              <c:f>'Calculs 3D'!$S$9</c:f>
              <c:numCache>
                <c:formatCode>General</c:formatCode>
                <c:ptCount val="1"/>
                <c:pt idx="0">
                  <c:v>1.156332940033346E-2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A-44F7-B43B-7A622B13738D}"/>
            </c:ext>
          </c:extLst>
        </c:ser>
        <c:ser>
          <c:idx val="10"/>
          <c:order val="5"/>
          <c:tx>
            <c:strRef>
              <c:f>'Calculs 3D'!$Q$10</c:f>
              <c:strCache>
                <c:ptCount val="1"/>
                <c:pt idx="0">
                  <c:v>Body6</c:v>
                </c:pt>
              </c:strCache>
            </c:strRef>
          </c:tx>
          <c:spPr>
            <a:ln w="6350">
              <a:solidFill>
                <a:srgbClr val="419FB8"/>
              </a:solidFill>
            </a:ln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3D'!$R$10</c:f>
              <c:numCache>
                <c:formatCode>General</c:formatCode>
                <c:ptCount val="1"/>
                <c:pt idx="0">
                  <c:v>0.11363963112698655</c:v>
                </c:pt>
              </c:numCache>
            </c:numRef>
          </c:xVal>
          <c:yVal>
            <c:numRef>
              <c:f>'Calculs 3D'!$S$10</c:f>
              <c:numCache>
                <c:formatCode>General</c:formatCode>
                <c:ptCount val="1"/>
                <c:pt idx="0">
                  <c:v>0.1339610673710333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C7A-44F7-B43B-7A622B13738D}"/>
            </c:ext>
          </c:extLst>
        </c:ser>
        <c:ser>
          <c:idx val="11"/>
          <c:order val="6"/>
          <c:tx>
            <c:strRef>
              <c:f>'Calculs 3D'!$Q$11</c:f>
              <c:strCache>
                <c:ptCount val="1"/>
                <c:pt idx="0">
                  <c:v>Body7</c:v>
                </c:pt>
              </c:strCache>
            </c:strRef>
          </c:tx>
          <c:spPr>
            <a:ln w="6350">
              <a:noFill/>
            </a:ln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3D'!$R$11</c:f>
              <c:numCache>
                <c:formatCode>General</c:formatCode>
                <c:ptCount val="1"/>
                <c:pt idx="0">
                  <c:v>-0.19521647138927198</c:v>
                </c:pt>
              </c:numCache>
            </c:numRef>
          </c:xVal>
          <c:yVal>
            <c:numRef>
              <c:f>'Calculs 3D'!$S$11</c:f>
              <c:numCache>
                <c:formatCode>General</c:formatCode>
                <c:ptCount val="1"/>
                <c:pt idx="0">
                  <c:v>-0.20892821672381723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C7A-44F7-B43B-7A622B13738D}"/>
            </c:ext>
          </c:extLst>
        </c:ser>
        <c:ser>
          <c:idx val="12"/>
          <c:order val="7"/>
          <c:tx>
            <c:strRef>
              <c:f>'Calculs 3D'!$Q$12</c:f>
              <c:strCache>
                <c:ptCount val="1"/>
                <c:pt idx="0">
                  <c:v>Body8</c:v>
                </c:pt>
              </c:strCache>
            </c:strRef>
          </c:tx>
          <c:spPr>
            <a:ln w="6350"/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3D'!$R$12</c:f>
              <c:numCache>
                <c:formatCode>General</c:formatCode>
                <c:ptCount val="1"/>
                <c:pt idx="0">
                  <c:v>0.18124368557793125</c:v>
                </c:pt>
              </c:numCache>
            </c:numRef>
          </c:xVal>
          <c:yVal>
            <c:numRef>
              <c:f>'Calculs 3D'!$S$12</c:f>
              <c:numCache>
                <c:formatCode>General</c:formatCode>
                <c:ptCount val="1"/>
                <c:pt idx="0">
                  <c:v>3.6648740286360663E-2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C7A-44F7-B43B-7A622B13738D}"/>
            </c:ext>
          </c:extLst>
        </c:ser>
        <c:ser>
          <c:idx val="1"/>
          <c:order val="8"/>
          <c:tx>
            <c:strRef>
              <c:f>'Calculs 3D'!$Q$13</c:f>
              <c:strCache>
                <c:ptCount val="1"/>
                <c:pt idx="0">
                  <c:v>Body9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3D'!$R$13</c:f>
              <c:numCache>
                <c:formatCode>General</c:formatCode>
                <c:ptCount val="1"/>
                <c:pt idx="0">
                  <c:v>-0.23976558413603946</c:v>
                </c:pt>
              </c:numCache>
            </c:numRef>
          </c:xVal>
          <c:yVal>
            <c:numRef>
              <c:f>'Calculs 3D'!$S$13</c:f>
              <c:numCache>
                <c:formatCode>General</c:formatCode>
                <c:ptCount val="1"/>
                <c:pt idx="0">
                  <c:v>2.7757641810635614E-2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C7A-44F7-B43B-7A622B13738D}"/>
            </c:ext>
          </c:extLst>
        </c:ser>
        <c:ser>
          <c:idx val="3"/>
          <c:order val="9"/>
          <c:tx>
            <c:strRef>
              <c:f>'Calculs 3D'!$Q$14</c:f>
              <c:strCache>
                <c:ptCount val="1"/>
                <c:pt idx="0">
                  <c:v>Body10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</c:spPr>
          </c:marker>
          <c:xVal>
            <c:numRef>
              <c:f>'Calculs 3D'!$R$14</c:f>
              <c:numCache>
                <c:formatCode>General</c:formatCode>
                <c:ptCount val="1"/>
                <c:pt idx="0">
                  <c:v>-0.17415985150109417</c:v>
                </c:pt>
              </c:numCache>
            </c:numRef>
          </c:xVal>
          <c:yVal>
            <c:numRef>
              <c:f>'Calculs 3D'!$S$14</c:f>
              <c:numCache>
                <c:formatCode>General</c:formatCode>
                <c:ptCount val="1"/>
                <c:pt idx="0">
                  <c:v>0.21343819374192216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C7A-44F7-B43B-7A622B137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71712"/>
        <c:axId val="109972288"/>
      </c:scatterChart>
      <c:valAx>
        <c:axId val="109971712"/>
        <c:scaling>
          <c:orientation val="minMax"/>
          <c:max val="1.5"/>
          <c:min val="-1.5"/>
        </c:scaling>
        <c:delete val="0"/>
        <c:axPos val="b"/>
        <c:numFmt formatCode="General" sourceLinked="1"/>
        <c:majorTickMark val="out"/>
        <c:minorTickMark val="none"/>
        <c:tickLblPos val="none"/>
        <c:crossAx val="109972288"/>
        <c:crosses val="autoZero"/>
        <c:crossBetween val="midCat"/>
      </c:valAx>
      <c:valAx>
        <c:axId val="109972288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out"/>
        <c:minorTickMark val="none"/>
        <c:tickLblPos val="none"/>
        <c:crossAx val="109971712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060122762411089E-3"/>
          <c:y val="5.7388001882222612E-3"/>
          <c:w val="0.98885927280385288"/>
          <c:h val="0.988795443122801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'Calculs 3D'!$Q$5</c:f>
              <c:strCache>
                <c:ptCount val="1"/>
                <c:pt idx="0">
                  <c:v>Body1</c:v>
                </c:pt>
              </c:strCache>
            </c:strRef>
          </c:tx>
          <c:spPr>
            <a:ln w="63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</c:spPr>
          </c:marker>
          <c:xVal>
            <c:numRef>
              <c:f>'Calculs 3D'!$R$5</c:f>
              <c:numCache>
                <c:formatCode>General</c:formatCode>
                <c:ptCount val="1"/>
                <c:pt idx="0">
                  <c:v>-4.9349784271878194E-2</c:v>
                </c:pt>
              </c:numCache>
            </c:numRef>
          </c:xVal>
          <c:yVal>
            <c:numRef>
              <c:f>'Calculs 3D'!$T$5</c:f>
              <c:numCache>
                <c:formatCode>General</c:formatCode>
                <c:ptCount val="1"/>
                <c:pt idx="0">
                  <c:v>0.21497914389708153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1D-4201-A762-DEE808358F29}"/>
            </c:ext>
          </c:extLst>
        </c:ser>
        <c:ser>
          <c:idx val="6"/>
          <c:order val="1"/>
          <c:tx>
            <c:strRef>
              <c:f>'Calculs 3D'!$Q$6</c:f>
              <c:strCache>
                <c:ptCount val="1"/>
                <c:pt idx="0">
                  <c:v>Body2</c:v>
                </c:pt>
              </c:strCache>
            </c:strRef>
          </c:tx>
          <c:spPr>
            <a:ln w="6350">
              <a:solidFill>
                <a:srgbClr val="3333FF"/>
              </a:solidFill>
            </a:ln>
          </c:spPr>
          <c:marker>
            <c:symbol val="circle"/>
            <c:size val="5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'Calculs 3D'!$R$6</c:f>
              <c:numCache>
                <c:formatCode>General</c:formatCode>
                <c:ptCount val="1"/>
                <c:pt idx="0">
                  <c:v>2.0778562160652762E-2</c:v>
                </c:pt>
              </c:numCache>
            </c:numRef>
          </c:xVal>
          <c:yVal>
            <c:numRef>
              <c:f>'Calculs 3D'!$T$6</c:f>
              <c:numCache>
                <c:formatCode>General</c:formatCode>
                <c:ptCount val="1"/>
                <c:pt idx="0">
                  <c:v>3.9405491028167705E-2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1D-4201-A762-DEE808358F29}"/>
            </c:ext>
          </c:extLst>
        </c:ser>
        <c:ser>
          <c:idx val="8"/>
          <c:order val="2"/>
          <c:tx>
            <c:strRef>
              <c:f>'Calculs 3D'!$Q$7</c:f>
              <c:strCache>
                <c:ptCount val="1"/>
                <c:pt idx="0">
                  <c:v>Body3</c:v>
                </c:pt>
              </c:strCache>
            </c:strRef>
          </c:tx>
          <c:spPr>
            <a:ln w="6350">
              <a:solidFill>
                <a:srgbClr val="CC0000"/>
              </a:solidFill>
            </a:ln>
          </c:spPr>
          <c:marker>
            <c:symbol val="circle"/>
            <c:size val="5"/>
            <c:spPr>
              <a:solidFill>
                <a:srgbClr val="3333FF"/>
              </a:solidFill>
              <a:ln>
                <a:noFill/>
              </a:ln>
            </c:spPr>
          </c:marker>
          <c:xVal>
            <c:numRef>
              <c:f>'Calculs 3D'!$R$7</c:f>
              <c:numCache>
                <c:formatCode>General</c:formatCode>
                <c:ptCount val="1"/>
                <c:pt idx="0">
                  <c:v>9.0407409473252889E-2</c:v>
                </c:pt>
              </c:numCache>
            </c:numRef>
          </c:xVal>
          <c:yVal>
            <c:numRef>
              <c:f>'Calculs 3D'!$T$7</c:f>
              <c:numCache>
                <c:formatCode>General</c:formatCode>
                <c:ptCount val="1"/>
                <c:pt idx="0">
                  <c:v>-0.21738306009677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1D-4201-A762-DEE808358F29}"/>
            </c:ext>
          </c:extLst>
        </c:ser>
        <c:ser>
          <c:idx val="9"/>
          <c:order val="3"/>
          <c:tx>
            <c:strRef>
              <c:f>'Calculs 3D'!$Q$8</c:f>
              <c:strCache>
                <c:ptCount val="1"/>
                <c:pt idx="0">
                  <c:v>Body4</c:v>
                </c:pt>
              </c:strCache>
            </c:strRef>
          </c:tx>
          <c:spPr>
            <a:ln w="6350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'Calculs 3D'!$R$8</c:f>
              <c:numCache>
                <c:formatCode>General</c:formatCode>
                <c:ptCount val="1"/>
                <c:pt idx="0">
                  <c:v>-7.5486684985342944E-2</c:v>
                </c:pt>
              </c:numCache>
            </c:numRef>
          </c:xVal>
          <c:yVal>
            <c:numRef>
              <c:f>'Calculs 3D'!$T$8</c:f>
              <c:numCache>
                <c:formatCode>General</c:formatCode>
                <c:ptCount val="1"/>
                <c:pt idx="0">
                  <c:v>-0.21683314817532234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1D-4201-A762-DEE808358F29}"/>
            </c:ext>
          </c:extLst>
        </c:ser>
        <c:ser>
          <c:idx val="0"/>
          <c:order val="4"/>
          <c:tx>
            <c:strRef>
              <c:f>'Calculs 3D'!$Q$9</c:f>
              <c:strCache>
                <c:ptCount val="1"/>
                <c:pt idx="0">
                  <c:v>Body5</c:v>
                </c:pt>
              </c:strCache>
            </c:strRef>
          </c:tx>
          <c:spPr>
            <a:ln w="6350" cmpd="sng">
              <a:noFill/>
            </a:ln>
          </c:spPr>
          <c:marker>
            <c:symbol val="circle"/>
            <c:size val="5"/>
            <c:spPr>
              <a:solidFill>
                <a:srgbClr val="9900CC"/>
              </a:solidFill>
              <a:ln>
                <a:noFill/>
              </a:ln>
            </c:spPr>
          </c:marker>
          <c:xVal>
            <c:numRef>
              <c:f>'Calculs 3D'!$R$9</c:f>
              <c:numCache>
                <c:formatCode>General</c:formatCode>
                <c:ptCount val="1"/>
                <c:pt idx="0">
                  <c:v>-7.3435050904588203E-3</c:v>
                </c:pt>
              </c:numCache>
            </c:numRef>
          </c:xVal>
          <c:yVal>
            <c:numRef>
              <c:f>'Calculs 3D'!$T$9</c:f>
              <c:numCache>
                <c:formatCode>General</c:formatCode>
                <c:ptCount val="1"/>
                <c:pt idx="0">
                  <c:v>-1.6970754950827505E-2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1D-4201-A762-DEE808358F29}"/>
            </c:ext>
          </c:extLst>
        </c:ser>
        <c:ser>
          <c:idx val="10"/>
          <c:order val="5"/>
          <c:tx>
            <c:strRef>
              <c:f>'Calculs 3D'!$Q$10</c:f>
              <c:strCache>
                <c:ptCount val="1"/>
                <c:pt idx="0">
                  <c:v>Body6</c:v>
                </c:pt>
              </c:strCache>
            </c:strRef>
          </c:tx>
          <c:spPr>
            <a:ln w="6350">
              <a:solidFill>
                <a:srgbClr val="419FB8"/>
              </a:solidFill>
            </a:ln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3D'!$R$10</c:f>
              <c:numCache>
                <c:formatCode>General</c:formatCode>
                <c:ptCount val="1"/>
                <c:pt idx="0">
                  <c:v>0.11363963112698655</c:v>
                </c:pt>
              </c:numCache>
            </c:numRef>
          </c:xVal>
          <c:yVal>
            <c:numRef>
              <c:f>'Calculs 3D'!$T$10</c:f>
              <c:numCache>
                <c:formatCode>General</c:formatCode>
                <c:ptCount val="1"/>
                <c:pt idx="0">
                  <c:v>0.13640672581245855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1D-4201-A762-DEE808358F29}"/>
            </c:ext>
          </c:extLst>
        </c:ser>
        <c:ser>
          <c:idx val="11"/>
          <c:order val="6"/>
          <c:tx>
            <c:strRef>
              <c:f>'Calculs 3D'!$Q$11</c:f>
              <c:strCache>
                <c:ptCount val="1"/>
                <c:pt idx="0">
                  <c:v>Body7</c:v>
                </c:pt>
              </c:strCache>
            </c:strRef>
          </c:tx>
          <c:spPr>
            <a:ln w="6350">
              <a:noFill/>
            </a:ln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3D'!$R$11</c:f>
              <c:numCache>
                <c:formatCode>General</c:formatCode>
                <c:ptCount val="1"/>
                <c:pt idx="0">
                  <c:v>-0.19521647138927198</c:v>
                </c:pt>
              </c:numCache>
            </c:numRef>
          </c:xVal>
          <c:yVal>
            <c:numRef>
              <c:f>'Calculs 3D'!$T$11</c:f>
              <c:numCache>
                <c:formatCode>General</c:formatCode>
                <c:ptCount val="1"/>
                <c:pt idx="0">
                  <c:v>0.12156877960791711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1D-4201-A762-DEE808358F29}"/>
            </c:ext>
          </c:extLst>
        </c:ser>
        <c:ser>
          <c:idx val="12"/>
          <c:order val="7"/>
          <c:tx>
            <c:strRef>
              <c:f>'Calculs 3D'!$Q$12</c:f>
              <c:strCache>
                <c:ptCount val="1"/>
                <c:pt idx="0">
                  <c:v>Body8</c:v>
                </c:pt>
              </c:strCache>
            </c:strRef>
          </c:tx>
          <c:spPr>
            <a:ln w="6350"/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3D'!$R$12</c:f>
              <c:numCache>
                <c:formatCode>General</c:formatCode>
                <c:ptCount val="1"/>
                <c:pt idx="0">
                  <c:v>0.18124368557793125</c:v>
                </c:pt>
              </c:numCache>
            </c:numRef>
          </c:xVal>
          <c:yVal>
            <c:numRef>
              <c:f>'Calculs 3D'!$T$12</c:f>
              <c:numCache>
                <c:formatCode>General</c:formatCode>
                <c:ptCount val="1"/>
                <c:pt idx="0">
                  <c:v>-0.10561361120274756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1D-4201-A762-DEE808358F29}"/>
            </c:ext>
          </c:extLst>
        </c:ser>
        <c:ser>
          <c:idx val="1"/>
          <c:order val="8"/>
          <c:tx>
            <c:strRef>
              <c:f>'Calculs 3D'!$Q$13</c:f>
              <c:strCache>
                <c:ptCount val="1"/>
                <c:pt idx="0">
                  <c:v>Body9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ln>
                <a:noFill/>
              </a:ln>
            </c:spPr>
          </c:marker>
          <c:xVal>
            <c:numRef>
              <c:f>'Calculs 3D'!$R$13</c:f>
              <c:numCache>
                <c:formatCode>General</c:formatCode>
                <c:ptCount val="1"/>
                <c:pt idx="0">
                  <c:v>-0.23976558413603946</c:v>
                </c:pt>
              </c:numCache>
            </c:numRef>
          </c:xVal>
          <c:yVal>
            <c:numRef>
              <c:f>'Calculs 3D'!$T$13</c:f>
              <c:numCache>
                <c:formatCode>General</c:formatCode>
                <c:ptCount val="1"/>
                <c:pt idx="0">
                  <c:v>0.23870131683066625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1D-4201-A762-DEE808358F29}"/>
            </c:ext>
          </c:extLst>
        </c:ser>
        <c:ser>
          <c:idx val="3"/>
          <c:order val="9"/>
          <c:tx>
            <c:strRef>
              <c:f>'Calculs 3D'!$Q$14</c:f>
              <c:strCache>
                <c:ptCount val="1"/>
                <c:pt idx="0">
                  <c:v>Body10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</c:spPr>
          </c:marker>
          <c:xVal>
            <c:numRef>
              <c:f>'Calculs 3D'!$R$14</c:f>
              <c:numCache>
                <c:formatCode>General</c:formatCode>
                <c:ptCount val="1"/>
                <c:pt idx="0">
                  <c:v>-0.17415985150109417</c:v>
                </c:pt>
              </c:numCache>
            </c:numRef>
          </c:xVal>
          <c:yVal>
            <c:numRef>
              <c:f>'Calculs 3D'!$T$14</c:f>
              <c:numCache>
                <c:formatCode>General</c:formatCode>
                <c:ptCount val="1"/>
                <c:pt idx="0">
                  <c:v>0.15638877276546415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1D-4201-A762-DEE808358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74592"/>
        <c:axId val="109975168"/>
      </c:scatterChart>
      <c:valAx>
        <c:axId val="109974592"/>
        <c:scaling>
          <c:orientation val="minMax"/>
          <c:max val="1.5"/>
          <c:min val="-1.5"/>
        </c:scaling>
        <c:delete val="0"/>
        <c:axPos val="b"/>
        <c:numFmt formatCode="General" sourceLinked="1"/>
        <c:majorTickMark val="out"/>
        <c:minorTickMark val="none"/>
        <c:tickLblPos val="none"/>
        <c:crossAx val="109975168"/>
        <c:crosses val="autoZero"/>
        <c:crossBetween val="midCat"/>
      </c:valAx>
      <c:valAx>
        <c:axId val="109975168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out"/>
        <c:minorTickMark val="none"/>
        <c:tickLblPos val="none"/>
        <c:crossAx val="109974592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6.emf"/><Relationship Id="rId18" Type="http://schemas.openxmlformats.org/officeDocument/2006/relationships/image" Target="../media/image11.emf"/><Relationship Id="rId3" Type="http://schemas.openxmlformats.org/officeDocument/2006/relationships/image" Target="../media/image2.emf"/><Relationship Id="rId21" Type="http://schemas.openxmlformats.org/officeDocument/2006/relationships/image" Target="../media/image14.emf"/><Relationship Id="rId7" Type="http://schemas.openxmlformats.org/officeDocument/2006/relationships/image" Target="../media/image17.emf"/><Relationship Id="rId12" Type="http://schemas.openxmlformats.org/officeDocument/2006/relationships/image" Target="../media/image5.emf"/><Relationship Id="rId17" Type="http://schemas.openxmlformats.org/officeDocument/2006/relationships/image" Target="../media/image10.emf"/><Relationship Id="rId2" Type="http://schemas.openxmlformats.org/officeDocument/2006/relationships/image" Target="../media/image16.emf"/><Relationship Id="rId16" Type="http://schemas.openxmlformats.org/officeDocument/2006/relationships/image" Target="../media/image9.emf"/><Relationship Id="rId20" Type="http://schemas.openxmlformats.org/officeDocument/2006/relationships/image" Target="../media/image13.emf"/><Relationship Id="rId1" Type="http://schemas.openxmlformats.org/officeDocument/2006/relationships/image" Target="../media/image15.emf"/><Relationship Id="rId6" Type="http://schemas.openxmlformats.org/officeDocument/2006/relationships/image" Target="../media/image3.emf"/><Relationship Id="rId11" Type="http://schemas.openxmlformats.org/officeDocument/2006/relationships/image" Target="../media/image21.emf"/><Relationship Id="rId5" Type="http://schemas.openxmlformats.org/officeDocument/2006/relationships/image" Target="../media/image4.emf"/><Relationship Id="rId15" Type="http://schemas.openxmlformats.org/officeDocument/2006/relationships/image" Target="../media/image8.emf"/><Relationship Id="rId10" Type="http://schemas.openxmlformats.org/officeDocument/2006/relationships/image" Target="../media/image20.emf"/><Relationship Id="rId19" Type="http://schemas.openxmlformats.org/officeDocument/2006/relationships/image" Target="../media/image12.emf"/><Relationship Id="rId4" Type="http://schemas.openxmlformats.org/officeDocument/2006/relationships/image" Target="../media/image1.emf"/><Relationship Id="rId9" Type="http://schemas.openxmlformats.org/officeDocument/2006/relationships/image" Target="../media/image19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15833</xdr:colOff>
      <xdr:row>29</xdr:row>
      <xdr:rowOff>5644</xdr:rowOff>
    </xdr:from>
    <xdr:to>
      <xdr:col>17</xdr:col>
      <xdr:colOff>75494</xdr:colOff>
      <xdr:row>30</xdr:row>
      <xdr:rowOff>93803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35483" y="5787319"/>
          <a:ext cx="4898361" cy="27865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11</xdr:col>
      <xdr:colOff>654030</xdr:colOff>
      <xdr:row>29</xdr:row>
      <xdr:rowOff>9525</xdr:rowOff>
    </xdr:from>
    <xdr:to>
      <xdr:col>12</xdr:col>
      <xdr:colOff>388068</xdr:colOff>
      <xdr:row>30</xdr:row>
      <xdr:rowOff>92075</xdr:rowOff>
    </xdr:to>
    <xdr:grpSp>
      <xdr:nvGrpSpPr>
        <xdr:cNvPr id="19" name="ReplayButton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4479270" y="5031105"/>
          <a:ext cx="526518" cy="257810"/>
          <a:chOff x="16459200" y="7115175"/>
          <a:chExt cx="496038" cy="273050"/>
        </a:xfrm>
      </xdr:grpSpPr>
      <xdr:sp macro="[0]!ResetSimulation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6459200" y="7115175"/>
            <a:ext cx="496038" cy="2730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Simulation" textlink="">
        <xdr:nvSpPr>
          <xdr:cNvPr id="17" name="Arc plei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7978884">
            <a:off x="16643767" y="7169996"/>
            <a:ext cx="167848" cy="169939"/>
          </a:xfrm>
          <a:prstGeom prst="blockArc">
            <a:avLst>
              <a:gd name="adj1" fmla="val 3626972"/>
              <a:gd name="adj2" fmla="val 19709515"/>
              <a:gd name="adj3" fmla="val 13340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Simulation" textlink="">
        <xdr:nvSpPr>
          <xdr:cNvPr id="18" name="Triangle isocè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6711619" y="7162326"/>
            <a:ext cx="57150" cy="45719"/>
          </a:xfrm>
          <a:prstGeom prst="triangl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11</xdr:col>
      <xdr:colOff>16523</xdr:colOff>
      <xdr:row>29</xdr:row>
      <xdr:rowOff>9525</xdr:rowOff>
    </xdr:from>
    <xdr:to>
      <xdr:col>11</xdr:col>
      <xdr:colOff>514350</xdr:colOff>
      <xdr:row>30</xdr:row>
      <xdr:rowOff>97844</xdr:rowOff>
    </xdr:to>
    <xdr:grpSp>
      <xdr:nvGrpSpPr>
        <xdr:cNvPr id="14" name="PauseButton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3841763" y="5031105"/>
          <a:ext cx="497827" cy="255959"/>
          <a:chOff x="16488103" y="6823513"/>
          <a:chExt cx="495817" cy="269193"/>
        </a:xfrm>
      </xdr:grpSpPr>
      <xdr:sp macro="[0]!ToggleSimulation" textlink="">
        <xdr:nvSpPr>
          <xdr:cNvPr id="9" name="Rectangle 8" hidden="1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6488103" y="6823513"/>
            <a:ext cx="495817" cy="26919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ToggleSimulation" textlink="">
        <xdr:nvSpPr>
          <xdr:cNvPr id="10" name="Rectangle 9" hidden="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5400000">
            <a:off x="16619232" y="6936745"/>
            <a:ext cx="164845" cy="4914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ToggleSimulation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6763106" y="6879715"/>
            <a:ext cx="49145" cy="164466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11</xdr:col>
      <xdr:colOff>14334</xdr:colOff>
      <xdr:row>29</xdr:row>
      <xdr:rowOff>15563</xdr:rowOff>
    </xdr:from>
    <xdr:to>
      <xdr:col>11</xdr:col>
      <xdr:colOff>510372</xdr:colOff>
      <xdr:row>30</xdr:row>
      <xdr:rowOff>98113</xdr:rowOff>
    </xdr:to>
    <xdr:grpSp>
      <xdr:nvGrpSpPr>
        <xdr:cNvPr id="7" name="PlayButto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3839574" y="5037143"/>
          <a:ext cx="496038" cy="250190"/>
          <a:chOff x="16488559" y="6362559"/>
          <a:chExt cx="495816" cy="268620"/>
        </a:xfrm>
      </xdr:grpSpPr>
      <xdr:sp macro="[0]!ToggleSimula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6488559" y="6362559"/>
            <a:ext cx="495816" cy="26862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ToggleSimulation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5400000">
            <a:off x="16674396" y="6415143"/>
            <a:ext cx="165125" cy="169863"/>
          </a:xfrm>
          <a:prstGeom prst="triangl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16</xdr:col>
      <xdr:colOff>592596</xdr:colOff>
      <xdr:row>29</xdr:row>
      <xdr:rowOff>8858</xdr:rowOff>
    </xdr:from>
    <xdr:to>
      <xdr:col>17</xdr:col>
      <xdr:colOff>75985</xdr:colOff>
      <xdr:row>30</xdr:row>
      <xdr:rowOff>92075</xdr:rowOff>
    </xdr:to>
    <xdr:grpSp>
      <xdr:nvGrpSpPr>
        <xdr:cNvPr id="30" name="ZoomOutButton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8525016" y="5030438"/>
          <a:ext cx="382549" cy="258477"/>
          <a:chOff x="16495564" y="6854003"/>
          <a:chExt cx="359689" cy="272384"/>
        </a:xfrm>
      </xdr:grpSpPr>
      <xdr:sp macro="[0]!ZoomOut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6495564" y="6854003"/>
            <a:ext cx="359689" cy="272384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ZoomOut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 rot="5400000">
            <a:off x="16656340" y="6909708"/>
            <a:ext cx="45719" cy="16743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16</xdr:col>
      <xdr:colOff>232859</xdr:colOff>
      <xdr:row>29</xdr:row>
      <xdr:rowOff>8858</xdr:rowOff>
    </xdr:from>
    <xdr:to>
      <xdr:col>16</xdr:col>
      <xdr:colOff>592548</xdr:colOff>
      <xdr:row>30</xdr:row>
      <xdr:rowOff>92075</xdr:rowOff>
    </xdr:to>
    <xdr:grpSp>
      <xdr:nvGrpSpPr>
        <xdr:cNvPr id="29" name="ZoomInButton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8165279" y="5030438"/>
          <a:ext cx="359689" cy="258477"/>
          <a:chOff x="16495564" y="6854003"/>
          <a:chExt cx="359689" cy="272384"/>
        </a:xfrm>
      </xdr:grpSpPr>
      <xdr:sp macro="[0]!ZoomI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6495564" y="6854003"/>
            <a:ext cx="359689" cy="272384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ZoomIn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 rot="5400000">
            <a:off x="16594915" y="6970595"/>
            <a:ext cx="167439" cy="4571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ZoomI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 rot="5400000">
            <a:off x="16656340" y="6909708"/>
            <a:ext cx="45719" cy="16743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11</xdr:col>
      <xdr:colOff>153467</xdr:colOff>
      <xdr:row>1</xdr:row>
      <xdr:rowOff>109179</xdr:rowOff>
    </xdr:from>
    <xdr:to>
      <xdr:col>17</xdr:col>
      <xdr:colOff>49424</xdr:colOff>
      <xdr:row>28</xdr:row>
      <xdr:rowOff>53955</xdr:rowOff>
    </xdr:to>
    <xdr:graphicFrame macro="">
      <xdr:nvGraphicFramePr>
        <xdr:cNvPr id="13" name="MainGrap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19130</xdr:colOff>
      <xdr:row>29</xdr:row>
      <xdr:rowOff>10086</xdr:rowOff>
    </xdr:from>
    <xdr:to>
      <xdr:col>15</xdr:col>
      <xdr:colOff>407100</xdr:colOff>
      <xdr:row>31</xdr:row>
      <xdr:rowOff>3231</xdr:rowOff>
    </xdr:to>
    <xdr:grpSp>
      <xdr:nvGrpSpPr>
        <xdr:cNvPr id="48" name="ResetViewButton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/>
      </xdr:nvGrpSpPr>
      <xdr:grpSpPr>
        <a:xfrm>
          <a:off x="7159070" y="5031666"/>
          <a:ext cx="387970" cy="259845"/>
          <a:chOff x="10534650" y="5057775"/>
          <a:chExt cx="359689" cy="273717"/>
        </a:xfrm>
      </xdr:grpSpPr>
      <xdr:sp macro="[0]!ResetView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0534650" y="5057775"/>
            <a:ext cx="359689" cy="273717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View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 rot="5400000">
            <a:off x="10695314" y="5174605"/>
            <a:ext cx="45943" cy="16743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View" textlink="">
        <xdr:nvSpPr>
          <xdr:cNvPr id="47" name="Triangle isocèl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 rot="10800000">
            <a:off x="10654237" y="5122019"/>
            <a:ext cx="123302" cy="96189"/>
          </a:xfrm>
          <a:prstGeom prst="triangl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15</xdr:col>
      <xdr:colOff>676279</xdr:colOff>
      <xdr:row>29</xdr:row>
      <xdr:rowOff>16698</xdr:rowOff>
    </xdr:from>
    <xdr:to>
      <xdr:col>16</xdr:col>
      <xdr:colOff>271769</xdr:colOff>
      <xdr:row>30</xdr:row>
      <xdr:rowOff>99915</xdr:rowOff>
    </xdr:to>
    <xdr:grpSp>
      <xdr:nvGrpSpPr>
        <xdr:cNvPr id="44" name="FocusButto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7816219" y="5038278"/>
          <a:ext cx="387970" cy="250857"/>
          <a:chOff x="8780907" y="5816077"/>
          <a:chExt cx="358487" cy="271722"/>
        </a:xfrm>
      </xdr:grpSpPr>
      <xdr:sp macro="[0]!Focus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8780907" y="5816077"/>
            <a:ext cx="358487" cy="27172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Focus" textlink="">
        <xdr:nvSpPr>
          <xdr:cNvPr id="37" name="Ellips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8943284" y="5931437"/>
            <a:ext cx="45847" cy="45386"/>
          </a:xfrm>
          <a:prstGeom prst="ellips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Focus" textlink="">
        <xdr:nvSpPr>
          <xdr:cNvPr id="38" name="Forme en L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8864796" y="597170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Focus" textlink="">
        <xdr:nvSpPr>
          <xdr:cNvPr id="39" name="Forme en L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 rot="5400000">
            <a:off x="8865167" y="586102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Focus" textlink="">
        <xdr:nvSpPr>
          <xdr:cNvPr id="41" name="Forme en L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rot="16200000">
            <a:off x="8991088" y="597133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Focus" textlink="">
        <xdr:nvSpPr>
          <xdr:cNvPr id="42" name="Forme en L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 rot="10800000">
            <a:off x="8990716" y="586139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5</xdr:col>
      <xdr:colOff>28575</xdr:colOff>
      <xdr:row>11</xdr:row>
      <xdr:rowOff>100011</xdr:rowOff>
    </xdr:from>
    <xdr:to>
      <xdr:col>8</xdr:col>
      <xdr:colOff>99358</xdr:colOff>
      <xdr:row>29</xdr:row>
      <xdr:rowOff>2383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pSpPr/>
      </xdr:nvGrpSpPr>
      <xdr:grpSpPr>
        <a:xfrm>
          <a:off x="1925955" y="1829751"/>
          <a:ext cx="1602403" cy="3194212"/>
          <a:chOff x="2362200" y="2452686"/>
          <a:chExt cx="1556683" cy="3331372"/>
        </a:xfrm>
      </xdr:grpSpPr>
      <xdr:graphicFrame macro="">
        <xdr:nvGraphicFramePr>
          <xdr:cNvPr id="55" name="MainGraph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aphicFramePr/>
        </xdr:nvGraphicFramePr>
        <xdr:xfrm>
          <a:off x="2363785" y="2452686"/>
          <a:ext cx="1555098" cy="16025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6" name="MainGraph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GraphicFramePr/>
        </xdr:nvGraphicFramePr>
        <xdr:xfrm>
          <a:off x="2362200" y="4181475"/>
          <a:ext cx="1555098" cy="16025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20954</xdr:colOff>
          <xdr:row>1</xdr:row>
          <xdr:rowOff>106679</xdr:rowOff>
        </xdr:from>
        <xdr:to>
          <xdr:col>17</xdr:col>
          <xdr:colOff>78106</xdr:colOff>
          <xdr:row>29</xdr:row>
          <xdr:rowOff>15958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3846194" y="358139"/>
              <a:ext cx="5063492" cy="4679399"/>
              <a:chOff x="4349113" y="906779"/>
              <a:chExt cx="5063493" cy="4679398"/>
            </a:xfrm>
          </xdr:grpSpPr>
          <xdr:sp macro="" textlink="">
            <xdr:nvSpPr>
              <xdr:cNvPr id="1046" name="ScrollBar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/>
            </xdr:nvSpPr>
            <xdr:spPr bwMode="auto">
              <a:xfrm>
                <a:off x="4349113" y="906779"/>
                <a:ext cx="148653" cy="46767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8" name="ScrollBar4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/>
            </xdr:nvSpPr>
            <xdr:spPr bwMode="auto">
              <a:xfrm>
                <a:off x="4497768" y="5438711"/>
                <a:ext cx="4914838" cy="1474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78" name="TargetList" hidden="1">
                <a:extLst>
                  <a:ext uri="{63B3BB69-23CF-44E3-9099-C40C66FF867C}">
                    <a14:compatExt spid="_x0000_s1078"/>
                  </a:ext>
                  <a:ext uri="{FF2B5EF4-FFF2-40B4-BE49-F238E27FC236}">
                    <a16:creationId xmlns:a16="http://schemas.microsoft.com/office/drawing/2014/main" id="{00000000-0008-0000-0100-000036040000}"/>
                  </a:ext>
                </a:extLst>
              </xdr:cNvPr>
              <xdr:cNvSpPr/>
            </xdr:nvSpPr>
            <xdr:spPr bwMode="auto">
              <a:xfrm>
                <a:off x="8053807" y="1152633"/>
                <a:ext cx="1105329" cy="21134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22860</xdr:rowOff>
        </xdr:from>
        <xdr:to>
          <xdr:col>6</xdr:col>
          <xdr:colOff>914400</xdr:colOff>
          <xdr:row>29</xdr:row>
          <xdr:rowOff>7620</xdr:rowOff>
        </xdr:to>
        <xdr:sp macro="" textlink="">
          <xdr:nvSpPr>
            <xdr:cNvPr id="1109" name="Label1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7620</xdr:rowOff>
        </xdr:from>
        <xdr:to>
          <xdr:col>6</xdr:col>
          <xdr:colOff>914400</xdr:colOff>
          <xdr:row>20</xdr:row>
          <xdr:rowOff>0</xdr:rowOff>
        </xdr:to>
        <xdr:sp macro="" textlink="">
          <xdr:nvSpPr>
            <xdr:cNvPr id="1110" name="Label2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22860</xdr:rowOff>
        </xdr:from>
        <xdr:to>
          <xdr:col>6</xdr:col>
          <xdr:colOff>975360</xdr:colOff>
          <xdr:row>10</xdr:row>
          <xdr:rowOff>175260</xdr:rowOff>
        </xdr:to>
        <xdr:sp macro="" textlink="">
          <xdr:nvSpPr>
            <xdr:cNvPr id="1050" name="CheckBox12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5</xdr:row>
          <xdr:rowOff>19295</xdr:rowOff>
        </xdr:from>
        <xdr:to>
          <xdr:col>3</xdr:col>
          <xdr:colOff>1120140</xdr:colOff>
          <xdr:row>19</xdr:row>
          <xdr:rowOff>167640</xdr:rowOff>
        </xdr:to>
        <xdr:grpSp>
          <xdr:nvGrpSpPr>
            <xdr:cNvPr id="1106" name="Group 82">
              <a:extLs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47700" y="849875"/>
              <a:ext cx="1021080" cy="2510545"/>
              <a:chOff x="203" y="182"/>
              <a:chExt cx="109" cy="265"/>
            </a:xfrm>
          </xdr:grpSpPr>
          <xdr:sp macro="" textlink="">
            <xdr:nvSpPr>
              <xdr:cNvPr id="1079" name="CheckBox1" hidden="1">
                <a:extLst>
                  <a:ext uri="{63B3BB69-23CF-44E3-9099-C40C66FF867C}">
                    <a14:compatExt spid="_x0000_s1079"/>
                  </a:ext>
                  <a:ext uri="{FF2B5EF4-FFF2-40B4-BE49-F238E27FC236}">
                    <a16:creationId xmlns:a16="http://schemas.microsoft.com/office/drawing/2014/main" id="{00000000-0008-0000-0100-000037040000}"/>
                  </a:ext>
                </a:extLst>
              </xdr:cNvPr>
              <xdr:cNvSpPr/>
            </xdr:nvSpPr>
            <xdr:spPr bwMode="auto">
              <a:xfrm>
                <a:off x="203" y="182"/>
                <a:ext cx="109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0" name="CheckBox2" hidden="1">
                <a:extLst>
                  <a:ext uri="{63B3BB69-23CF-44E3-9099-C40C66FF867C}">
                    <a14:compatExt spid="_x0000_s1080"/>
                  </a:ext>
                  <a:ext uri="{FF2B5EF4-FFF2-40B4-BE49-F238E27FC236}">
                    <a16:creationId xmlns:a16="http://schemas.microsoft.com/office/drawing/2014/main" id="{00000000-0008-0000-0100-000038040000}"/>
                  </a:ext>
                </a:extLst>
              </xdr:cNvPr>
              <xdr:cNvSpPr/>
            </xdr:nvSpPr>
            <xdr:spPr bwMode="auto">
              <a:xfrm>
                <a:off x="203" y="208"/>
                <a:ext cx="109" cy="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1" name="CheckBox3" hidden="1">
                <a:extLst>
                  <a:ext uri="{63B3BB69-23CF-44E3-9099-C40C66FF867C}">
                    <a14:compatExt spid="_x0000_s1081"/>
                  </a:ext>
                  <a:ext uri="{FF2B5EF4-FFF2-40B4-BE49-F238E27FC236}">
                    <a16:creationId xmlns:a16="http://schemas.microsoft.com/office/drawing/2014/main" id="{00000000-0008-0000-0100-000039040000}"/>
                  </a:ext>
                </a:extLst>
              </xdr:cNvPr>
              <xdr:cNvSpPr/>
            </xdr:nvSpPr>
            <xdr:spPr bwMode="auto">
              <a:xfrm>
                <a:off x="203" y="234"/>
                <a:ext cx="109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2" name="CheckBox4" hidden="1">
                <a:extLst>
                  <a:ext uri="{63B3BB69-23CF-44E3-9099-C40C66FF867C}">
                    <a14:compatExt spid="_x0000_s1082"/>
                  </a:ext>
                  <a:ext uri="{FF2B5EF4-FFF2-40B4-BE49-F238E27FC236}">
                    <a16:creationId xmlns:a16="http://schemas.microsoft.com/office/drawing/2014/main" id="{00000000-0008-0000-0100-00003A040000}"/>
                  </a:ext>
                </a:extLst>
              </xdr:cNvPr>
              <xdr:cNvSpPr/>
            </xdr:nvSpPr>
            <xdr:spPr bwMode="auto">
              <a:xfrm>
                <a:off x="203" y="261"/>
                <a:ext cx="109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3" name="CheckBox5" hidden="1">
                <a:extLst>
                  <a:ext uri="{63B3BB69-23CF-44E3-9099-C40C66FF867C}">
                    <a14:compatExt spid="_x0000_s1083"/>
                  </a:ext>
                  <a:ext uri="{FF2B5EF4-FFF2-40B4-BE49-F238E27FC236}">
                    <a16:creationId xmlns:a16="http://schemas.microsoft.com/office/drawing/2014/main" id="{00000000-0008-0000-0100-00003B040000}"/>
                  </a:ext>
                </a:extLst>
              </xdr:cNvPr>
              <xdr:cNvSpPr/>
            </xdr:nvSpPr>
            <xdr:spPr bwMode="auto">
              <a:xfrm>
                <a:off x="203" y="286"/>
                <a:ext cx="109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4" name="CheckBox6" hidden="1">
                <a:extLst>
                  <a:ext uri="{63B3BB69-23CF-44E3-9099-C40C66FF867C}">
                    <a14:compatExt spid="_x0000_s1084"/>
                  </a:ext>
                  <a:ext uri="{FF2B5EF4-FFF2-40B4-BE49-F238E27FC236}">
                    <a16:creationId xmlns:a16="http://schemas.microsoft.com/office/drawing/2014/main" id="{00000000-0008-0000-0100-00003C040000}"/>
                  </a:ext>
                </a:extLst>
              </xdr:cNvPr>
              <xdr:cNvSpPr/>
            </xdr:nvSpPr>
            <xdr:spPr bwMode="auto">
              <a:xfrm>
                <a:off x="203" y="314"/>
                <a:ext cx="109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5" name="CheckBox7" hidden="1">
                <a:extLst>
                  <a:ext uri="{63B3BB69-23CF-44E3-9099-C40C66FF867C}">
                    <a14:compatExt spid="_x0000_s1085"/>
                  </a:ext>
                  <a:ext uri="{FF2B5EF4-FFF2-40B4-BE49-F238E27FC236}">
                    <a16:creationId xmlns:a16="http://schemas.microsoft.com/office/drawing/2014/main" id="{00000000-0008-0000-0100-00003D040000}"/>
                  </a:ext>
                </a:extLst>
              </xdr:cNvPr>
              <xdr:cNvSpPr/>
            </xdr:nvSpPr>
            <xdr:spPr bwMode="auto">
              <a:xfrm>
                <a:off x="203" y="341"/>
                <a:ext cx="109" cy="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7" name="CheckBox8" hidden="1">
                <a:extLst>
                  <a:ext uri="{63B3BB69-23CF-44E3-9099-C40C66FF867C}">
                    <a14:compatExt spid="_x0000_s1087"/>
                  </a:ext>
                  <a:ext uri="{FF2B5EF4-FFF2-40B4-BE49-F238E27FC236}">
                    <a16:creationId xmlns:a16="http://schemas.microsoft.com/office/drawing/2014/main" id="{00000000-0008-0000-0100-00003F040000}"/>
                  </a:ext>
                </a:extLst>
              </xdr:cNvPr>
              <xdr:cNvSpPr/>
            </xdr:nvSpPr>
            <xdr:spPr bwMode="auto">
              <a:xfrm>
                <a:off x="203" y="367"/>
                <a:ext cx="109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8" name="CheckBox9" hidden="1">
                <a:extLst>
                  <a:ext uri="{63B3BB69-23CF-44E3-9099-C40C66FF867C}">
                    <a14:compatExt spid="_x0000_s1088"/>
                  </a:ext>
                  <a:ext uri="{FF2B5EF4-FFF2-40B4-BE49-F238E27FC236}">
                    <a16:creationId xmlns:a16="http://schemas.microsoft.com/office/drawing/2014/main" id="{00000000-0008-0000-0100-000040040000}"/>
                  </a:ext>
                </a:extLst>
              </xdr:cNvPr>
              <xdr:cNvSpPr/>
            </xdr:nvSpPr>
            <xdr:spPr bwMode="auto">
              <a:xfrm>
                <a:off x="203" y="394"/>
                <a:ext cx="109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89" name="CheckBox10" hidden="1">
                <a:extLst>
                  <a:ext uri="{63B3BB69-23CF-44E3-9099-C40C66FF867C}">
                    <a14:compatExt spid="_x0000_s1089"/>
                  </a:ext>
                  <a:ext uri="{FF2B5EF4-FFF2-40B4-BE49-F238E27FC236}">
                    <a16:creationId xmlns:a16="http://schemas.microsoft.com/office/drawing/2014/main" id="{00000000-0008-0000-0100-000041040000}"/>
                  </a:ext>
                </a:extLst>
              </xdr:cNvPr>
              <xdr:cNvSpPr/>
            </xdr:nvSpPr>
            <xdr:spPr bwMode="auto">
              <a:xfrm>
                <a:off x="203" y="420"/>
                <a:ext cx="109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27</xdr:row>
          <xdr:rowOff>121920</xdr:rowOff>
        </xdr:from>
        <xdr:to>
          <xdr:col>4</xdr:col>
          <xdr:colOff>0</xdr:colOff>
          <xdr:row>29</xdr:row>
          <xdr:rowOff>7620</xdr:rowOff>
        </xdr:to>
        <xdr:sp macro="" textlink="">
          <xdr:nvSpPr>
            <xdr:cNvPr id="1111" name="SituationAleaButton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25</xdr:row>
          <xdr:rowOff>152400</xdr:rowOff>
        </xdr:from>
        <xdr:to>
          <xdr:col>4</xdr:col>
          <xdr:colOff>0</xdr:colOff>
          <xdr:row>27</xdr:row>
          <xdr:rowOff>38100</xdr:rowOff>
        </xdr:to>
        <xdr:sp macro="" textlink="">
          <xdr:nvSpPr>
            <xdr:cNvPr id="1115" name="Situation4Button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24</xdr:row>
          <xdr:rowOff>22860</xdr:rowOff>
        </xdr:from>
        <xdr:to>
          <xdr:col>4</xdr:col>
          <xdr:colOff>0</xdr:colOff>
          <xdr:row>25</xdr:row>
          <xdr:rowOff>83820</xdr:rowOff>
        </xdr:to>
        <xdr:sp macro="" textlink="">
          <xdr:nvSpPr>
            <xdr:cNvPr id="1116" name="Situation3Button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22</xdr:row>
          <xdr:rowOff>60960</xdr:rowOff>
        </xdr:from>
        <xdr:to>
          <xdr:col>4</xdr:col>
          <xdr:colOff>0</xdr:colOff>
          <xdr:row>23</xdr:row>
          <xdr:rowOff>137160</xdr:rowOff>
        </xdr:to>
        <xdr:sp macro="" textlink="">
          <xdr:nvSpPr>
            <xdr:cNvPr id="1117" name="Situation2Button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20</xdr:row>
          <xdr:rowOff>106680</xdr:rowOff>
        </xdr:from>
        <xdr:to>
          <xdr:col>4</xdr:col>
          <xdr:colOff>0</xdr:colOff>
          <xdr:row>21</xdr:row>
          <xdr:rowOff>175260</xdr:rowOff>
        </xdr:to>
        <xdr:sp macro="" textlink="">
          <xdr:nvSpPr>
            <xdr:cNvPr id="1118" name="Situation1Button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76200</xdr:colOff>
      <xdr:row>34</xdr:row>
      <xdr:rowOff>0</xdr:rowOff>
    </xdr:from>
    <xdr:to>
      <xdr:col>3</xdr:col>
      <xdr:colOff>457938</xdr:colOff>
      <xdr:row>35</xdr:row>
      <xdr:rowOff>67310</xdr:rowOff>
    </xdr:to>
    <xdr:grpSp>
      <xdr:nvGrpSpPr>
        <xdr:cNvPr id="59" name="PlayButton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10540" y="5753100"/>
          <a:ext cx="496038" cy="250190"/>
          <a:chOff x="16488559" y="6362559"/>
          <a:chExt cx="495816" cy="268620"/>
        </a:xfrm>
      </xdr:grpSpPr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6488559" y="6362559"/>
            <a:ext cx="495816" cy="26862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61" name="Triangle isocè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 rot="5400000">
            <a:off x="16674396" y="6415143"/>
            <a:ext cx="165125" cy="169863"/>
          </a:xfrm>
          <a:prstGeom prst="triangl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2</xdr:col>
      <xdr:colOff>83820</xdr:colOff>
      <xdr:row>35</xdr:row>
      <xdr:rowOff>152400</xdr:rowOff>
    </xdr:from>
    <xdr:to>
      <xdr:col>3</xdr:col>
      <xdr:colOff>467347</xdr:colOff>
      <xdr:row>37</xdr:row>
      <xdr:rowOff>42599</xdr:rowOff>
    </xdr:to>
    <xdr:grpSp>
      <xdr:nvGrpSpPr>
        <xdr:cNvPr id="62" name="PauseButton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18160" y="6088380"/>
          <a:ext cx="497827" cy="255959"/>
          <a:chOff x="16488103" y="6823513"/>
          <a:chExt cx="495817" cy="269193"/>
        </a:xfrm>
      </xdr:grpSpPr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6488103" y="6823513"/>
            <a:ext cx="495817" cy="26919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 rot="5400000">
            <a:off x="16619232" y="6936745"/>
            <a:ext cx="164845" cy="49145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6763106" y="6879715"/>
            <a:ext cx="49145" cy="164466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2</xdr:col>
      <xdr:colOff>68580</xdr:colOff>
      <xdr:row>37</xdr:row>
      <xdr:rowOff>152400</xdr:rowOff>
    </xdr:from>
    <xdr:to>
      <xdr:col>3</xdr:col>
      <xdr:colOff>480798</xdr:colOff>
      <xdr:row>39</xdr:row>
      <xdr:rowOff>44450</xdr:rowOff>
    </xdr:to>
    <xdr:grpSp>
      <xdr:nvGrpSpPr>
        <xdr:cNvPr id="66" name="ReplayButton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/>
      </xdr:nvGrpSpPr>
      <xdr:grpSpPr>
        <a:xfrm>
          <a:off x="502920" y="6454140"/>
          <a:ext cx="526518" cy="257810"/>
          <a:chOff x="16459200" y="7115175"/>
          <a:chExt cx="496038" cy="273050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6459200" y="7115175"/>
            <a:ext cx="496038" cy="2730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68" name="Arc plein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 rot="17978884">
            <a:off x="16643767" y="7169996"/>
            <a:ext cx="167848" cy="169939"/>
          </a:xfrm>
          <a:prstGeom prst="blockArc">
            <a:avLst>
              <a:gd name="adj1" fmla="val 3626972"/>
              <a:gd name="adj2" fmla="val 19709515"/>
              <a:gd name="adj3" fmla="val 13340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69" name="Triangle isocè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 rot="5400000">
            <a:off x="16711619" y="7162326"/>
            <a:ext cx="57150" cy="45719"/>
          </a:xfrm>
          <a:prstGeom prst="triangl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3</xdr:col>
      <xdr:colOff>7620</xdr:colOff>
      <xdr:row>39</xdr:row>
      <xdr:rowOff>160020</xdr:rowOff>
    </xdr:from>
    <xdr:to>
      <xdr:col>3</xdr:col>
      <xdr:colOff>395590</xdr:colOff>
      <xdr:row>41</xdr:row>
      <xdr:rowOff>52737</xdr:rowOff>
    </xdr:to>
    <xdr:grpSp>
      <xdr:nvGrpSpPr>
        <xdr:cNvPr id="70" name="ResetViewButton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/>
      </xdr:nvGrpSpPr>
      <xdr:grpSpPr>
        <a:xfrm>
          <a:off x="556260" y="6827520"/>
          <a:ext cx="387970" cy="258477"/>
          <a:chOff x="10534650" y="5057775"/>
          <a:chExt cx="359689" cy="273717"/>
        </a:xfrm>
      </xdr:grpSpPr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0534650" y="5057775"/>
            <a:ext cx="359689" cy="273717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 rot="5400000">
            <a:off x="10695314" y="5174605"/>
            <a:ext cx="45943" cy="16743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73" name="Triangle isocèle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 rot="10800000">
            <a:off x="10654237" y="5122019"/>
            <a:ext cx="123302" cy="96189"/>
          </a:xfrm>
          <a:prstGeom prst="triangl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3</xdr:col>
      <xdr:colOff>22860</xdr:colOff>
      <xdr:row>41</xdr:row>
      <xdr:rowOff>144780</xdr:rowOff>
    </xdr:from>
    <xdr:to>
      <xdr:col>3</xdr:col>
      <xdr:colOff>382549</xdr:colOff>
      <xdr:row>43</xdr:row>
      <xdr:rowOff>37497</xdr:rowOff>
    </xdr:to>
    <xdr:grpSp>
      <xdr:nvGrpSpPr>
        <xdr:cNvPr id="74" name="ZoomInButton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571500" y="7178040"/>
          <a:ext cx="359689" cy="258477"/>
          <a:chOff x="16495564" y="6854003"/>
          <a:chExt cx="359689" cy="272384"/>
        </a:xfrm>
      </xdr:grpSpPr>
      <xdr:sp macro="" textlink="">
        <xdr:nvSpPr>
          <xdr:cNvPr id="75" name="Rectangle 74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6495564" y="6854003"/>
            <a:ext cx="359689" cy="272384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rot="5400000">
            <a:off x="16594915" y="6970595"/>
            <a:ext cx="167439" cy="4571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rot="5400000">
            <a:off x="16656340" y="6909708"/>
            <a:ext cx="45719" cy="16743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3</xdr:col>
      <xdr:colOff>22860</xdr:colOff>
      <xdr:row>43</xdr:row>
      <xdr:rowOff>137160</xdr:rowOff>
    </xdr:from>
    <xdr:to>
      <xdr:col>3</xdr:col>
      <xdr:colOff>405409</xdr:colOff>
      <xdr:row>45</xdr:row>
      <xdr:rowOff>29877</xdr:rowOff>
    </xdr:to>
    <xdr:grpSp>
      <xdr:nvGrpSpPr>
        <xdr:cNvPr id="78" name="ZoomOutButton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571500" y="7536180"/>
          <a:ext cx="382549" cy="258477"/>
          <a:chOff x="16495564" y="6854003"/>
          <a:chExt cx="359689" cy="272384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>
            <a:off x="16495564" y="6854003"/>
            <a:ext cx="359689" cy="272384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rot="5400000">
            <a:off x="16656340" y="6909708"/>
            <a:ext cx="45719" cy="167439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3</xdr:col>
      <xdr:colOff>22860</xdr:colOff>
      <xdr:row>45</xdr:row>
      <xdr:rowOff>137160</xdr:rowOff>
    </xdr:from>
    <xdr:to>
      <xdr:col>3</xdr:col>
      <xdr:colOff>410830</xdr:colOff>
      <xdr:row>47</xdr:row>
      <xdr:rowOff>22257</xdr:rowOff>
    </xdr:to>
    <xdr:grpSp>
      <xdr:nvGrpSpPr>
        <xdr:cNvPr id="81" name="FocusButton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pSpPr/>
      </xdr:nvGrpSpPr>
      <xdr:grpSpPr>
        <a:xfrm>
          <a:off x="571500" y="7901940"/>
          <a:ext cx="387970" cy="250857"/>
          <a:chOff x="8780907" y="5816077"/>
          <a:chExt cx="358487" cy="271722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8780907" y="5816077"/>
            <a:ext cx="358487" cy="27172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3" name="Ellipse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>
            <a:off x="8943284" y="5931437"/>
            <a:ext cx="45847" cy="45386"/>
          </a:xfrm>
          <a:prstGeom prst="ellipse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4" name="Forme en L 83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8864796" y="597170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5" name="Forme en L 84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 rot="5400000">
            <a:off x="8865167" y="586102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6" name="Forme en L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rot="16200000">
            <a:off x="8991088" y="597133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87" name="Forme en L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rot="10800000">
            <a:off x="8990716" y="586139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15</xdr:col>
      <xdr:colOff>352894</xdr:colOff>
      <xdr:row>29</xdr:row>
      <xdr:rowOff>18738</xdr:rowOff>
    </xdr:from>
    <xdr:to>
      <xdr:col>15</xdr:col>
      <xdr:colOff>741613</xdr:colOff>
      <xdr:row>31</xdr:row>
      <xdr:rowOff>2396</xdr:rowOff>
    </xdr:to>
    <xdr:grpSp>
      <xdr:nvGrpSpPr>
        <xdr:cNvPr id="96" name="FocusButton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GrpSpPr/>
      </xdr:nvGrpSpPr>
      <xdr:grpSpPr>
        <a:xfrm>
          <a:off x="7492834" y="5040318"/>
          <a:ext cx="388719" cy="250358"/>
          <a:chOff x="8780907" y="5816077"/>
          <a:chExt cx="358487" cy="271722"/>
        </a:xfrm>
      </xdr:grpSpPr>
      <xdr:sp macro="[0]!ResetZoom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>
            <a:off x="8780907" y="5816077"/>
            <a:ext cx="358487" cy="27172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Zoom" textlink="">
        <xdr:nvSpPr>
          <xdr:cNvPr id="99" name="Forme en L 98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864796" y="597170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Zoom" textlink="">
        <xdr:nvSpPr>
          <xdr:cNvPr id="100" name="Forme en L 99">
            <a:extLst>
              <a:ext uri="{FF2B5EF4-FFF2-40B4-BE49-F238E27FC236}">
                <a16:creationId xmlns:a16="http://schemas.microsoft.com/office/drawing/2014/main" id="{00000000-0008-0000-0100-000064000000}"/>
              </a:ext>
            </a:extLst>
          </xdr:cNvPr>
          <xdr:cNvSpPr/>
        </xdr:nvSpPr>
        <xdr:spPr>
          <a:xfrm rot="5400000">
            <a:off x="8865167" y="586102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Zoom" textlink="">
        <xdr:nvSpPr>
          <xdr:cNvPr id="101" name="Forme en L 100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SpPr/>
        </xdr:nvSpPr>
        <xdr:spPr>
          <a:xfrm rot="16200000">
            <a:off x="8991088" y="597133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[0]!ResetZoom" textlink="">
        <xdr:nvSpPr>
          <xdr:cNvPr id="102" name="Forme en L 101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SpPr/>
        </xdr:nvSpPr>
        <xdr:spPr>
          <a:xfrm rot="10800000">
            <a:off x="8990716" y="586139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  <xdr:twoCellAnchor>
    <xdr:from>
      <xdr:col>3</xdr:col>
      <xdr:colOff>25234</xdr:colOff>
      <xdr:row>47</xdr:row>
      <xdr:rowOff>171138</xdr:rowOff>
    </xdr:from>
    <xdr:to>
      <xdr:col>3</xdr:col>
      <xdr:colOff>413953</xdr:colOff>
      <xdr:row>49</xdr:row>
      <xdr:rowOff>55736</xdr:rowOff>
    </xdr:to>
    <xdr:grpSp>
      <xdr:nvGrpSpPr>
        <xdr:cNvPr id="103" name="FocusButton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GrpSpPr/>
      </xdr:nvGrpSpPr>
      <xdr:grpSpPr>
        <a:xfrm>
          <a:off x="573874" y="8301678"/>
          <a:ext cx="388719" cy="250358"/>
          <a:chOff x="8780907" y="5816077"/>
          <a:chExt cx="358487" cy="271722"/>
        </a:xfrm>
      </xdr:grpSpPr>
      <xdr:sp macro="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00000000-0008-0000-0100-000068000000}"/>
              </a:ext>
            </a:extLst>
          </xdr:cNvPr>
          <xdr:cNvSpPr/>
        </xdr:nvSpPr>
        <xdr:spPr>
          <a:xfrm>
            <a:off x="8780907" y="5816077"/>
            <a:ext cx="358487" cy="27172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05" name="Forme en L 104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SpPr/>
        </xdr:nvSpPr>
        <xdr:spPr>
          <a:xfrm>
            <a:off x="8864796" y="597170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06" name="Forme en L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/>
        </xdr:nvSpPr>
        <xdr:spPr>
          <a:xfrm rot="5400000">
            <a:off x="8865167" y="586102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07" name="Forme en L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 rot="16200000">
            <a:off x="8991088" y="5971335"/>
            <a:ext cx="73281" cy="74025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  <xdr:sp macro="" textlink="">
        <xdr:nvSpPr>
          <xdr:cNvPr id="108" name="Forme en L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 rot="10800000">
            <a:off x="8990716" y="5861397"/>
            <a:ext cx="74025" cy="73281"/>
          </a:xfrm>
          <a:prstGeom prst="corner">
            <a:avLst>
              <a:gd name="adj1" fmla="val 24219"/>
              <a:gd name="adj2" fmla="val 23958"/>
            </a:avLst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fr-F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16"/>
  <sheetViews>
    <sheetView workbookViewId="0">
      <selection activeCell="E22" sqref="E22"/>
    </sheetView>
  </sheetViews>
  <sheetFormatPr defaultColWidth="11.5546875" defaultRowHeight="14.4" x14ac:dyDescent="0.3"/>
  <cols>
    <col min="1" max="1" width="17.109375" customWidth="1"/>
    <col min="7" max="7" width="13.6640625" customWidth="1"/>
    <col min="8" max="8" width="12.6640625" customWidth="1"/>
    <col min="9" max="9" width="4.5546875" customWidth="1"/>
    <col min="10" max="10" width="4.6640625" customWidth="1"/>
    <col min="11" max="11" width="4.44140625" customWidth="1"/>
    <col min="12" max="13" width="4" customWidth="1"/>
    <col min="14" max="14" width="3.88671875" customWidth="1"/>
    <col min="15" max="15" width="3.33203125" customWidth="1"/>
    <col min="19" max="19" width="2.88671875" customWidth="1"/>
    <col min="20" max="20" width="4.88671875" customWidth="1"/>
    <col min="21" max="21" width="4.33203125" customWidth="1"/>
    <col min="22" max="22" width="4.5546875" customWidth="1"/>
    <col min="23" max="23" width="5.6640625" customWidth="1"/>
    <col min="24" max="24" width="4.44140625" customWidth="1"/>
    <col min="26" max="26" width="3.33203125" customWidth="1"/>
    <col min="27" max="27" width="4.109375" customWidth="1"/>
  </cols>
  <sheetData>
    <row r="1" spans="1:27" x14ac:dyDescent="0.3">
      <c r="S1" s="129" t="s">
        <v>33</v>
      </c>
      <c r="T1" s="129"/>
      <c r="U1" s="129" t="s">
        <v>35</v>
      </c>
      <c r="V1" s="129"/>
      <c r="W1" s="129" t="s">
        <v>34</v>
      </c>
      <c r="X1" s="129"/>
      <c r="Y1" s="9"/>
      <c r="Z1" s="129" t="s">
        <v>32</v>
      </c>
      <c r="AA1" s="129"/>
    </row>
    <row r="2" spans="1:27" x14ac:dyDescent="0.3">
      <c r="C2" s="2" t="s">
        <v>3</v>
      </c>
      <c r="D2" s="2" t="s">
        <v>4</v>
      </c>
      <c r="E2" t="s">
        <v>7</v>
      </c>
      <c r="F2" t="s">
        <v>8</v>
      </c>
      <c r="G2" t="s">
        <v>9</v>
      </c>
      <c r="H2" t="s">
        <v>10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P2" s="3" t="s">
        <v>16</v>
      </c>
      <c r="S2" s="9" t="s">
        <v>0</v>
      </c>
      <c r="T2" s="9" t="s">
        <v>1</v>
      </c>
      <c r="U2" s="9" t="s">
        <v>0</v>
      </c>
      <c r="V2" s="9" t="s">
        <v>1</v>
      </c>
      <c r="W2" s="9" t="s">
        <v>0</v>
      </c>
      <c r="X2" s="9" t="s">
        <v>1</v>
      </c>
      <c r="Y2" s="9"/>
      <c r="Z2" s="9" t="s">
        <v>0</v>
      </c>
      <c r="AA2" s="9" t="s">
        <v>1</v>
      </c>
    </row>
    <row r="3" spans="1:27" x14ac:dyDescent="0.3">
      <c r="A3" s="8" t="s">
        <v>30</v>
      </c>
      <c r="B3">
        <v>0</v>
      </c>
      <c r="C3" s="4" t="s">
        <v>14</v>
      </c>
      <c r="D3" s="4" t="s">
        <v>13</v>
      </c>
      <c r="E3" s="4" t="s">
        <v>11</v>
      </c>
      <c r="F3" s="4" t="s">
        <v>12</v>
      </c>
      <c r="G3" s="4" t="s">
        <v>18</v>
      </c>
      <c r="H3" s="4" t="s">
        <v>19</v>
      </c>
      <c r="P3" s="3" t="s">
        <v>17</v>
      </c>
      <c r="S3" s="9"/>
      <c r="T3" s="9"/>
      <c r="U3" s="9"/>
      <c r="V3" s="9"/>
      <c r="W3" s="9"/>
      <c r="X3" s="9"/>
      <c r="Y3" s="9"/>
      <c r="Z3" s="9">
        <v>0</v>
      </c>
      <c r="AA3" s="9">
        <v>0</v>
      </c>
    </row>
    <row r="4" spans="1:27" x14ac:dyDescent="0.3">
      <c r="A4" s="7" t="s">
        <v>31</v>
      </c>
      <c r="B4">
        <v>1</v>
      </c>
      <c r="C4" s="5"/>
      <c r="D4" s="5"/>
      <c r="E4" s="5"/>
      <c r="F4" s="5"/>
      <c r="G4" s="5"/>
      <c r="H4" s="5"/>
      <c r="P4" s="3" t="s">
        <v>5</v>
      </c>
    </row>
    <row r="5" spans="1:27" x14ac:dyDescent="0.3">
      <c r="B5">
        <v>2</v>
      </c>
      <c r="C5" s="5"/>
      <c r="D5" s="5"/>
      <c r="E5" s="5"/>
      <c r="F5" s="5"/>
      <c r="G5" s="5"/>
      <c r="H5" s="5"/>
      <c r="P5" s="3" t="s">
        <v>6</v>
      </c>
    </row>
    <row r="6" spans="1:27" x14ac:dyDescent="0.3">
      <c r="B6" s="1" t="s">
        <v>2</v>
      </c>
      <c r="C6" s="5"/>
      <c r="D6" s="5"/>
      <c r="E6" s="5"/>
      <c r="F6" s="5"/>
      <c r="G6" s="5"/>
      <c r="H6" s="5"/>
    </row>
    <row r="7" spans="1:27" x14ac:dyDescent="0.3">
      <c r="C7" s="5"/>
      <c r="D7" s="5"/>
      <c r="E7" s="5"/>
      <c r="F7" s="5"/>
      <c r="G7" s="5"/>
      <c r="H7" s="5"/>
      <c r="P7" s="3" t="s">
        <v>15</v>
      </c>
    </row>
    <row r="8" spans="1:27" x14ac:dyDescent="0.3">
      <c r="C8" s="5"/>
      <c r="D8" s="5"/>
      <c r="E8" s="5"/>
      <c r="F8" s="5"/>
      <c r="G8" s="5"/>
      <c r="H8" s="5"/>
    </row>
    <row r="9" spans="1:27" x14ac:dyDescent="0.3">
      <c r="C9" s="5"/>
      <c r="D9" s="5"/>
      <c r="E9" s="5"/>
      <c r="F9" s="5"/>
      <c r="G9" s="5"/>
      <c r="H9" s="5"/>
    </row>
    <row r="10" spans="1:27" x14ac:dyDescent="0.3">
      <c r="C10" s="5"/>
      <c r="D10" s="5"/>
      <c r="E10" s="5"/>
      <c r="F10" s="5"/>
      <c r="G10" s="5"/>
      <c r="H10" s="5"/>
      <c r="P10" s="3" t="s">
        <v>20</v>
      </c>
    </row>
    <row r="11" spans="1:27" x14ac:dyDescent="0.3">
      <c r="C11" s="5"/>
      <c r="D11" s="5"/>
      <c r="E11" s="5"/>
      <c r="F11" s="5"/>
      <c r="G11" s="5"/>
      <c r="H11" s="5"/>
      <c r="P11" s="3" t="s">
        <v>21</v>
      </c>
    </row>
    <row r="12" spans="1:27" x14ac:dyDescent="0.3">
      <c r="C12" s="5"/>
      <c r="D12" s="5"/>
      <c r="E12" s="5"/>
      <c r="F12" s="5"/>
      <c r="G12" s="5"/>
      <c r="H12" s="5"/>
      <c r="P12" s="3" t="s">
        <v>22</v>
      </c>
    </row>
    <row r="13" spans="1:27" x14ac:dyDescent="0.3">
      <c r="C13" s="5"/>
      <c r="D13" s="5"/>
      <c r="E13" s="5"/>
      <c r="F13" s="5"/>
      <c r="G13" s="5"/>
      <c r="H13" s="5"/>
      <c r="P13" s="3" t="s">
        <v>23</v>
      </c>
    </row>
    <row r="14" spans="1:27" x14ac:dyDescent="0.3">
      <c r="C14" s="5"/>
      <c r="D14" s="5"/>
      <c r="E14" s="5"/>
      <c r="F14" s="5"/>
      <c r="G14" s="5"/>
      <c r="H14" s="5"/>
    </row>
    <row r="15" spans="1:27" x14ac:dyDescent="0.3">
      <c r="C15" s="5"/>
      <c r="D15" s="5"/>
      <c r="E15" s="5"/>
      <c r="F15" s="5"/>
      <c r="G15" s="5"/>
      <c r="H15" s="5"/>
    </row>
    <row r="16" spans="1:27" x14ac:dyDescent="0.3">
      <c r="B16">
        <v>1000</v>
      </c>
      <c r="C16" s="6"/>
      <c r="D16" s="6"/>
      <c r="E16" s="6"/>
      <c r="F16" s="6"/>
      <c r="G16" s="6"/>
      <c r="H16" s="6"/>
    </row>
  </sheetData>
  <mergeCells count="4">
    <mergeCell ref="S1:T1"/>
    <mergeCell ref="U1:V1"/>
    <mergeCell ref="W1:X1"/>
    <mergeCell ref="Z1:AA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E995"/>
  <sheetViews>
    <sheetView showGridLines="0" tabSelected="1" zoomScaleNormal="100" workbookViewId="0">
      <selection activeCell="K56" sqref="K56"/>
    </sheetView>
  </sheetViews>
  <sheetFormatPr defaultColWidth="11.5546875" defaultRowHeight="14.4" x14ac:dyDescent="0.3"/>
  <cols>
    <col min="1" max="1" width="4.21875" customWidth="1"/>
    <col min="2" max="2" width="2.109375" customWidth="1"/>
    <col min="3" max="3" width="1.6640625" style="25" customWidth="1"/>
    <col min="4" max="4" width="18.109375" customWidth="1"/>
    <col min="5" max="5" width="1.5546875" style="25" customWidth="1"/>
    <col min="6" max="6" width="1.33203125" customWidth="1"/>
    <col min="7" max="7" width="14.5546875" customWidth="1"/>
    <col min="8" max="8" width="6.44140625" customWidth="1"/>
    <col min="9" max="9" width="2" customWidth="1"/>
    <col min="10" max="11" width="1.88671875" style="25" customWidth="1"/>
    <col min="15" max="15" width="13.6640625" bestFit="1" customWidth="1"/>
    <col min="17" max="17" width="13.109375" bestFit="1" customWidth="1"/>
    <col min="18" max="18" width="2.6640625" customWidth="1"/>
    <col min="21" max="21" width="12" bestFit="1" customWidth="1"/>
    <col min="30" max="30" width="12" bestFit="1" customWidth="1"/>
  </cols>
  <sheetData>
    <row r="1" spans="1:31" ht="20.25" customHeight="1" x14ac:dyDescent="0.3">
      <c r="B1" s="135" t="s">
        <v>149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5"/>
      <c r="S1" s="15"/>
      <c r="T1" s="15"/>
    </row>
    <row r="2" spans="1:31" ht="9" customHeight="1" x14ac:dyDescent="0.3"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15"/>
      <c r="T2" s="15"/>
      <c r="U2" s="15"/>
      <c r="V2" s="15"/>
      <c r="W2" s="15"/>
      <c r="X2" s="130"/>
      <c r="Y2" s="130"/>
      <c r="Z2" s="130"/>
      <c r="AA2" s="15"/>
      <c r="AB2" s="15"/>
      <c r="AC2" s="15"/>
      <c r="AD2" s="15"/>
      <c r="AE2" s="15"/>
    </row>
    <row r="3" spans="1:31" x14ac:dyDescent="0.3">
      <c r="B3" s="61"/>
      <c r="C3" s="63"/>
      <c r="D3" s="63"/>
      <c r="E3" s="63"/>
      <c r="F3" s="63"/>
      <c r="G3" s="63"/>
      <c r="H3" s="63"/>
      <c r="I3" s="63"/>
      <c r="J3" s="63"/>
      <c r="K3" s="61"/>
      <c r="L3" s="61"/>
      <c r="M3" s="61"/>
      <c r="N3" s="61"/>
      <c r="O3" s="61"/>
      <c r="P3" s="61"/>
      <c r="Q3" s="61"/>
      <c r="R3" s="61"/>
      <c r="S3" s="24"/>
      <c r="T3" s="26"/>
      <c r="U3" s="15"/>
      <c r="V3" s="15"/>
      <c r="W3" s="19"/>
      <c r="X3" s="15"/>
      <c r="Y3" s="15"/>
      <c r="Z3" s="19"/>
      <c r="AA3" s="15"/>
      <c r="AB3" s="20"/>
      <c r="AC3" s="20"/>
      <c r="AD3" s="20"/>
      <c r="AE3" s="16"/>
    </row>
    <row r="4" spans="1:31" x14ac:dyDescent="0.3">
      <c r="B4" s="61"/>
      <c r="C4" s="63"/>
      <c r="D4" s="70" t="s">
        <v>112</v>
      </c>
      <c r="E4" s="63"/>
      <c r="F4" s="132" t="s">
        <v>110</v>
      </c>
      <c r="G4" s="133"/>
      <c r="H4" s="133"/>
      <c r="I4" s="134"/>
      <c r="J4" s="63"/>
      <c r="K4" s="61"/>
      <c r="L4" s="61"/>
      <c r="M4" s="61"/>
      <c r="N4" s="61"/>
      <c r="O4" s="61"/>
      <c r="P4" s="61"/>
      <c r="Q4" s="61"/>
      <c r="R4" s="61"/>
      <c r="S4" s="24"/>
      <c r="T4" s="25"/>
      <c r="U4" s="15"/>
      <c r="V4" s="15"/>
      <c r="W4" s="15"/>
      <c r="X4" s="15"/>
      <c r="Y4" s="15"/>
      <c r="Z4" s="15"/>
      <c r="AA4" s="15"/>
      <c r="AB4" s="20"/>
      <c r="AC4" s="20"/>
      <c r="AD4" s="20"/>
      <c r="AE4" s="20"/>
    </row>
    <row r="5" spans="1:31" s="25" customFormat="1" ht="8.25" customHeight="1" x14ac:dyDescent="0.3">
      <c r="B5" s="61"/>
      <c r="C5" s="63"/>
      <c r="D5" s="63"/>
      <c r="E5" s="63"/>
      <c r="F5" s="63"/>
      <c r="G5" s="63"/>
      <c r="H5" s="63"/>
      <c r="I5" s="63"/>
      <c r="J5" s="63"/>
      <c r="K5" s="61"/>
      <c r="L5" s="61"/>
      <c r="M5" s="61"/>
      <c r="N5" s="61"/>
      <c r="O5" s="61"/>
      <c r="P5" s="61"/>
      <c r="Q5" s="61"/>
      <c r="R5" s="61"/>
      <c r="S5" s="46"/>
      <c r="U5" s="26"/>
      <c r="V5" s="26"/>
      <c r="W5" s="26"/>
      <c r="X5" s="26"/>
      <c r="Y5" s="26"/>
      <c r="Z5" s="26"/>
      <c r="AA5" s="26"/>
      <c r="AB5" s="20"/>
      <c r="AC5" s="20"/>
      <c r="AD5" s="20"/>
      <c r="AE5" s="20"/>
    </row>
    <row r="6" spans="1:31" ht="9" customHeight="1" x14ac:dyDescent="0.3">
      <c r="B6" s="61"/>
      <c r="C6" s="63"/>
      <c r="D6" s="76"/>
      <c r="E6" s="63"/>
      <c r="F6" s="65"/>
      <c r="G6" s="66"/>
      <c r="H6" s="66"/>
      <c r="I6" s="67"/>
      <c r="J6" s="63"/>
      <c r="K6" s="61"/>
      <c r="L6" s="61"/>
      <c r="M6" s="61"/>
      <c r="N6" s="61"/>
      <c r="O6" s="61"/>
      <c r="P6" s="61"/>
      <c r="Q6" s="61"/>
      <c r="R6" s="61"/>
      <c r="S6" s="15"/>
      <c r="T6" s="25"/>
      <c r="U6" s="15"/>
      <c r="V6" s="15"/>
      <c r="W6" s="15"/>
      <c r="X6" s="15"/>
      <c r="Y6" s="15"/>
      <c r="Z6" s="15"/>
      <c r="AA6" s="15"/>
      <c r="AB6" s="20"/>
      <c r="AC6" s="20"/>
      <c r="AD6" s="20"/>
      <c r="AE6" s="20"/>
    </row>
    <row r="7" spans="1:31" x14ac:dyDescent="0.3">
      <c r="A7" s="25"/>
      <c r="B7" s="61"/>
      <c r="C7" s="63"/>
      <c r="D7" s="77"/>
      <c r="E7" s="63"/>
      <c r="F7" s="68"/>
      <c r="G7" s="69" t="s">
        <v>121</v>
      </c>
      <c r="H7" s="70">
        <v>0.5</v>
      </c>
      <c r="I7" s="71"/>
      <c r="J7" s="63"/>
      <c r="K7" s="61"/>
      <c r="L7" s="61"/>
      <c r="M7" s="61"/>
      <c r="N7" s="61"/>
      <c r="O7" s="61"/>
      <c r="P7" s="61"/>
      <c r="Q7" s="61"/>
      <c r="R7" s="61"/>
      <c r="S7" s="15"/>
      <c r="T7" s="25"/>
      <c r="U7" s="15"/>
      <c r="V7" s="15"/>
      <c r="W7" s="15"/>
      <c r="X7" s="15"/>
      <c r="Y7" s="15"/>
      <c r="Z7" s="15"/>
      <c r="AA7" s="15"/>
      <c r="AB7" s="20"/>
      <c r="AC7" s="20"/>
      <c r="AD7" s="20"/>
      <c r="AE7" s="20"/>
    </row>
    <row r="8" spans="1:31" s="25" customFormat="1" ht="6" customHeight="1" x14ac:dyDescent="0.3">
      <c r="B8" s="61"/>
      <c r="C8" s="63"/>
      <c r="D8" s="77"/>
      <c r="E8" s="63"/>
      <c r="F8" s="68"/>
      <c r="G8" s="69"/>
      <c r="H8" s="75"/>
      <c r="I8" s="71"/>
      <c r="J8" s="63"/>
      <c r="K8" s="61"/>
      <c r="L8" s="61"/>
      <c r="M8" s="61"/>
      <c r="N8" s="61"/>
      <c r="O8" s="61"/>
      <c r="P8" s="61"/>
      <c r="Q8" s="61"/>
      <c r="R8" s="61"/>
      <c r="S8" s="26"/>
      <c r="U8" s="26"/>
      <c r="V8" s="26"/>
      <c r="W8" s="26"/>
      <c r="X8" s="26"/>
      <c r="Y8" s="26"/>
      <c r="Z8" s="26"/>
      <c r="AA8" s="26"/>
      <c r="AB8" s="20"/>
      <c r="AC8" s="20"/>
      <c r="AD8" s="20"/>
      <c r="AE8" s="20"/>
    </row>
    <row r="9" spans="1:31" x14ac:dyDescent="0.3">
      <c r="A9" s="25"/>
      <c r="B9" s="61"/>
      <c r="C9" s="63"/>
      <c r="D9" s="77"/>
      <c r="E9" s="63"/>
      <c r="F9" s="68"/>
      <c r="G9" s="69" t="s">
        <v>78</v>
      </c>
      <c r="H9" s="70">
        <v>1</v>
      </c>
      <c r="I9" s="71"/>
      <c r="J9" s="63"/>
      <c r="K9" s="61"/>
      <c r="L9" s="61"/>
      <c r="M9" s="61"/>
      <c r="N9" s="61"/>
      <c r="O9" s="61"/>
      <c r="P9" s="61"/>
      <c r="Q9" s="61"/>
      <c r="R9" s="61"/>
      <c r="S9" s="15"/>
      <c r="T9" s="25"/>
      <c r="U9" s="19"/>
      <c r="V9" s="15"/>
      <c r="W9" s="15"/>
      <c r="X9" s="15"/>
      <c r="Y9" s="15"/>
      <c r="Z9" s="15"/>
      <c r="AA9" s="15"/>
      <c r="AB9" s="16"/>
      <c r="AC9" s="20"/>
      <c r="AD9" s="20"/>
      <c r="AE9" s="20"/>
    </row>
    <row r="10" spans="1:31" ht="10.5" customHeight="1" x14ac:dyDescent="0.3">
      <c r="A10" s="25"/>
      <c r="B10" s="61"/>
      <c r="C10" s="63"/>
      <c r="D10" s="77"/>
      <c r="E10" s="63"/>
      <c r="F10" s="68"/>
      <c r="G10" s="69"/>
      <c r="H10" s="69"/>
      <c r="I10" s="71"/>
      <c r="J10" s="63"/>
      <c r="K10" s="61"/>
      <c r="L10" s="61"/>
      <c r="M10" s="61"/>
      <c r="N10" s="61"/>
      <c r="O10" s="61"/>
      <c r="P10" s="61"/>
      <c r="Q10" s="61"/>
      <c r="R10" s="61"/>
      <c r="T10" s="25"/>
      <c r="V10" s="25"/>
      <c r="X10" s="25"/>
      <c r="AB10" s="16"/>
      <c r="AC10" s="20"/>
      <c r="AD10" s="20"/>
      <c r="AE10" s="20"/>
    </row>
    <row r="11" spans="1:31" ht="17.25" customHeight="1" x14ac:dyDescent="0.3">
      <c r="A11" s="25"/>
      <c r="B11" s="61"/>
      <c r="C11" s="63"/>
      <c r="D11" s="77"/>
      <c r="E11" s="63"/>
      <c r="F11" s="72"/>
      <c r="G11" s="73"/>
      <c r="H11" s="73"/>
      <c r="I11" s="74"/>
      <c r="J11" s="63"/>
      <c r="K11" s="61"/>
      <c r="L11" s="61"/>
      <c r="M11" s="61"/>
      <c r="N11" s="61"/>
      <c r="O11" s="61"/>
      <c r="P11" s="61"/>
      <c r="Q11" s="61"/>
      <c r="R11" s="61"/>
      <c r="T11" s="25"/>
      <c r="AB11" s="16"/>
      <c r="AC11" s="20"/>
      <c r="AD11" s="20"/>
      <c r="AE11" s="20"/>
    </row>
    <row r="12" spans="1:31" x14ac:dyDescent="0.3">
      <c r="A12" s="25"/>
      <c r="B12" s="61"/>
      <c r="C12" s="63"/>
      <c r="D12" s="77"/>
      <c r="E12" s="63"/>
      <c r="F12" s="64"/>
      <c r="G12" s="64"/>
      <c r="H12" s="64"/>
      <c r="I12" s="64"/>
      <c r="J12" s="63"/>
      <c r="K12" s="61"/>
      <c r="L12" s="61"/>
      <c r="M12" s="61"/>
      <c r="N12" s="61"/>
      <c r="O12" s="61"/>
      <c r="P12" s="61"/>
      <c r="Q12" s="61"/>
      <c r="R12" s="61"/>
      <c r="T12" s="25"/>
      <c r="AB12" s="16"/>
      <c r="AC12" s="20"/>
      <c r="AD12" s="20"/>
      <c r="AE12" s="20"/>
    </row>
    <row r="13" spans="1:31" x14ac:dyDescent="0.3">
      <c r="A13" s="25"/>
      <c r="B13" s="61"/>
      <c r="C13" s="63"/>
      <c r="D13" s="77"/>
      <c r="E13" s="63"/>
      <c r="F13" s="64"/>
      <c r="G13" s="64"/>
      <c r="H13" s="64"/>
      <c r="I13" s="64"/>
      <c r="J13" s="63"/>
      <c r="K13" s="61"/>
      <c r="L13" s="61"/>
      <c r="M13" s="61"/>
      <c r="N13" s="61"/>
      <c r="O13" s="61"/>
      <c r="P13" s="61"/>
      <c r="Q13" s="61"/>
      <c r="R13" s="61"/>
      <c r="T13" s="25"/>
      <c r="V13" s="19"/>
      <c r="AB13" s="16"/>
      <c r="AC13" s="20"/>
      <c r="AD13" s="20"/>
      <c r="AE13" s="20"/>
    </row>
    <row r="14" spans="1:31" x14ac:dyDescent="0.3">
      <c r="A14" s="25"/>
      <c r="B14" s="61"/>
      <c r="C14" s="63"/>
      <c r="D14" s="77"/>
      <c r="E14" s="63"/>
      <c r="F14" s="63"/>
      <c r="G14" s="63"/>
      <c r="H14" s="63"/>
      <c r="I14" s="63"/>
      <c r="J14" s="63"/>
      <c r="K14" s="61"/>
      <c r="L14" s="61"/>
      <c r="M14" s="61"/>
      <c r="N14" s="61"/>
      <c r="O14" s="61"/>
      <c r="P14" s="61"/>
      <c r="Q14" s="61"/>
      <c r="R14" s="61"/>
      <c r="T14" s="25"/>
      <c r="V14" s="19"/>
      <c r="AB14" s="16"/>
      <c r="AC14" s="20"/>
      <c r="AD14" s="20"/>
      <c r="AE14" s="20"/>
    </row>
    <row r="15" spans="1:31" x14ac:dyDescent="0.3">
      <c r="A15" s="25"/>
      <c r="B15" s="61"/>
      <c r="C15" s="63"/>
      <c r="D15" s="77"/>
      <c r="E15" s="63"/>
      <c r="F15" s="63"/>
      <c r="G15" s="63"/>
      <c r="H15" s="63"/>
      <c r="I15" s="63"/>
      <c r="J15" s="63"/>
      <c r="K15" s="61"/>
      <c r="L15" s="61"/>
      <c r="M15" s="61"/>
      <c r="N15" s="61"/>
      <c r="O15" s="61"/>
      <c r="P15" s="61"/>
      <c r="Q15" s="61"/>
      <c r="R15" s="61"/>
      <c r="V15" s="19"/>
      <c r="AB15" s="16"/>
      <c r="AC15" s="20"/>
      <c r="AD15" s="20"/>
      <c r="AE15" s="20"/>
    </row>
    <row r="16" spans="1:31" x14ac:dyDescent="0.3">
      <c r="A16" s="27"/>
      <c r="B16" s="61"/>
      <c r="C16" s="63"/>
      <c r="D16" s="77"/>
      <c r="E16" s="63"/>
      <c r="F16" s="63"/>
      <c r="G16" s="63"/>
      <c r="H16" s="63"/>
      <c r="I16" s="63"/>
      <c r="J16" s="63"/>
      <c r="K16" s="61"/>
      <c r="L16" s="61"/>
      <c r="M16" s="61"/>
      <c r="N16" s="61"/>
      <c r="O16" s="61"/>
      <c r="P16" s="61"/>
      <c r="Q16" s="61"/>
      <c r="R16" s="61"/>
      <c r="V16" s="19"/>
      <c r="AB16" s="16"/>
      <c r="AC16" s="24"/>
      <c r="AD16" s="24"/>
      <c r="AE16" s="24"/>
    </row>
    <row r="17" spans="1:30" x14ac:dyDescent="0.3">
      <c r="A17" s="26"/>
      <c r="B17" s="61"/>
      <c r="C17" s="63"/>
      <c r="D17" s="77"/>
      <c r="E17" s="63"/>
      <c r="F17" s="63"/>
      <c r="G17" s="63"/>
      <c r="H17" s="63"/>
      <c r="I17" s="63"/>
      <c r="J17" s="63"/>
      <c r="K17" s="61"/>
      <c r="L17" s="61"/>
      <c r="M17" s="61"/>
      <c r="N17" s="61"/>
      <c r="O17" s="61"/>
      <c r="P17" s="61"/>
      <c r="Q17" s="61"/>
      <c r="R17" s="61"/>
      <c r="V17" s="19"/>
    </row>
    <row r="18" spans="1:30" x14ac:dyDescent="0.3">
      <c r="B18" s="61"/>
      <c r="C18" s="63"/>
      <c r="D18" s="77"/>
      <c r="E18" s="63"/>
      <c r="F18" s="63"/>
      <c r="G18" s="63"/>
      <c r="H18" s="63"/>
      <c r="I18" s="63"/>
      <c r="J18" s="63"/>
      <c r="K18" s="61"/>
      <c r="L18" s="61"/>
      <c r="M18" s="61"/>
      <c r="N18" s="61"/>
      <c r="O18" s="61"/>
      <c r="P18" s="61"/>
      <c r="Q18" s="61"/>
      <c r="R18" s="61"/>
      <c r="V18" s="19"/>
    </row>
    <row r="19" spans="1:30" x14ac:dyDescent="0.3">
      <c r="B19" s="61"/>
      <c r="C19" s="63"/>
      <c r="D19" s="77"/>
      <c r="E19" s="63"/>
      <c r="F19" s="63"/>
      <c r="G19" s="63"/>
      <c r="H19" s="63"/>
      <c r="I19" s="63"/>
      <c r="J19" s="63"/>
      <c r="K19" s="61"/>
      <c r="L19" s="61"/>
      <c r="M19" s="61"/>
      <c r="N19" s="61"/>
      <c r="O19" s="61"/>
      <c r="P19" s="61"/>
      <c r="Q19" s="61"/>
      <c r="R19" s="61"/>
      <c r="S19" s="15"/>
      <c r="T19" s="26"/>
      <c r="U19" s="15"/>
      <c r="V19" s="19"/>
      <c r="W19" s="15"/>
      <c r="X19" s="15"/>
      <c r="Y19" s="15"/>
    </row>
    <row r="20" spans="1:30" x14ac:dyDescent="0.3">
      <c r="B20" s="61"/>
      <c r="C20" s="63"/>
      <c r="D20" s="78"/>
      <c r="E20" s="63"/>
      <c r="F20" s="63"/>
      <c r="G20" s="63"/>
      <c r="H20" s="63"/>
      <c r="I20" s="63"/>
      <c r="J20" s="63"/>
      <c r="K20" s="61"/>
      <c r="L20" s="61"/>
      <c r="M20" s="61"/>
      <c r="N20" s="61"/>
      <c r="O20" s="61"/>
      <c r="P20" s="61"/>
      <c r="Q20" s="61"/>
      <c r="R20" s="61"/>
      <c r="S20" s="15"/>
      <c r="T20" s="26"/>
      <c r="U20" s="15"/>
      <c r="V20" s="15"/>
      <c r="W20" s="15"/>
      <c r="X20" s="15"/>
      <c r="Y20" s="15"/>
    </row>
    <row r="21" spans="1:30" x14ac:dyDescent="0.3">
      <c r="B21" s="61"/>
      <c r="C21" s="63"/>
      <c r="D21" s="64"/>
      <c r="E21" s="63"/>
      <c r="F21" s="63"/>
      <c r="G21" s="63"/>
      <c r="H21" s="63"/>
      <c r="I21" s="63"/>
      <c r="J21" s="63"/>
      <c r="K21" s="61"/>
      <c r="L21" s="61"/>
      <c r="M21" s="61"/>
      <c r="N21" s="61"/>
      <c r="O21" s="61"/>
      <c r="P21" s="61"/>
      <c r="Q21" s="61"/>
      <c r="R21" s="61"/>
      <c r="S21" s="15"/>
      <c r="T21" s="26"/>
      <c r="U21" s="15"/>
      <c r="V21" s="15"/>
      <c r="W21" s="15"/>
      <c r="X21" s="15"/>
      <c r="Y21" s="15"/>
    </row>
    <row r="22" spans="1:30" x14ac:dyDescent="0.3">
      <c r="B22" s="61"/>
      <c r="C22" s="63"/>
      <c r="D22" s="64"/>
      <c r="E22" s="63"/>
      <c r="F22" s="63"/>
      <c r="G22" s="63"/>
      <c r="H22" s="63"/>
      <c r="I22" s="63"/>
      <c r="J22" s="63"/>
      <c r="K22" s="61"/>
      <c r="L22" s="61"/>
      <c r="M22" s="131"/>
      <c r="N22" s="131"/>
      <c r="O22" s="131"/>
      <c r="P22" s="131"/>
      <c r="Q22" s="131"/>
      <c r="R22" s="131"/>
      <c r="S22" s="15"/>
      <c r="T22" s="19"/>
      <c r="U22" s="21"/>
      <c r="V22" s="21"/>
      <c r="W22" s="15"/>
      <c r="X22" s="15"/>
      <c r="Y22" s="15"/>
    </row>
    <row r="23" spans="1:30" x14ac:dyDescent="0.3">
      <c r="B23" s="61"/>
      <c r="C23" s="63"/>
      <c r="D23" s="64"/>
      <c r="E23" s="63"/>
      <c r="F23" s="63"/>
      <c r="G23" s="63"/>
      <c r="H23" s="63"/>
      <c r="I23" s="63"/>
      <c r="J23" s="63"/>
      <c r="K23" s="61"/>
      <c r="L23" s="61"/>
      <c r="M23" s="61"/>
      <c r="N23" s="62"/>
      <c r="O23" s="61"/>
      <c r="P23" s="61"/>
      <c r="Q23" s="61"/>
      <c r="R23" s="61"/>
      <c r="S23" s="27"/>
      <c r="T23" s="27"/>
      <c r="U23" s="27"/>
      <c r="V23" s="15"/>
      <c r="W23" s="27"/>
      <c r="X23" s="27"/>
      <c r="Y23" s="27"/>
    </row>
    <row r="24" spans="1:30" x14ac:dyDescent="0.3">
      <c r="B24" s="61"/>
      <c r="C24" s="63"/>
      <c r="D24" s="63"/>
      <c r="E24" s="63"/>
      <c r="F24" s="63"/>
      <c r="G24" s="63"/>
      <c r="H24" s="63"/>
      <c r="I24" s="63"/>
      <c r="J24" s="63"/>
      <c r="K24" s="61"/>
      <c r="L24" s="61"/>
      <c r="M24" s="61"/>
      <c r="N24" s="61"/>
      <c r="O24" s="61"/>
      <c r="P24" s="61"/>
      <c r="Q24" s="61"/>
      <c r="R24" s="61"/>
      <c r="S24" s="15"/>
      <c r="T24" s="15"/>
      <c r="U24" s="26"/>
      <c r="V24" s="15"/>
      <c r="W24" s="26"/>
      <c r="X24" s="26"/>
      <c r="Y24" s="26"/>
    </row>
    <row r="25" spans="1:30" x14ac:dyDescent="0.3">
      <c r="A25" s="25"/>
      <c r="B25" s="61"/>
      <c r="C25" s="63"/>
      <c r="D25" s="63"/>
      <c r="E25" s="63"/>
      <c r="F25" s="63"/>
      <c r="G25" s="63"/>
      <c r="H25" s="63"/>
      <c r="I25" s="63"/>
      <c r="J25" s="63"/>
      <c r="K25" s="61"/>
      <c r="L25" s="61"/>
      <c r="M25" s="61"/>
      <c r="N25" s="61"/>
      <c r="O25" s="61"/>
      <c r="P25" s="61"/>
      <c r="Q25" s="61"/>
      <c r="R25" s="61"/>
      <c r="S25" s="15"/>
      <c r="T25" s="15"/>
      <c r="U25" s="26"/>
      <c r="V25" s="15"/>
      <c r="W25" s="26"/>
      <c r="X25" s="26"/>
      <c r="Y25" s="26"/>
    </row>
    <row r="26" spans="1:30" x14ac:dyDescent="0.3">
      <c r="A26" s="25"/>
      <c r="B26" s="61"/>
      <c r="C26" s="63"/>
      <c r="D26" s="63"/>
      <c r="E26" s="63"/>
      <c r="F26" s="63"/>
      <c r="G26" s="63"/>
      <c r="H26" s="63"/>
      <c r="I26" s="63"/>
      <c r="J26" s="63"/>
      <c r="K26" s="61"/>
      <c r="L26" s="61"/>
      <c r="M26" s="61"/>
      <c r="N26" s="61"/>
      <c r="O26" s="61"/>
      <c r="P26" s="61"/>
      <c r="Q26" s="61"/>
      <c r="R26" s="61"/>
      <c r="S26" s="15"/>
      <c r="T26" s="15"/>
      <c r="U26" s="26"/>
      <c r="V26" s="15"/>
      <c r="W26" s="26"/>
      <c r="X26" s="26"/>
      <c r="Y26" s="26"/>
    </row>
    <row r="27" spans="1:30" x14ac:dyDescent="0.3">
      <c r="A27" s="25"/>
      <c r="B27" s="61"/>
      <c r="C27" s="63"/>
      <c r="D27" s="63"/>
      <c r="E27" s="63"/>
      <c r="F27" s="63"/>
      <c r="G27" s="63"/>
      <c r="H27" s="63"/>
      <c r="I27" s="63"/>
      <c r="J27" s="63"/>
      <c r="K27" s="61"/>
      <c r="L27" s="61"/>
      <c r="M27" s="61"/>
      <c r="N27" s="61"/>
      <c r="O27" s="61"/>
      <c r="P27" s="61"/>
      <c r="Q27" s="61"/>
      <c r="R27" s="61"/>
      <c r="S27" s="15"/>
      <c r="T27" s="15"/>
      <c r="U27" s="19"/>
      <c r="V27" s="15"/>
      <c r="W27" s="26"/>
      <c r="X27" s="26"/>
      <c r="Y27" s="12"/>
      <c r="Z27" s="19"/>
      <c r="AA27" s="19"/>
      <c r="AB27" s="15"/>
      <c r="AC27" s="15"/>
      <c r="AD27" s="15"/>
    </row>
    <row r="28" spans="1:30" x14ac:dyDescent="0.3">
      <c r="A28" s="25"/>
      <c r="B28" s="61"/>
      <c r="C28" s="63"/>
      <c r="D28" s="63"/>
      <c r="E28" s="63"/>
      <c r="F28" s="63"/>
      <c r="G28" s="63"/>
      <c r="H28" s="63"/>
      <c r="I28" s="63"/>
      <c r="J28" s="63"/>
      <c r="K28" s="61"/>
      <c r="L28" s="61"/>
      <c r="M28" s="61"/>
      <c r="N28" s="61"/>
      <c r="O28" s="61"/>
      <c r="P28" s="61"/>
      <c r="Q28" s="61"/>
      <c r="R28" s="61"/>
      <c r="S28" s="15"/>
      <c r="T28" s="15"/>
      <c r="U28" s="19"/>
      <c r="V28" s="15"/>
      <c r="W28" s="26"/>
      <c r="X28" s="26"/>
      <c r="Y28" s="26"/>
      <c r="Z28" s="15"/>
      <c r="AA28" s="15"/>
      <c r="AB28" s="15"/>
      <c r="AC28" s="15"/>
      <c r="AD28" s="15"/>
    </row>
    <row r="29" spans="1:30" x14ac:dyDescent="0.3">
      <c r="A29" s="25"/>
      <c r="B29" s="61"/>
      <c r="C29" s="63"/>
      <c r="D29" s="63"/>
      <c r="E29" s="63"/>
      <c r="F29" s="63"/>
      <c r="G29" s="63"/>
      <c r="H29" s="63"/>
      <c r="I29" s="63"/>
      <c r="J29" s="63"/>
      <c r="K29" s="61"/>
      <c r="L29" s="61"/>
      <c r="M29" s="61"/>
      <c r="N29" s="61"/>
      <c r="O29" s="61"/>
      <c r="P29" s="61"/>
      <c r="Q29" s="61"/>
      <c r="R29" s="61"/>
      <c r="S29" s="15"/>
      <c r="T29" s="15"/>
      <c r="U29" s="19"/>
      <c r="V29" s="15"/>
      <c r="W29" s="26"/>
      <c r="X29" s="26"/>
      <c r="Y29" s="26"/>
      <c r="Z29" s="15"/>
      <c r="AA29" s="15"/>
      <c r="AB29" s="15"/>
      <c r="AC29" s="15"/>
      <c r="AD29" s="15"/>
    </row>
    <row r="30" spans="1:30" x14ac:dyDescent="0.3">
      <c r="A30" s="25"/>
      <c r="B30" s="61"/>
      <c r="C30" s="63"/>
      <c r="D30" s="63"/>
      <c r="E30" s="63"/>
      <c r="F30" s="63"/>
      <c r="G30" s="63"/>
      <c r="H30" s="63"/>
      <c r="I30" s="63"/>
      <c r="J30" s="63"/>
      <c r="K30" s="61"/>
      <c r="L30" s="61"/>
      <c r="M30" s="61"/>
      <c r="N30" s="61"/>
      <c r="O30" s="61"/>
      <c r="P30" s="61"/>
      <c r="Q30" s="61"/>
      <c r="R30" s="61"/>
      <c r="S30" s="15"/>
      <c r="T30" s="15"/>
      <c r="U30" s="19"/>
      <c r="V30" s="15"/>
      <c r="W30" s="26"/>
      <c r="X30" s="26"/>
      <c r="Y30" s="26"/>
      <c r="Z30" s="15"/>
      <c r="AA30" s="15"/>
      <c r="AB30" s="15"/>
      <c r="AC30" s="15"/>
      <c r="AD30" s="15"/>
    </row>
    <row r="31" spans="1:30" ht="6.75" customHeight="1" x14ac:dyDescent="0.3">
      <c r="B31" s="61"/>
      <c r="C31" s="63"/>
      <c r="D31" s="63"/>
      <c r="E31" s="63"/>
      <c r="F31" s="63"/>
      <c r="G31" s="63"/>
      <c r="H31" s="63"/>
      <c r="I31" s="63"/>
      <c r="J31" s="63"/>
      <c r="K31" s="61"/>
      <c r="L31" s="61"/>
      <c r="M31" s="61"/>
      <c r="N31" s="61"/>
      <c r="O31" s="61"/>
      <c r="P31" s="61"/>
      <c r="Q31" s="61"/>
      <c r="R31" s="61"/>
      <c r="S31" s="15"/>
      <c r="T31" s="15"/>
      <c r="U31" s="19"/>
      <c r="V31" s="15"/>
      <c r="W31" s="26"/>
      <c r="X31" s="26"/>
      <c r="Y31" s="26"/>
      <c r="Z31" s="15"/>
      <c r="AA31" s="15"/>
      <c r="AB31" s="15"/>
      <c r="AC31" s="15"/>
      <c r="AD31" s="15"/>
    </row>
    <row r="32" spans="1:30" s="25" customFormat="1" ht="8.25" customHeight="1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26"/>
      <c r="T32" s="26"/>
      <c r="U32" s="19"/>
      <c r="V32" s="26"/>
      <c r="W32" s="26"/>
      <c r="X32" s="26"/>
      <c r="Y32" s="26"/>
      <c r="Z32" s="26"/>
      <c r="AA32" s="26"/>
      <c r="AB32" s="26"/>
      <c r="AC32" s="26"/>
      <c r="AD32" s="26"/>
    </row>
    <row r="33" spans="2:30" x14ac:dyDescent="0.3">
      <c r="S33" s="15"/>
      <c r="T33" s="15"/>
      <c r="U33" s="15"/>
      <c r="V33" s="15"/>
      <c r="W33" s="26"/>
      <c r="X33" s="26"/>
      <c r="Y33" s="26"/>
      <c r="Z33" s="15"/>
      <c r="AA33" s="15"/>
      <c r="AB33" s="15"/>
      <c r="AC33" s="15"/>
      <c r="AD33" s="15"/>
    </row>
    <row r="34" spans="2:30" x14ac:dyDescent="0.3"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25"/>
      <c r="Q34" s="25"/>
      <c r="R34" s="25"/>
      <c r="S34" s="26"/>
      <c r="T34" s="26"/>
      <c r="U34" s="26"/>
      <c r="V34" s="15"/>
      <c r="W34" s="26"/>
      <c r="X34" s="26"/>
      <c r="Y34" s="26"/>
      <c r="Z34" s="15"/>
      <c r="AA34" s="15"/>
      <c r="AB34" s="15"/>
      <c r="AC34" s="15"/>
      <c r="AD34" s="15"/>
    </row>
    <row r="35" spans="2:30" x14ac:dyDescent="0.3">
      <c r="B35" s="117"/>
      <c r="C35" s="117"/>
      <c r="D35" s="118" t="s">
        <v>135</v>
      </c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25"/>
      <c r="Q35" s="25"/>
      <c r="R35" s="25"/>
      <c r="S35" s="26"/>
      <c r="T35" s="26"/>
      <c r="U35" s="26"/>
      <c r="V35" s="15"/>
      <c r="W35" s="26"/>
      <c r="X35" s="26"/>
      <c r="Y35" s="26"/>
      <c r="Z35" s="15"/>
      <c r="AA35" s="15"/>
      <c r="AB35" s="15"/>
      <c r="AC35" s="15"/>
      <c r="AD35" s="15"/>
    </row>
    <row r="36" spans="2:30" x14ac:dyDescent="0.3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19"/>
      <c r="M36" s="119"/>
      <c r="N36" s="119"/>
      <c r="O36" s="119"/>
      <c r="P36" s="45"/>
      <c r="Q36" s="45"/>
      <c r="R36" s="45"/>
      <c r="S36" s="26"/>
      <c r="T36" s="26"/>
      <c r="U36" s="26"/>
      <c r="V36" s="15"/>
      <c r="W36" s="26"/>
      <c r="X36" s="26"/>
      <c r="Y36" s="26"/>
      <c r="Z36" s="15"/>
      <c r="AA36" s="15"/>
      <c r="AB36" s="15"/>
      <c r="AC36" s="15"/>
      <c r="AD36" s="15"/>
    </row>
    <row r="37" spans="2:30" x14ac:dyDescent="0.3">
      <c r="B37" s="105"/>
      <c r="C37" s="105"/>
      <c r="D37" s="118" t="s">
        <v>134</v>
      </c>
      <c r="E37" s="105"/>
      <c r="F37" s="105"/>
      <c r="G37" s="105"/>
      <c r="H37" s="105"/>
      <c r="I37" s="105"/>
      <c r="J37" s="105"/>
      <c r="K37" s="105"/>
      <c r="L37" s="119"/>
      <c r="M37" s="119"/>
      <c r="N37" s="119"/>
      <c r="O37" s="119"/>
      <c r="P37" s="45"/>
      <c r="Q37" s="45"/>
      <c r="R37" s="45"/>
      <c r="S37" s="26"/>
      <c r="T37" s="26"/>
      <c r="U37" s="26"/>
      <c r="V37" s="15"/>
      <c r="W37" s="15"/>
      <c r="X37" s="15"/>
      <c r="Y37" s="15"/>
      <c r="Z37" s="15"/>
      <c r="AA37" s="15"/>
      <c r="AB37" s="15"/>
      <c r="AC37" s="15"/>
      <c r="AD37" s="15"/>
    </row>
    <row r="38" spans="2:30" x14ac:dyDescent="0.3"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19"/>
      <c r="M38" s="119"/>
      <c r="N38" s="119"/>
      <c r="O38" s="119"/>
      <c r="P38" s="45"/>
      <c r="Q38" s="45"/>
      <c r="R38" s="45"/>
      <c r="S38" s="26"/>
      <c r="T38" s="26"/>
      <c r="U38" s="26"/>
      <c r="V38" s="15"/>
      <c r="W38" s="15"/>
      <c r="X38" s="15"/>
      <c r="Y38" s="15"/>
      <c r="Z38" s="15"/>
      <c r="AA38" s="15"/>
      <c r="AB38" s="15"/>
      <c r="AC38" s="15"/>
      <c r="AD38" s="15"/>
    </row>
    <row r="39" spans="2:30" x14ac:dyDescent="0.3">
      <c r="B39" s="105"/>
      <c r="C39" s="105"/>
      <c r="D39" s="118" t="s">
        <v>136</v>
      </c>
      <c r="E39" s="105"/>
      <c r="F39" s="105"/>
      <c r="G39" s="105"/>
      <c r="H39" s="105"/>
      <c r="I39" s="105"/>
      <c r="J39" s="105"/>
      <c r="K39" s="105"/>
      <c r="L39" s="119"/>
      <c r="M39" s="119"/>
      <c r="N39" s="119"/>
      <c r="O39" s="119"/>
      <c r="P39" s="45"/>
      <c r="Q39" s="45"/>
      <c r="R39" s="45"/>
      <c r="S39" s="53"/>
      <c r="T39" s="19"/>
      <c r="U39" s="19"/>
      <c r="V39" s="19"/>
      <c r="W39" s="19"/>
      <c r="X39" s="19"/>
      <c r="Y39" s="15"/>
    </row>
    <row r="40" spans="2:30" x14ac:dyDescent="0.3"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19"/>
      <c r="M40" s="119"/>
      <c r="N40" s="119"/>
      <c r="O40" s="119"/>
      <c r="P40" s="45"/>
      <c r="Q40" s="45"/>
      <c r="R40" s="45"/>
      <c r="S40" s="53"/>
      <c r="T40" s="19"/>
      <c r="U40" s="19"/>
      <c r="V40" s="19"/>
      <c r="W40" s="19"/>
      <c r="X40" s="19"/>
      <c r="Y40" s="15"/>
    </row>
    <row r="41" spans="2:30" x14ac:dyDescent="0.3">
      <c r="B41" s="105"/>
      <c r="C41" s="105"/>
      <c r="D41" s="118" t="s">
        <v>137</v>
      </c>
      <c r="E41" s="105"/>
      <c r="F41" s="105"/>
      <c r="G41" s="105"/>
      <c r="H41" s="105"/>
      <c r="I41" s="105"/>
      <c r="J41" s="105"/>
      <c r="K41" s="105"/>
      <c r="L41" s="119"/>
      <c r="M41" s="119"/>
      <c r="N41" s="119"/>
      <c r="O41" s="119"/>
      <c r="P41" s="45"/>
      <c r="Q41" s="45"/>
      <c r="R41" s="45"/>
      <c r="S41" s="53"/>
      <c r="T41" s="26"/>
      <c r="U41" s="26"/>
      <c r="V41" s="15"/>
      <c r="W41" s="19"/>
      <c r="X41" s="19"/>
      <c r="Y41" s="15"/>
    </row>
    <row r="42" spans="2:30" x14ac:dyDescent="0.3"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19"/>
      <c r="M42" s="119"/>
      <c r="N42" s="119"/>
      <c r="O42" s="119"/>
      <c r="P42" s="45"/>
      <c r="Q42" s="45"/>
      <c r="R42" s="45"/>
      <c r="S42" s="53"/>
      <c r="T42" s="26"/>
      <c r="U42" s="26"/>
      <c r="V42" s="15"/>
      <c r="W42" s="19"/>
      <c r="X42" s="19"/>
      <c r="Y42" s="15"/>
    </row>
    <row r="43" spans="2:30" x14ac:dyDescent="0.3">
      <c r="B43" s="105"/>
      <c r="C43" s="105"/>
      <c r="D43" s="118" t="s">
        <v>138</v>
      </c>
      <c r="E43" s="105"/>
      <c r="F43" s="105"/>
      <c r="G43" s="105"/>
      <c r="H43" s="105"/>
      <c r="I43" s="105"/>
      <c r="J43" s="105"/>
      <c r="K43" s="105"/>
      <c r="L43" s="119"/>
      <c r="M43" s="119"/>
      <c r="N43" s="119"/>
      <c r="O43" s="119"/>
      <c r="P43" s="45"/>
      <c r="Q43" s="45"/>
      <c r="R43" s="45"/>
      <c r="S43" s="53"/>
      <c r="T43" s="26"/>
      <c r="U43" s="26"/>
      <c r="V43" s="15"/>
      <c r="W43" s="19"/>
      <c r="X43" s="19"/>
      <c r="Y43" s="15"/>
    </row>
    <row r="44" spans="2:30" x14ac:dyDescent="0.3"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19"/>
      <c r="M44" s="119"/>
      <c r="N44" s="119"/>
      <c r="O44" s="119"/>
      <c r="P44" s="45"/>
      <c r="Q44" s="45"/>
      <c r="R44" s="45"/>
      <c r="S44" s="53"/>
      <c r="T44" s="26"/>
      <c r="U44" s="26"/>
      <c r="V44" s="15"/>
      <c r="W44" s="19"/>
      <c r="X44" s="19"/>
      <c r="Y44" s="15"/>
    </row>
    <row r="45" spans="2:30" x14ac:dyDescent="0.3">
      <c r="B45" s="105"/>
      <c r="C45" s="105"/>
      <c r="D45" s="118" t="s">
        <v>139</v>
      </c>
      <c r="E45" s="105"/>
      <c r="F45" s="105"/>
      <c r="G45" s="105"/>
      <c r="H45" s="105"/>
      <c r="I45" s="105"/>
      <c r="J45" s="105"/>
      <c r="K45" s="105"/>
      <c r="L45" s="119"/>
      <c r="M45" s="119"/>
      <c r="N45" s="119"/>
      <c r="O45" s="119"/>
      <c r="P45" s="45"/>
      <c r="Q45" s="45"/>
      <c r="R45" s="45"/>
      <c r="S45" s="53"/>
      <c r="T45" s="26"/>
      <c r="U45" s="26"/>
      <c r="V45" s="15"/>
      <c r="W45" s="19"/>
      <c r="X45" s="19"/>
      <c r="Y45" s="15"/>
    </row>
    <row r="46" spans="2:30" x14ac:dyDescent="0.3"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19"/>
      <c r="M46" s="119"/>
      <c r="N46" s="119"/>
      <c r="O46" s="119"/>
      <c r="P46" s="45"/>
      <c r="Q46" s="45"/>
      <c r="R46" s="45"/>
      <c r="S46" s="53"/>
      <c r="T46" s="26"/>
      <c r="U46" s="26"/>
      <c r="V46" s="15"/>
      <c r="W46" s="19"/>
      <c r="X46" s="19"/>
      <c r="Y46" s="15"/>
    </row>
    <row r="47" spans="2:30" x14ac:dyDescent="0.3">
      <c r="B47" s="105"/>
      <c r="C47" s="105"/>
      <c r="D47" s="118" t="s">
        <v>143</v>
      </c>
      <c r="E47" s="105"/>
      <c r="F47" s="105"/>
      <c r="G47" s="105"/>
      <c r="H47" s="105"/>
      <c r="I47" s="105"/>
      <c r="J47" s="105"/>
      <c r="K47" s="105"/>
      <c r="L47" s="119"/>
      <c r="M47" s="119"/>
      <c r="N47" s="119"/>
      <c r="O47" s="119"/>
      <c r="P47" s="10"/>
      <c r="Q47" s="10"/>
      <c r="R47" s="10"/>
      <c r="S47" s="137"/>
      <c r="T47" s="15"/>
      <c r="U47" s="15"/>
      <c r="V47" s="15"/>
      <c r="W47" s="19"/>
      <c r="X47" s="19"/>
      <c r="Y47" s="15"/>
    </row>
    <row r="48" spans="2:30" x14ac:dyDescent="0.3"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19"/>
      <c r="M48" s="119"/>
      <c r="N48" s="119"/>
      <c r="O48" s="119"/>
      <c r="P48" s="10"/>
      <c r="Q48" s="10"/>
      <c r="R48" s="10"/>
      <c r="S48" s="137"/>
      <c r="T48" s="15"/>
      <c r="U48" s="15"/>
      <c r="V48" s="15"/>
      <c r="W48" s="19"/>
      <c r="X48" s="19"/>
      <c r="Y48" s="15"/>
    </row>
    <row r="49" spans="2:25" s="25" customFormat="1" x14ac:dyDescent="0.3">
      <c r="B49" s="105"/>
      <c r="C49" s="105"/>
      <c r="D49" s="118" t="s">
        <v>145</v>
      </c>
      <c r="E49" s="105"/>
      <c r="F49" s="105"/>
      <c r="G49" s="105"/>
      <c r="H49" s="105"/>
      <c r="I49" s="105"/>
      <c r="J49" s="105"/>
      <c r="K49" s="105"/>
      <c r="L49" s="119"/>
      <c r="M49" s="119"/>
      <c r="N49" s="119"/>
      <c r="O49" s="119"/>
      <c r="P49" s="45"/>
      <c r="Q49" s="45"/>
      <c r="R49" s="45"/>
      <c r="S49" s="116"/>
      <c r="T49" s="26"/>
      <c r="U49" s="26"/>
      <c r="V49" s="26"/>
      <c r="W49" s="19"/>
      <c r="X49" s="19"/>
      <c r="Y49" s="26"/>
    </row>
    <row r="50" spans="2:25" x14ac:dyDescent="0.3"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19"/>
      <c r="M50" s="119"/>
      <c r="N50" s="119"/>
      <c r="O50" s="119"/>
      <c r="P50" s="10"/>
      <c r="Q50" s="10"/>
      <c r="R50" s="10"/>
      <c r="S50" s="138"/>
      <c r="T50" s="15"/>
      <c r="U50" s="15"/>
      <c r="V50" s="15"/>
      <c r="W50" s="19"/>
      <c r="X50" s="19"/>
      <c r="Y50" s="15"/>
    </row>
    <row r="51" spans="2:25" x14ac:dyDescent="0.3">
      <c r="B51" s="105"/>
      <c r="C51" s="105"/>
      <c r="D51" s="120" t="s">
        <v>140</v>
      </c>
      <c r="E51" s="105"/>
      <c r="F51" s="105"/>
      <c r="G51" s="105"/>
      <c r="H51" s="105"/>
      <c r="I51" s="105"/>
      <c r="J51" s="105"/>
      <c r="K51" s="105"/>
      <c r="L51" s="119"/>
      <c r="M51" s="119"/>
      <c r="N51" s="119"/>
      <c r="O51" s="119"/>
      <c r="P51" s="10"/>
      <c r="Q51" s="10"/>
      <c r="R51" s="10"/>
      <c r="S51" s="138"/>
      <c r="T51" s="15"/>
      <c r="U51" s="15"/>
      <c r="V51" s="15"/>
      <c r="W51" s="19"/>
      <c r="X51" s="19"/>
      <c r="Y51" s="15"/>
    </row>
    <row r="52" spans="2:25" x14ac:dyDescent="0.3">
      <c r="B52" s="105"/>
      <c r="C52" s="105"/>
      <c r="D52" s="120" t="s">
        <v>141</v>
      </c>
      <c r="E52" s="105"/>
      <c r="F52" s="105"/>
      <c r="G52" s="105"/>
      <c r="H52" s="105"/>
      <c r="I52" s="105"/>
      <c r="J52" s="105"/>
      <c r="K52" s="105"/>
      <c r="L52" s="119"/>
      <c r="M52" s="119"/>
      <c r="N52" s="119"/>
      <c r="O52" s="119"/>
      <c r="P52" s="10"/>
      <c r="Q52" s="10"/>
      <c r="R52" s="10"/>
      <c r="S52" s="138"/>
      <c r="T52" s="15"/>
      <c r="U52" s="15"/>
      <c r="V52" s="15"/>
      <c r="W52" s="19"/>
      <c r="X52" s="19"/>
      <c r="Y52" s="15"/>
    </row>
    <row r="53" spans="2:25" x14ac:dyDescent="0.3">
      <c r="B53" s="105"/>
      <c r="C53" s="105"/>
      <c r="D53" s="120" t="s">
        <v>142</v>
      </c>
      <c r="E53" s="105"/>
      <c r="F53" s="105"/>
      <c r="G53" s="105"/>
      <c r="H53" s="105"/>
      <c r="I53" s="105"/>
      <c r="J53" s="105"/>
      <c r="K53" s="105"/>
      <c r="L53" s="119"/>
      <c r="M53" s="119"/>
      <c r="N53" s="119"/>
      <c r="O53" s="119"/>
      <c r="P53" s="121"/>
      <c r="Q53" s="121"/>
      <c r="R53" s="10"/>
      <c r="S53" s="138"/>
      <c r="T53" s="15"/>
      <c r="U53" s="15"/>
      <c r="V53" s="15"/>
      <c r="W53" s="19"/>
      <c r="X53" s="19"/>
      <c r="Y53" s="15"/>
    </row>
    <row r="54" spans="2:25" x14ac:dyDescent="0.3">
      <c r="B54" s="105"/>
      <c r="C54" s="105"/>
      <c r="D54" s="105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22"/>
      <c r="Q54" s="122"/>
      <c r="R54" s="10"/>
      <c r="S54" s="138"/>
      <c r="T54" s="15"/>
      <c r="U54" s="15"/>
      <c r="V54" s="15"/>
      <c r="W54" s="19"/>
      <c r="X54" s="19"/>
      <c r="Y54" s="15"/>
    </row>
    <row r="55" spans="2:25" x14ac:dyDescent="0.3">
      <c r="B55" s="105"/>
      <c r="C55" s="105"/>
      <c r="D55" s="120" t="s">
        <v>147</v>
      </c>
      <c r="E55" s="105"/>
      <c r="F55" s="105"/>
      <c r="G55" s="105"/>
      <c r="H55" s="105"/>
      <c r="I55" s="105"/>
      <c r="J55" s="105"/>
      <c r="K55" s="105"/>
      <c r="L55" s="119"/>
      <c r="M55" s="119"/>
      <c r="N55" s="119"/>
      <c r="O55" s="119"/>
      <c r="P55" s="10"/>
      <c r="Q55" s="10"/>
      <c r="R55" s="10"/>
      <c r="S55" s="138"/>
      <c r="T55" s="15"/>
      <c r="U55" s="15"/>
      <c r="V55" s="15"/>
      <c r="W55" s="19"/>
      <c r="X55" s="19"/>
      <c r="Y55" s="15"/>
    </row>
    <row r="56" spans="2:25" x14ac:dyDescent="0.3"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19"/>
      <c r="M56" s="119"/>
      <c r="N56" s="119"/>
      <c r="O56" s="119"/>
      <c r="P56" s="10"/>
      <c r="Q56" s="10"/>
      <c r="R56" s="10"/>
      <c r="S56" s="138"/>
      <c r="T56" s="15"/>
      <c r="U56" s="15"/>
      <c r="V56" s="15"/>
      <c r="W56" s="19"/>
      <c r="X56" s="19"/>
      <c r="Y56" s="15"/>
    </row>
    <row r="57" spans="2:25" x14ac:dyDescent="0.3">
      <c r="B57" s="105"/>
      <c r="C57" s="105"/>
      <c r="D57" s="124" t="s">
        <v>160</v>
      </c>
      <c r="E57" s="105"/>
      <c r="F57" s="105"/>
      <c r="G57" s="105"/>
      <c r="H57" s="105"/>
      <c r="I57" s="105"/>
      <c r="J57" s="105"/>
      <c r="K57" s="105"/>
      <c r="L57" s="119"/>
      <c r="M57" s="119"/>
      <c r="N57" s="119"/>
      <c r="O57" s="119"/>
      <c r="P57" s="10"/>
      <c r="Q57" s="10"/>
      <c r="R57" s="10"/>
      <c r="S57" s="138"/>
      <c r="T57" s="15"/>
      <c r="U57" s="15"/>
      <c r="V57" s="15"/>
      <c r="W57" s="19"/>
      <c r="X57" s="19"/>
      <c r="Y57" s="15"/>
    </row>
    <row r="58" spans="2:25" x14ac:dyDescent="0.3">
      <c r="B58" s="105"/>
      <c r="C58" s="105"/>
      <c r="D58" s="125" t="s">
        <v>146</v>
      </c>
      <c r="E58" s="105"/>
      <c r="F58" s="105"/>
      <c r="G58" s="105"/>
      <c r="H58" s="105"/>
      <c r="I58" s="105"/>
      <c r="J58" s="105"/>
      <c r="K58" s="105"/>
      <c r="L58" s="119"/>
      <c r="M58" s="119"/>
      <c r="N58" s="119"/>
      <c r="O58" s="119"/>
      <c r="P58" s="10"/>
      <c r="Q58" s="10"/>
      <c r="R58" s="10"/>
      <c r="S58" s="138"/>
      <c r="T58" s="15"/>
      <c r="U58" s="15"/>
      <c r="V58" s="15"/>
      <c r="W58" s="19"/>
      <c r="X58" s="19"/>
      <c r="Y58" s="15"/>
    </row>
    <row r="59" spans="2:25" x14ac:dyDescent="0.3">
      <c r="B59" s="105"/>
      <c r="C59" s="105"/>
      <c r="D59" s="124" t="s">
        <v>161</v>
      </c>
      <c r="E59" s="105"/>
      <c r="F59" s="105"/>
      <c r="G59" s="105"/>
      <c r="H59" s="105"/>
      <c r="I59" s="105"/>
      <c r="J59" s="105"/>
      <c r="K59" s="105"/>
      <c r="L59" s="119"/>
      <c r="M59" s="119"/>
      <c r="N59" s="119"/>
      <c r="O59" s="119"/>
      <c r="P59" s="10"/>
      <c r="Q59" s="10"/>
      <c r="R59" s="10"/>
      <c r="S59" s="138"/>
      <c r="T59" s="15"/>
      <c r="U59" s="15"/>
      <c r="V59" s="15"/>
      <c r="W59" s="19"/>
      <c r="X59" s="19"/>
      <c r="Y59" s="15"/>
    </row>
    <row r="60" spans="2:25" x14ac:dyDescent="0.3">
      <c r="B60" s="105"/>
      <c r="C60" s="105"/>
      <c r="D60" s="124" t="s">
        <v>148</v>
      </c>
      <c r="E60" s="105"/>
      <c r="F60" s="105"/>
      <c r="G60" s="105"/>
      <c r="H60" s="105"/>
      <c r="I60" s="105"/>
      <c r="J60" s="105"/>
      <c r="K60" s="105"/>
      <c r="L60" s="119"/>
      <c r="M60" s="119"/>
      <c r="N60" s="119"/>
      <c r="O60" s="119"/>
      <c r="P60" s="10"/>
      <c r="Q60" s="10"/>
      <c r="R60" s="10"/>
      <c r="S60" s="15"/>
      <c r="T60" s="15"/>
      <c r="U60" s="15"/>
      <c r="V60" s="15"/>
      <c r="W60" s="19"/>
      <c r="X60" s="19"/>
      <c r="Y60" s="15"/>
    </row>
    <row r="61" spans="2:25" x14ac:dyDescent="0.3">
      <c r="B61" s="105"/>
      <c r="C61" s="105"/>
      <c r="D61" s="123" t="s">
        <v>157</v>
      </c>
      <c r="E61" s="105"/>
      <c r="F61" s="105"/>
      <c r="G61" s="105"/>
      <c r="H61" s="105"/>
      <c r="I61" s="105"/>
      <c r="J61" s="105"/>
      <c r="K61" s="105"/>
      <c r="L61" s="119"/>
      <c r="M61" s="119"/>
      <c r="N61" s="119"/>
      <c r="O61" s="119"/>
      <c r="P61" s="10"/>
      <c r="Q61" s="10"/>
      <c r="R61" s="10"/>
      <c r="S61" s="15"/>
      <c r="T61" s="15"/>
      <c r="U61" s="15"/>
      <c r="V61" s="15"/>
      <c r="W61" s="15"/>
      <c r="X61" s="15"/>
      <c r="Y61" s="15"/>
    </row>
    <row r="62" spans="2:25" x14ac:dyDescent="0.3">
      <c r="B62" s="105"/>
      <c r="C62" s="105"/>
      <c r="D62" s="123" t="s">
        <v>162</v>
      </c>
      <c r="E62" s="105"/>
      <c r="F62" s="105"/>
      <c r="G62" s="105"/>
      <c r="H62" s="105"/>
      <c r="I62" s="105"/>
      <c r="J62" s="105"/>
      <c r="K62" s="105"/>
      <c r="L62" s="119"/>
      <c r="M62" s="119"/>
      <c r="N62" s="119"/>
      <c r="O62" s="119"/>
      <c r="P62" s="10"/>
      <c r="Q62" s="10"/>
      <c r="R62" s="10"/>
      <c r="S62" s="15"/>
      <c r="T62" s="15"/>
      <c r="U62" s="15"/>
      <c r="V62" s="15"/>
      <c r="W62" s="15"/>
      <c r="X62" s="15"/>
      <c r="Y62" s="15"/>
    </row>
    <row r="63" spans="2:25" x14ac:dyDescent="0.3">
      <c r="B63" s="105"/>
      <c r="C63" s="105"/>
      <c r="D63" s="124" t="s">
        <v>154</v>
      </c>
      <c r="E63" s="105"/>
      <c r="F63" s="105"/>
      <c r="G63" s="105"/>
      <c r="H63" s="105"/>
      <c r="I63" s="105"/>
      <c r="J63" s="105"/>
      <c r="K63" s="105"/>
      <c r="L63" s="119"/>
      <c r="M63" s="119"/>
      <c r="N63" s="119"/>
      <c r="O63" s="119"/>
      <c r="P63" s="10"/>
      <c r="Q63" s="10"/>
      <c r="R63" s="10"/>
      <c r="S63" s="15"/>
      <c r="T63" s="15"/>
      <c r="U63" s="15"/>
      <c r="V63" s="15"/>
      <c r="W63" s="15"/>
      <c r="X63" s="15"/>
      <c r="Y63" s="15"/>
    </row>
    <row r="64" spans="2:25" x14ac:dyDescent="0.3">
      <c r="B64" s="105"/>
      <c r="C64" s="105"/>
      <c r="D64" s="123" t="s">
        <v>159</v>
      </c>
      <c r="E64" s="105"/>
      <c r="F64" s="105"/>
      <c r="G64" s="105"/>
      <c r="H64" s="105"/>
      <c r="I64" s="105"/>
      <c r="J64" s="105"/>
      <c r="K64" s="105"/>
      <c r="L64" s="119"/>
      <c r="M64" s="119"/>
      <c r="N64" s="119"/>
      <c r="O64" s="119"/>
      <c r="P64" s="10"/>
      <c r="Q64" s="10"/>
      <c r="R64" s="10"/>
      <c r="S64" s="15"/>
      <c r="T64" s="15"/>
      <c r="U64" s="15"/>
      <c r="V64" s="15"/>
      <c r="W64" s="15"/>
      <c r="X64" s="15"/>
      <c r="Y64" s="15"/>
    </row>
    <row r="65" spans="2:25" x14ac:dyDescent="0.3">
      <c r="B65" s="105"/>
      <c r="C65" s="105"/>
      <c r="D65" s="128" t="s">
        <v>155</v>
      </c>
      <c r="E65" s="105"/>
      <c r="F65" s="105"/>
      <c r="G65" s="105"/>
      <c r="H65" s="105"/>
      <c r="I65" s="105"/>
      <c r="J65" s="105"/>
      <c r="K65" s="105"/>
      <c r="L65" s="119"/>
      <c r="M65" s="119"/>
      <c r="N65" s="119"/>
      <c r="O65" s="119"/>
      <c r="P65" s="10"/>
      <c r="Q65" s="10"/>
      <c r="R65" s="10"/>
      <c r="S65" s="15"/>
      <c r="T65" s="15"/>
      <c r="U65" s="15"/>
      <c r="V65" s="15"/>
      <c r="W65" s="15"/>
      <c r="X65" s="15"/>
      <c r="Y65" s="15"/>
    </row>
    <row r="66" spans="2:25" x14ac:dyDescent="0.3">
      <c r="B66" s="105"/>
      <c r="C66" s="105"/>
      <c r="D66" s="128" t="s">
        <v>156</v>
      </c>
      <c r="E66" s="105"/>
      <c r="F66" s="105"/>
      <c r="G66" s="105"/>
      <c r="H66" s="105"/>
      <c r="I66" s="105"/>
      <c r="J66" s="105"/>
      <c r="K66" s="105"/>
      <c r="L66" s="119"/>
      <c r="M66" s="119"/>
      <c r="N66" s="119"/>
      <c r="O66" s="119"/>
      <c r="P66" s="10"/>
      <c r="Q66" s="10"/>
      <c r="R66" s="10"/>
      <c r="S66" s="15"/>
      <c r="T66" s="130"/>
      <c r="U66" s="130"/>
      <c r="V66" s="130"/>
      <c r="W66" s="15"/>
      <c r="X66" s="15"/>
      <c r="Y66" s="15"/>
    </row>
    <row r="67" spans="2:25" x14ac:dyDescent="0.3">
      <c r="B67" s="105"/>
      <c r="C67" s="105"/>
      <c r="D67" s="127" t="s">
        <v>163</v>
      </c>
      <c r="E67" s="105"/>
      <c r="F67" s="105"/>
      <c r="G67" s="105"/>
      <c r="H67" s="105"/>
      <c r="I67" s="105"/>
      <c r="J67" s="105"/>
      <c r="K67" s="105"/>
      <c r="L67" s="119"/>
      <c r="M67" s="119"/>
      <c r="N67" s="119"/>
      <c r="O67" s="119"/>
      <c r="P67" s="10"/>
      <c r="Q67" s="10"/>
      <c r="R67" s="10"/>
      <c r="S67" s="15"/>
      <c r="T67" s="15"/>
      <c r="U67" s="15"/>
      <c r="V67" s="15"/>
      <c r="W67" s="19"/>
      <c r="X67" s="19"/>
      <c r="Y67" s="15"/>
    </row>
    <row r="68" spans="2:25" x14ac:dyDescent="0.3">
      <c r="B68" s="105"/>
      <c r="C68" s="105"/>
      <c r="D68" s="124" t="s">
        <v>164</v>
      </c>
      <c r="E68" s="105"/>
      <c r="F68" s="105"/>
      <c r="G68" s="105"/>
      <c r="H68" s="105"/>
      <c r="I68" s="105"/>
      <c r="J68" s="105"/>
      <c r="K68" s="105"/>
      <c r="L68" s="119"/>
      <c r="M68" s="119"/>
      <c r="N68" s="119"/>
      <c r="O68" s="119"/>
      <c r="P68" s="10"/>
      <c r="Q68" s="10"/>
      <c r="R68" s="10"/>
      <c r="S68" s="15"/>
      <c r="T68" s="15"/>
      <c r="U68" s="15"/>
      <c r="V68" s="15"/>
      <c r="W68" s="15"/>
      <c r="X68" s="15"/>
      <c r="Y68" s="15"/>
    </row>
    <row r="69" spans="2:25" x14ac:dyDescent="0.3">
      <c r="B69" s="105"/>
      <c r="C69" s="105"/>
      <c r="D69" s="105"/>
      <c r="E69" s="105"/>
      <c r="F69" s="105"/>
      <c r="G69" s="105"/>
      <c r="H69" s="105"/>
      <c r="I69" s="105"/>
      <c r="J69" s="105"/>
      <c r="K69" s="105"/>
      <c r="L69" s="119"/>
      <c r="M69" s="119"/>
      <c r="N69" s="119"/>
      <c r="O69" s="119"/>
      <c r="P69" s="10"/>
      <c r="Q69" s="10"/>
      <c r="R69" s="10"/>
      <c r="S69" s="15"/>
      <c r="T69" s="15"/>
      <c r="U69" s="15"/>
      <c r="V69" s="15"/>
      <c r="W69" s="15"/>
      <c r="X69" s="15"/>
      <c r="Y69" s="15"/>
    </row>
    <row r="70" spans="2:25" x14ac:dyDescent="0.3"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19"/>
      <c r="N70" s="119"/>
      <c r="O70" s="119"/>
      <c r="P70" s="10"/>
      <c r="Q70" s="10"/>
      <c r="R70" s="10"/>
      <c r="S70" s="15"/>
      <c r="T70" s="15"/>
      <c r="U70" s="15"/>
      <c r="V70" s="15"/>
      <c r="W70" s="15"/>
      <c r="X70" s="15"/>
      <c r="Y70" s="15"/>
    </row>
    <row r="71" spans="2:25" x14ac:dyDescent="0.3">
      <c r="M71" s="10"/>
      <c r="N71" s="10"/>
      <c r="O71" s="10"/>
      <c r="P71" s="10"/>
      <c r="Q71" s="10"/>
      <c r="R71" s="10"/>
      <c r="S71" s="15"/>
      <c r="T71" s="15"/>
      <c r="U71" s="15"/>
      <c r="V71" s="15"/>
      <c r="W71" s="15"/>
      <c r="X71" s="15"/>
      <c r="Y71" s="15"/>
    </row>
    <row r="72" spans="2:25" x14ac:dyDescent="0.3">
      <c r="M72" s="10"/>
      <c r="N72" s="10"/>
      <c r="O72" s="10"/>
      <c r="P72" s="10"/>
      <c r="Q72" s="10"/>
      <c r="R72" s="10"/>
      <c r="S72" s="15"/>
      <c r="T72" s="15"/>
      <c r="U72" s="15"/>
      <c r="V72" s="15"/>
      <c r="W72" s="15"/>
      <c r="X72" s="15"/>
      <c r="Y72" s="15"/>
    </row>
    <row r="73" spans="2:25" x14ac:dyDescent="0.3">
      <c r="M73" s="10"/>
      <c r="N73" s="10"/>
      <c r="O73" s="10"/>
      <c r="P73" s="10"/>
      <c r="Q73" s="10"/>
      <c r="R73" s="10"/>
      <c r="S73" s="15"/>
      <c r="T73" s="15"/>
      <c r="U73" s="15"/>
      <c r="V73" s="15"/>
      <c r="W73" s="15"/>
      <c r="X73" s="15"/>
      <c r="Y73" s="15"/>
    </row>
    <row r="74" spans="2:25" x14ac:dyDescent="0.3">
      <c r="M74" s="10"/>
      <c r="N74" s="10"/>
      <c r="O74" s="10"/>
      <c r="P74" s="10"/>
      <c r="Q74" s="10"/>
      <c r="R74" s="10"/>
      <c r="S74" s="15"/>
      <c r="T74" s="15"/>
      <c r="U74" s="15"/>
      <c r="V74" s="15"/>
      <c r="W74" s="15"/>
      <c r="X74" s="15"/>
      <c r="Y74" s="15"/>
    </row>
    <row r="75" spans="2:25" x14ac:dyDescent="0.3">
      <c r="M75" s="10"/>
      <c r="N75" s="10"/>
      <c r="O75" s="10"/>
      <c r="P75" s="10"/>
      <c r="Q75" s="10"/>
      <c r="R75" s="10"/>
      <c r="S75" s="15"/>
      <c r="T75" s="15"/>
      <c r="U75" s="15"/>
      <c r="V75" s="15"/>
      <c r="W75" s="15"/>
      <c r="X75" s="15"/>
      <c r="Y75" s="15"/>
    </row>
    <row r="76" spans="2:25" x14ac:dyDescent="0.3">
      <c r="M76" s="10"/>
      <c r="N76" s="10"/>
      <c r="O76" s="10"/>
      <c r="P76" s="10"/>
      <c r="Q76" s="10"/>
      <c r="R76" s="10"/>
    </row>
    <row r="77" spans="2:25" x14ac:dyDescent="0.3">
      <c r="M77" s="10"/>
      <c r="N77" s="10"/>
      <c r="O77" s="10"/>
      <c r="P77" s="10"/>
      <c r="Q77" s="10"/>
      <c r="R77" s="10"/>
    </row>
    <row r="78" spans="2:25" x14ac:dyDescent="0.3">
      <c r="M78" s="10"/>
      <c r="N78" s="10"/>
      <c r="O78" s="10"/>
      <c r="P78" s="10"/>
      <c r="Q78" s="10"/>
      <c r="R78" s="10"/>
    </row>
    <row r="79" spans="2:25" x14ac:dyDescent="0.3">
      <c r="M79" s="10"/>
      <c r="N79" s="10"/>
      <c r="O79" s="10"/>
      <c r="P79" s="10"/>
      <c r="Q79" s="10"/>
      <c r="R79" s="10"/>
    </row>
    <row r="80" spans="2:25" x14ac:dyDescent="0.3">
      <c r="M80" s="10"/>
      <c r="N80" s="10"/>
      <c r="O80" s="10"/>
      <c r="P80" s="10"/>
      <c r="Q80" s="10"/>
      <c r="R80" s="10"/>
    </row>
    <row r="81" spans="13:18" x14ac:dyDescent="0.3">
      <c r="M81" s="10"/>
      <c r="N81" s="10"/>
      <c r="O81" s="10"/>
      <c r="P81" s="10"/>
      <c r="Q81" s="10"/>
      <c r="R81" s="10"/>
    </row>
    <row r="82" spans="13:18" x14ac:dyDescent="0.3">
      <c r="M82" s="10"/>
      <c r="N82" s="10"/>
      <c r="O82" s="10"/>
      <c r="P82" s="10"/>
      <c r="Q82" s="10"/>
      <c r="R82" s="10"/>
    </row>
    <row r="83" spans="13:18" x14ac:dyDescent="0.3">
      <c r="M83" s="10"/>
      <c r="N83" s="10"/>
      <c r="O83" s="10"/>
      <c r="P83" s="10"/>
      <c r="Q83" s="10"/>
      <c r="R83" s="10"/>
    </row>
    <row r="84" spans="13:18" x14ac:dyDescent="0.3">
      <c r="M84" s="10"/>
      <c r="N84" s="10"/>
      <c r="O84" s="10"/>
      <c r="P84" s="10"/>
      <c r="Q84" s="10"/>
      <c r="R84" s="10"/>
    </row>
    <row r="85" spans="13:18" x14ac:dyDescent="0.3">
      <c r="M85" s="10"/>
      <c r="N85" s="10"/>
      <c r="O85" s="10"/>
      <c r="P85" s="10"/>
      <c r="Q85" s="10"/>
      <c r="R85" s="10"/>
    </row>
    <row r="86" spans="13:18" x14ac:dyDescent="0.3">
      <c r="M86" s="10"/>
      <c r="N86" s="10"/>
      <c r="O86" s="10"/>
      <c r="P86" s="10"/>
      <c r="Q86" s="10"/>
      <c r="R86" s="10"/>
    </row>
    <row r="87" spans="13:18" x14ac:dyDescent="0.3">
      <c r="M87" s="10"/>
      <c r="N87" s="10"/>
      <c r="O87" s="10"/>
      <c r="P87" s="10"/>
      <c r="Q87" s="10"/>
      <c r="R87" s="10"/>
    </row>
    <row r="88" spans="13:18" x14ac:dyDescent="0.3">
      <c r="M88" s="10"/>
      <c r="N88" s="10"/>
      <c r="O88" s="10"/>
      <c r="P88" s="10"/>
      <c r="Q88" s="10"/>
      <c r="R88" s="10"/>
    </row>
    <row r="89" spans="13:18" x14ac:dyDescent="0.3">
      <c r="M89" s="10"/>
      <c r="N89" s="10"/>
      <c r="O89" s="10"/>
      <c r="P89" s="10"/>
      <c r="Q89" s="10"/>
      <c r="R89" s="10"/>
    </row>
    <row r="90" spans="13:18" x14ac:dyDescent="0.3">
      <c r="M90" s="10"/>
      <c r="N90" s="10"/>
      <c r="O90" s="10"/>
      <c r="P90" s="10"/>
      <c r="Q90" s="10"/>
      <c r="R90" s="10"/>
    </row>
    <row r="91" spans="13:18" x14ac:dyDescent="0.3">
      <c r="M91" s="10"/>
      <c r="N91" s="10"/>
      <c r="O91" s="10"/>
      <c r="P91" s="10"/>
      <c r="Q91" s="10"/>
      <c r="R91" s="10"/>
    </row>
    <row r="92" spans="13:18" x14ac:dyDescent="0.3">
      <c r="M92" s="10"/>
      <c r="N92" s="10"/>
      <c r="O92" s="10"/>
      <c r="P92" s="10"/>
      <c r="Q92" s="10"/>
      <c r="R92" s="10"/>
    </row>
    <row r="93" spans="13:18" x14ac:dyDescent="0.3">
      <c r="M93" s="10"/>
      <c r="N93" s="10"/>
      <c r="O93" s="10"/>
      <c r="P93" s="10"/>
      <c r="Q93" s="10"/>
      <c r="R93" s="10"/>
    </row>
    <row r="94" spans="13:18" x14ac:dyDescent="0.3">
      <c r="M94" s="10"/>
      <c r="N94" s="10"/>
      <c r="O94" s="10"/>
      <c r="P94" s="10"/>
      <c r="Q94" s="10"/>
      <c r="R94" s="10"/>
    </row>
    <row r="95" spans="13:18" x14ac:dyDescent="0.3">
      <c r="M95" s="10"/>
      <c r="N95" s="10"/>
      <c r="O95" s="10"/>
      <c r="P95" s="10"/>
      <c r="Q95" s="10"/>
      <c r="R95" s="10"/>
    </row>
    <row r="96" spans="13:18" x14ac:dyDescent="0.3">
      <c r="M96" s="10"/>
      <c r="N96" s="10"/>
      <c r="O96" s="10"/>
      <c r="P96" s="10"/>
      <c r="Q96" s="10"/>
      <c r="R96" s="10"/>
    </row>
    <row r="97" spans="13:18" x14ac:dyDescent="0.3">
      <c r="M97" s="10"/>
      <c r="N97" s="10"/>
      <c r="O97" s="10"/>
      <c r="P97" s="10"/>
      <c r="Q97" s="10"/>
      <c r="R97" s="10"/>
    </row>
    <row r="98" spans="13:18" x14ac:dyDescent="0.3">
      <c r="M98" s="10"/>
      <c r="N98" s="10"/>
      <c r="O98" s="10"/>
      <c r="P98" s="10"/>
      <c r="Q98" s="10"/>
      <c r="R98" s="10"/>
    </row>
    <row r="99" spans="13:18" x14ac:dyDescent="0.3">
      <c r="M99" s="10"/>
      <c r="N99" s="10"/>
      <c r="O99" s="10"/>
      <c r="P99" s="10"/>
      <c r="Q99" s="10"/>
      <c r="R99" s="10"/>
    </row>
    <row r="100" spans="13:18" x14ac:dyDescent="0.3">
      <c r="M100" s="10"/>
      <c r="N100" s="10"/>
      <c r="O100" s="10"/>
      <c r="P100" s="10"/>
      <c r="Q100" s="10"/>
      <c r="R100" s="10"/>
    </row>
    <row r="101" spans="13:18" x14ac:dyDescent="0.3">
      <c r="M101" s="10"/>
      <c r="N101" s="10"/>
      <c r="O101" s="10"/>
      <c r="P101" s="10"/>
      <c r="Q101" s="10"/>
      <c r="R101" s="10"/>
    </row>
    <row r="102" spans="13:18" x14ac:dyDescent="0.3">
      <c r="M102" s="10"/>
      <c r="N102" s="10"/>
      <c r="O102" s="10"/>
      <c r="P102" s="10"/>
      <c r="Q102" s="10"/>
      <c r="R102" s="10"/>
    </row>
    <row r="103" spans="13:18" x14ac:dyDescent="0.3">
      <c r="M103" s="10"/>
      <c r="N103" s="10"/>
      <c r="O103" s="10"/>
      <c r="P103" s="10"/>
      <c r="Q103" s="10"/>
      <c r="R103" s="10"/>
    </row>
    <row r="104" spans="13:18" x14ac:dyDescent="0.3">
      <c r="M104" s="10"/>
      <c r="N104" s="10"/>
      <c r="O104" s="10"/>
      <c r="P104" s="10"/>
      <c r="Q104" s="10"/>
      <c r="R104" s="10"/>
    </row>
    <row r="105" spans="13:18" x14ac:dyDescent="0.3">
      <c r="M105" s="10"/>
      <c r="N105" s="10"/>
      <c r="O105" s="10"/>
      <c r="P105" s="10"/>
      <c r="Q105" s="10"/>
      <c r="R105" s="10"/>
    </row>
    <row r="106" spans="13:18" x14ac:dyDescent="0.3">
      <c r="M106" s="10"/>
      <c r="N106" s="10"/>
      <c r="O106" s="10"/>
      <c r="P106" s="10"/>
      <c r="Q106" s="10"/>
      <c r="R106" s="10"/>
    </row>
    <row r="107" spans="13:18" x14ac:dyDescent="0.3">
      <c r="M107" s="10"/>
      <c r="N107" s="10"/>
      <c r="O107" s="10"/>
      <c r="P107" s="10"/>
      <c r="Q107" s="10"/>
      <c r="R107" s="10"/>
    </row>
    <row r="108" spans="13:18" x14ac:dyDescent="0.3">
      <c r="M108" s="10"/>
      <c r="N108" s="10"/>
      <c r="O108" s="10"/>
      <c r="P108" s="10"/>
      <c r="Q108" s="10"/>
      <c r="R108" s="10"/>
    </row>
    <row r="109" spans="13:18" x14ac:dyDescent="0.3">
      <c r="M109" s="10"/>
      <c r="N109" s="10"/>
      <c r="O109" s="10"/>
      <c r="P109" s="10"/>
      <c r="Q109" s="10"/>
      <c r="R109" s="10"/>
    </row>
    <row r="110" spans="13:18" x14ac:dyDescent="0.3">
      <c r="M110" s="10"/>
      <c r="N110" s="10"/>
      <c r="O110" s="10"/>
      <c r="P110" s="10"/>
      <c r="Q110" s="10"/>
      <c r="R110" s="10"/>
    </row>
    <row r="111" spans="13:18" x14ac:dyDescent="0.3">
      <c r="M111" s="10"/>
      <c r="N111" s="10"/>
      <c r="O111" s="10"/>
      <c r="P111" s="10"/>
      <c r="Q111" s="10"/>
      <c r="R111" s="10"/>
    </row>
    <row r="112" spans="13:18" x14ac:dyDescent="0.3">
      <c r="M112" s="10"/>
      <c r="N112" s="10"/>
      <c r="O112" s="10"/>
      <c r="P112" s="10"/>
      <c r="Q112" s="10"/>
      <c r="R112" s="10"/>
    </row>
    <row r="113" spans="13:18" x14ac:dyDescent="0.3">
      <c r="M113" s="10"/>
      <c r="N113" s="10"/>
      <c r="O113" s="10"/>
      <c r="P113" s="10"/>
      <c r="Q113" s="10"/>
      <c r="R113" s="10"/>
    </row>
    <row r="114" spans="13:18" x14ac:dyDescent="0.3">
      <c r="M114" s="10"/>
      <c r="N114" s="10"/>
      <c r="O114" s="10"/>
      <c r="P114" s="10"/>
      <c r="Q114" s="10"/>
      <c r="R114" s="10"/>
    </row>
    <row r="115" spans="13:18" x14ac:dyDescent="0.3">
      <c r="M115" s="10"/>
      <c r="N115" s="10"/>
      <c r="O115" s="10"/>
      <c r="P115" s="10"/>
      <c r="Q115" s="10"/>
      <c r="R115" s="10"/>
    </row>
    <row r="116" spans="13:18" x14ac:dyDescent="0.3">
      <c r="M116" s="10"/>
      <c r="N116" s="10"/>
      <c r="O116" s="10"/>
      <c r="P116" s="10"/>
      <c r="Q116" s="10"/>
      <c r="R116" s="10"/>
    </row>
    <row r="117" spans="13:18" x14ac:dyDescent="0.3">
      <c r="M117" s="10"/>
      <c r="N117" s="10"/>
      <c r="O117" s="10"/>
      <c r="P117" s="10"/>
      <c r="Q117" s="10"/>
      <c r="R117" s="10"/>
    </row>
    <row r="118" spans="13:18" x14ac:dyDescent="0.3">
      <c r="M118" s="10"/>
      <c r="N118" s="10"/>
      <c r="O118" s="10"/>
      <c r="P118" s="10"/>
      <c r="Q118" s="10"/>
      <c r="R118" s="10"/>
    </row>
    <row r="119" spans="13:18" x14ac:dyDescent="0.3">
      <c r="M119" s="10"/>
      <c r="N119" s="10"/>
      <c r="O119" s="10"/>
      <c r="P119" s="10"/>
      <c r="Q119" s="10"/>
      <c r="R119" s="10"/>
    </row>
    <row r="120" spans="13:18" x14ac:dyDescent="0.3">
      <c r="M120" s="10"/>
      <c r="N120" s="10"/>
      <c r="O120" s="10"/>
      <c r="P120" s="10"/>
      <c r="Q120" s="10"/>
      <c r="R120" s="10"/>
    </row>
    <row r="121" spans="13:18" x14ac:dyDescent="0.3">
      <c r="M121" s="10"/>
      <c r="N121" s="10"/>
      <c r="O121" s="10"/>
      <c r="P121" s="10"/>
      <c r="Q121" s="10"/>
      <c r="R121" s="10"/>
    </row>
    <row r="122" spans="13:18" x14ac:dyDescent="0.3">
      <c r="M122" s="10"/>
      <c r="N122" s="10"/>
      <c r="O122" s="10"/>
      <c r="P122" s="10"/>
      <c r="Q122" s="10"/>
      <c r="R122" s="10"/>
    </row>
    <row r="123" spans="13:18" x14ac:dyDescent="0.3">
      <c r="M123" s="10"/>
      <c r="N123" s="10"/>
      <c r="O123" s="10"/>
      <c r="P123" s="10"/>
      <c r="Q123" s="10"/>
      <c r="R123" s="10"/>
    </row>
    <row r="124" spans="13:18" x14ac:dyDescent="0.3">
      <c r="M124" s="10"/>
      <c r="N124" s="10"/>
      <c r="O124" s="10"/>
      <c r="P124" s="10"/>
      <c r="Q124" s="10"/>
      <c r="R124" s="10"/>
    </row>
    <row r="125" spans="13:18" x14ac:dyDescent="0.3">
      <c r="M125" s="10"/>
      <c r="N125" s="10"/>
      <c r="O125" s="10"/>
      <c r="P125" s="10"/>
      <c r="Q125" s="10"/>
      <c r="R125" s="10"/>
    </row>
    <row r="126" spans="13:18" x14ac:dyDescent="0.3">
      <c r="M126" s="10"/>
      <c r="N126" s="10"/>
      <c r="O126" s="10"/>
      <c r="P126" s="10"/>
      <c r="Q126" s="10"/>
      <c r="R126" s="10"/>
    </row>
    <row r="127" spans="13:18" x14ac:dyDescent="0.3">
      <c r="M127" s="10"/>
      <c r="N127" s="10"/>
      <c r="O127" s="10"/>
      <c r="P127" s="10"/>
      <c r="Q127" s="10"/>
      <c r="R127" s="10"/>
    </row>
    <row r="128" spans="13:18" x14ac:dyDescent="0.3">
      <c r="M128" s="10"/>
      <c r="N128" s="10"/>
      <c r="O128" s="10"/>
      <c r="P128" s="10"/>
      <c r="Q128" s="10"/>
      <c r="R128" s="10"/>
    </row>
    <row r="129" spans="13:18" x14ac:dyDescent="0.3">
      <c r="M129" s="10"/>
      <c r="N129" s="10"/>
      <c r="O129" s="10"/>
      <c r="P129" s="10"/>
      <c r="Q129" s="10"/>
      <c r="R129" s="10"/>
    </row>
    <row r="130" spans="13:18" x14ac:dyDescent="0.3">
      <c r="M130" s="10"/>
      <c r="N130" s="10"/>
      <c r="O130" s="10"/>
      <c r="P130" s="10"/>
      <c r="Q130" s="10"/>
      <c r="R130" s="10"/>
    </row>
    <row r="131" spans="13:18" x14ac:dyDescent="0.3">
      <c r="M131" s="10"/>
      <c r="N131" s="10"/>
      <c r="O131" s="10"/>
      <c r="P131" s="10"/>
      <c r="Q131" s="10"/>
      <c r="R131" s="10"/>
    </row>
    <row r="132" spans="13:18" x14ac:dyDescent="0.3">
      <c r="M132" s="10"/>
      <c r="N132" s="10"/>
      <c r="O132" s="10"/>
      <c r="P132" s="10"/>
      <c r="Q132" s="10"/>
      <c r="R132" s="10"/>
    </row>
    <row r="133" spans="13:18" x14ac:dyDescent="0.3">
      <c r="M133" s="10"/>
      <c r="N133" s="10"/>
      <c r="O133" s="10"/>
      <c r="P133" s="10"/>
      <c r="Q133" s="10"/>
      <c r="R133" s="10"/>
    </row>
    <row r="134" spans="13:18" x14ac:dyDescent="0.3">
      <c r="M134" s="10"/>
      <c r="N134" s="10"/>
      <c r="O134" s="10"/>
      <c r="P134" s="10"/>
      <c r="Q134" s="10"/>
      <c r="R134" s="10"/>
    </row>
    <row r="135" spans="13:18" x14ac:dyDescent="0.3">
      <c r="M135" s="10"/>
      <c r="N135" s="10"/>
      <c r="O135" s="10"/>
      <c r="P135" s="10"/>
      <c r="Q135" s="10"/>
      <c r="R135" s="10"/>
    </row>
    <row r="136" spans="13:18" x14ac:dyDescent="0.3">
      <c r="M136" s="10"/>
      <c r="N136" s="10"/>
      <c r="O136" s="10"/>
      <c r="P136" s="10"/>
      <c r="Q136" s="10"/>
      <c r="R136" s="10"/>
    </row>
    <row r="137" spans="13:18" x14ac:dyDescent="0.3">
      <c r="M137" s="10"/>
      <c r="N137" s="10"/>
      <c r="O137" s="10"/>
      <c r="P137" s="10"/>
      <c r="Q137" s="10"/>
      <c r="R137" s="10"/>
    </row>
    <row r="138" spans="13:18" x14ac:dyDescent="0.3">
      <c r="M138" s="10"/>
      <c r="N138" s="10"/>
      <c r="O138" s="10"/>
      <c r="P138" s="10"/>
      <c r="Q138" s="10"/>
      <c r="R138" s="10"/>
    </row>
    <row r="139" spans="13:18" x14ac:dyDescent="0.3">
      <c r="M139" s="10"/>
      <c r="N139" s="10"/>
      <c r="O139" s="10"/>
      <c r="P139" s="10"/>
      <c r="Q139" s="10"/>
      <c r="R139" s="10"/>
    </row>
    <row r="140" spans="13:18" x14ac:dyDescent="0.3">
      <c r="M140" s="10"/>
      <c r="N140" s="10"/>
      <c r="O140" s="10"/>
      <c r="P140" s="10"/>
      <c r="Q140" s="10"/>
      <c r="R140" s="10"/>
    </row>
    <row r="141" spans="13:18" x14ac:dyDescent="0.3">
      <c r="M141" s="10"/>
      <c r="N141" s="10"/>
      <c r="O141" s="10"/>
      <c r="P141" s="10"/>
      <c r="Q141" s="10"/>
      <c r="R141" s="10"/>
    </row>
    <row r="142" spans="13:18" x14ac:dyDescent="0.3">
      <c r="M142" s="10"/>
      <c r="N142" s="10"/>
      <c r="O142" s="10"/>
      <c r="P142" s="10"/>
      <c r="Q142" s="10"/>
      <c r="R142" s="10"/>
    </row>
    <row r="143" spans="13:18" x14ac:dyDescent="0.3">
      <c r="M143" s="10"/>
      <c r="N143" s="10"/>
      <c r="O143" s="10"/>
      <c r="P143" s="10"/>
      <c r="Q143" s="10"/>
      <c r="R143" s="10"/>
    </row>
    <row r="144" spans="13:18" x14ac:dyDescent="0.3">
      <c r="M144" s="10"/>
      <c r="N144" s="10"/>
      <c r="O144" s="10"/>
      <c r="P144" s="10"/>
      <c r="Q144" s="10"/>
      <c r="R144" s="10"/>
    </row>
    <row r="145" spans="13:18" x14ac:dyDescent="0.3">
      <c r="M145" s="10"/>
      <c r="N145" s="10"/>
      <c r="O145" s="10"/>
      <c r="P145" s="10"/>
      <c r="Q145" s="10"/>
      <c r="R145" s="10"/>
    </row>
    <row r="146" spans="13:18" x14ac:dyDescent="0.3">
      <c r="M146" s="10"/>
      <c r="N146" s="10"/>
      <c r="O146" s="10"/>
      <c r="P146" s="10"/>
      <c r="Q146" s="10"/>
      <c r="R146" s="10"/>
    </row>
    <row r="147" spans="13:18" x14ac:dyDescent="0.3">
      <c r="M147" s="10"/>
      <c r="N147" s="10"/>
      <c r="O147" s="10"/>
      <c r="P147" s="10"/>
      <c r="Q147" s="10"/>
      <c r="R147" s="10"/>
    </row>
    <row r="148" spans="13:18" x14ac:dyDescent="0.3">
      <c r="M148" s="10"/>
      <c r="N148" s="10"/>
      <c r="O148" s="10"/>
      <c r="P148" s="10"/>
      <c r="Q148" s="10"/>
      <c r="R148" s="10"/>
    </row>
    <row r="149" spans="13:18" x14ac:dyDescent="0.3">
      <c r="M149" s="10"/>
      <c r="N149" s="10"/>
      <c r="O149" s="10"/>
      <c r="P149" s="10"/>
      <c r="Q149" s="10"/>
      <c r="R149" s="10"/>
    </row>
    <row r="150" spans="13:18" x14ac:dyDescent="0.3">
      <c r="M150" s="10"/>
      <c r="N150" s="10"/>
      <c r="O150" s="10"/>
      <c r="P150" s="10"/>
      <c r="Q150" s="10"/>
      <c r="R150" s="10"/>
    </row>
    <row r="151" spans="13:18" x14ac:dyDescent="0.3">
      <c r="M151" s="10"/>
      <c r="N151" s="10"/>
      <c r="O151" s="10"/>
      <c r="P151" s="10"/>
      <c r="Q151" s="10"/>
      <c r="R151" s="10"/>
    </row>
    <row r="152" spans="13:18" x14ac:dyDescent="0.3">
      <c r="M152" s="10"/>
      <c r="N152" s="10"/>
      <c r="O152" s="10"/>
      <c r="P152" s="10"/>
      <c r="Q152" s="10"/>
      <c r="R152" s="10"/>
    </row>
    <row r="153" spans="13:18" x14ac:dyDescent="0.3">
      <c r="M153" s="10"/>
      <c r="N153" s="10"/>
      <c r="O153" s="10"/>
      <c r="P153" s="10"/>
      <c r="Q153" s="10"/>
      <c r="R153" s="10"/>
    </row>
    <row r="154" spans="13:18" x14ac:dyDescent="0.3">
      <c r="M154" s="10"/>
      <c r="N154" s="10"/>
      <c r="O154" s="10"/>
      <c r="P154" s="10"/>
      <c r="Q154" s="10"/>
      <c r="R154" s="10"/>
    </row>
    <row r="155" spans="13:18" x14ac:dyDescent="0.3">
      <c r="M155" s="10"/>
      <c r="N155" s="10"/>
      <c r="O155" s="10"/>
      <c r="P155" s="10"/>
      <c r="Q155" s="10"/>
      <c r="R155" s="10"/>
    </row>
    <row r="156" spans="13:18" x14ac:dyDescent="0.3">
      <c r="M156" s="10"/>
      <c r="N156" s="10"/>
      <c r="O156" s="10"/>
      <c r="P156" s="10"/>
      <c r="Q156" s="10"/>
      <c r="R156" s="10"/>
    </row>
    <row r="157" spans="13:18" x14ac:dyDescent="0.3">
      <c r="M157" s="10"/>
      <c r="N157" s="10"/>
      <c r="O157" s="10"/>
      <c r="P157" s="10"/>
      <c r="Q157" s="10"/>
      <c r="R157" s="10"/>
    </row>
    <row r="158" spans="13:18" x14ac:dyDescent="0.3">
      <c r="M158" s="10"/>
      <c r="N158" s="10"/>
      <c r="O158" s="10"/>
      <c r="P158" s="10"/>
      <c r="Q158" s="10"/>
      <c r="R158" s="10"/>
    </row>
    <row r="159" spans="13:18" x14ac:dyDescent="0.3">
      <c r="M159" s="10"/>
      <c r="N159" s="10"/>
      <c r="O159" s="10"/>
      <c r="P159" s="10"/>
      <c r="Q159" s="10"/>
      <c r="R159" s="10"/>
    </row>
    <row r="160" spans="13:18" x14ac:dyDescent="0.3">
      <c r="M160" s="10"/>
      <c r="N160" s="10"/>
      <c r="O160" s="10"/>
      <c r="P160" s="10"/>
      <c r="Q160" s="10"/>
      <c r="R160" s="10"/>
    </row>
    <row r="161" spans="13:18" x14ac:dyDescent="0.3">
      <c r="M161" s="10"/>
      <c r="N161" s="10"/>
      <c r="O161" s="10"/>
      <c r="P161" s="10"/>
      <c r="Q161" s="10"/>
      <c r="R161" s="10"/>
    </row>
    <row r="162" spans="13:18" x14ac:dyDescent="0.3">
      <c r="M162" s="10"/>
      <c r="N162" s="10"/>
      <c r="O162" s="10"/>
      <c r="P162" s="10"/>
      <c r="Q162" s="10"/>
      <c r="R162" s="10"/>
    </row>
    <row r="163" spans="13:18" x14ac:dyDescent="0.3">
      <c r="M163" s="10"/>
      <c r="N163" s="10"/>
      <c r="O163" s="10"/>
      <c r="P163" s="10"/>
      <c r="Q163" s="10"/>
      <c r="R163" s="10"/>
    </row>
    <row r="164" spans="13:18" x14ac:dyDescent="0.3">
      <c r="M164" s="10"/>
      <c r="N164" s="10"/>
      <c r="O164" s="10"/>
      <c r="P164" s="10"/>
      <c r="Q164" s="10"/>
      <c r="R164" s="10"/>
    </row>
    <row r="165" spans="13:18" x14ac:dyDescent="0.3">
      <c r="M165" s="10"/>
      <c r="N165" s="10"/>
      <c r="O165" s="10"/>
      <c r="P165" s="10"/>
      <c r="Q165" s="10"/>
      <c r="R165" s="10"/>
    </row>
    <row r="166" spans="13:18" x14ac:dyDescent="0.3">
      <c r="M166" s="10"/>
      <c r="N166" s="10"/>
      <c r="O166" s="10"/>
      <c r="P166" s="10"/>
      <c r="Q166" s="10"/>
      <c r="R166" s="10"/>
    </row>
    <row r="167" spans="13:18" x14ac:dyDescent="0.3">
      <c r="M167" s="10"/>
      <c r="N167" s="10"/>
      <c r="O167" s="10"/>
      <c r="P167" s="10"/>
      <c r="Q167" s="10"/>
      <c r="R167" s="10"/>
    </row>
    <row r="168" spans="13:18" x14ac:dyDescent="0.3">
      <c r="M168" s="10"/>
      <c r="N168" s="10"/>
      <c r="O168" s="10"/>
      <c r="P168" s="10"/>
      <c r="Q168" s="10"/>
      <c r="R168" s="10"/>
    </row>
    <row r="169" spans="13:18" x14ac:dyDescent="0.3">
      <c r="M169" s="10"/>
      <c r="N169" s="10"/>
      <c r="O169" s="10"/>
      <c r="P169" s="10"/>
      <c r="Q169" s="10"/>
      <c r="R169" s="10"/>
    </row>
    <row r="170" spans="13:18" x14ac:dyDescent="0.3">
      <c r="M170" s="10"/>
      <c r="N170" s="10"/>
      <c r="O170" s="10"/>
      <c r="P170" s="10"/>
      <c r="Q170" s="10"/>
      <c r="R170" s="10"/>
    </row>
    <row r="171" spans="13:18" x14ac:dyDescent="0.3">
      <c r="M171" s="10"/>
      <c r="N171" s="10"/>
      <c r="O171" s="10"/>
      <c r="P171" s="10"/>
      <c r="Q171" s="10"/>
      <c r="R171" s="10"/>
    </row>
    <row r="172" spans="13:18" x14ac:dyDescent="0.3">
      <c r="M172" s="10"/>
      <c r="N172" s="10"/>
      <c r="O172" s="10"/>
      <c r="P172" s="10"/>
      <c r="Q172" s="10"/>
      <c r="R172" s="10"/>
    </row>
    <row r="173" spans="13:18" x14ac:dyDescent="0.3">
      <c r="M173" s="10"/>
      <c r="N173" s="10"/>
      <c r="O173" s="10"/>
      <c r="P173" s="10"/>
      <c r="Q173" s="10"/>
      <c r="R173" s="10"/>
    </row>
    <row r="174" spans="13:18" x14ac:dyDescent="0.3">
      <c r="M174" s="10"/>
      <c r="N174" s="10"/>
      <c r="O174" s="10"/>
      <c r="P174" s="10"/>
      <c r="Q174" s="10"/>
      <c r="R174" s="10"/>
    </row>
    <row r="175" spans="13:18" x14ac:dyDescent="0.3">
      <c r="M175" s="10"/>
      <c r="N175" s="10"/>
      <c r="O175" s="10"/>
      <c r="P175" s="10"/>
      <c r="Q175" s="10"/>
      <c r="R175" s="10"/>
    </row>
    <row r="176" spans="13:18" x14ac:dyDescent="0.3">
      <c r="M176" s="10"/>
      <c r="N176" s="10"/>
      <c r="O176" s="10"/>
      <c r="P176" s="10"/>
      <c r="Q176" s="10"/>
      <c r="R176" s="10"/>
    </row>
    <row r="177" spans="13:18" x14ac:dyDescent="0.3">
      <c r="M177" s="10"/>
      <c r="N177" s="10"/>
      <c r="O177" s="10"/>
      <c r="P177" s="10"/>
      <c r="Q177" s="10"/>
      <c r="R177" s="10"/>
    </row>
    <row r="178" spans="13:18" x14ac:dyDescent="0.3">
      <c r="M178" s="10"/>
      <c r="N178" s="10"/>
      <c r="O178" s="10"/>
      <c r="P178" s="10"/>
      <c r="Q178" s="10"/>
      <c r="R178" s="10"/>
    </row>
    <row r="179" spans="13:18" x14ac:dyDescent="0.3">
      <c r="M179" s="10"/>
      <c r="N179" s="10"/>
      <c r="O179" s="10"/>
      <c r="P179" s="10"/>
      <c r="Q179" s="10"/>
      <c r="R179" s="10"/>
    </row>
    <row r="180" spans="13:18" x14ac:dyDescent="0.3">
      <c r="M180" s="10"/>
      <c r="N180" s="10"/>
      <c r="O180" s="10"/>
      <c r="P180" s="10"/>
      <c r="Q180" s="10"/>
      <c r="R180" s="10"/>
    </row>
    <row r="181" spans="13:18" x14ac:dyDescent="0.3">
      <c r="M181" s="10"/>
      <c r="N181" s="10"/>
      <c r="O181" s="10"/>
      <c r="P181" s="10"/>
      <c r="Q181" s="10"/>
      <c r="R181" s="10"/>
    </row>
    <row r="182" spans="13:18" x14ac:dyDescent="0.3">
      <c r="M182" s="10"/>
      <c r="N182" s="10"/>
      <c r="O182" s="10"/>
      <c r="P182" s="10"/>
      <c r="Q182" s="10"/>
      <c r="R182" s="10"/>
    </row>
    <row r="183" spans="13:18" x14ac:dyDescent="0.3">
      <c r="M183" s="10"/>
      <c r="N183" s="10"/>
      <c r="O183" s="10"/>
      <c r="P183" s="10"/>
      <c r="Q183" s="10"/>
      <c r="R183" s="10"/>
    </row>
    <row r="184" spans="13:18" x14ac:dyDescent="0.3">
      <c r="M184" s="10"/>
      <c r="N184" s="10"/>
      <c r="O184" s="10"/>
      <c r="P184" s="10"/>
      <c r="Q184" s="10"/>
      <c r="R184" s="10"/>
    </row>
    <row r="185" spans="13:18" x14ac:dyDescent="0.3">
      <c r="M185" s="10"/>
      <c r="N185" s="10"/>
      <c r="O185" s="10"/>
      <c r="P185" s="10"/>
      <c r="Q185" s="10"/>
      <c r="R185" s="10"/>
    </row>
    <row r="186" spans="13:18" x14ac:dyDescent="0.3">
      <c r="M186" s="10"/>
      <c r="N186" s="10"/>
      <c r="O186" s="10"/>
      <c r="P186" s="10"/>
      <c r="Q186" s="10"/>
      <c r="R186" s="10"/>
    </row>
    <row r="187" spans="13:18" x14ac:dyDescent="0.3">
      <c r="M187" s="10"/>
      <c r="N187" s="10"/>
      <c r="O187" s="10"/>
      <c r="P187" s="10"/>
      <c r="Q187" s="10"/>
      <c r="R187" s="10"/>
    </row>
    <row r="188" spans="13:18" x14ac:dyDescent="0.3">
      <c r="M188" s="10"/>
      <c r="N188" s="10"/>
      <c r="O188" s="10"/>
      <c r="P188" s="10"/>
      <c r="Q188" s="10"/>
      <c r="R188" s="10"/>
    </row>
    <row r="189" spans="13:18" x14ac:dyDescent="0.3">
      <c r="M189" s="10"/>
      <c r="N189" s="10"/>
      <c r="O189" s="10"/>
      <c r="P189" s="10"/>
      <c r="Q189" s="10"/>
      <c r="R189" s="10"/>
    </row>
    <row r="190" spans="13:18" x14ac:dyDescent="0.3">
      <c r="M190" s="10"/>
      <c r="N190" s="10"/>
      <c r="O190" s="10"/>
      <c r="P190" s="10"/>
      <c r="Q190" s="10"/>
      <c r="R190" s="10"/>
    </row>
    <row r="191" spans="13:18" x14ac:dyDescent="0.3">
      <c r="M191" s="10"/>
      <c r="N191" s="10"/>
      <c r="O191" s="10"/>
      <c r="P191" s="10"/>
      <c r="Q191" s="10"/>
      <c r="R191" s="10"/>
    </row>
    <row r="192" spans="13:18" x14ac:dyDescent="0.3">
      <c r="M192" s="10"/>
      <c r="N192" s="10"/>
      <c r="O192" s="10"/>
      <c r="P192" s="10"/>
      <c r="Q192" s="10"/>
      <c r="R192" s="10"/>
    </row>
    <row r="193" spans="13:18" x14ac:dyDescent="0.3">
      <c r="M193" s="10"/>
      <c r="N193" s="10"/>
      <c r="O193" s="10"/>
      <c r="P193" s="10"/>
      <c r="Q193" s="10"/>
      <c r="R193" s="10"/>
    </row>
    <row r="194" spans="13:18" x14ac:dyDescent="0.3">
      <c r="M194" s="10"/>
      <c r="N194" s="10"/>
      <c r="O194" s="10"/>
      <c r="P194" s="10"/>
      <c r="Q194" s="10"/>
      <c r="R194" s="10"/>
    </row>
    <row r="195" spans="13:18" x14ac:dyDescent="0.3">
      <c r="M195" s="10"/>
      <c r="N195" s="10"/>
      <c r="O195" s="10"/>
      <c r="P195" s="10"/>
      <c r="Q195" s="10"/>
      <c r="R195" s="10"/>
    </row>
    <row r="196" spans="13:18" x14ac:dyDescent="0.3">
      <c r="M196" s="10"/>
      <c r="N196" s="10"/>
      <c r="O196" s="10"/>
      <c r="P196" s="10"/>
      <c r="Q196" s="10"/>
      <c r="R196" s="10"/>
    </row>
    <row r="197" spans="13:18" x14ac:dyDescent="0.3">
      <c r="M197" s="10"/>
      <c r="N197" s="10"/>
      <c r="O197" s="10"/>
      <c r="P197" s="10"/>
      <c r="Q197" s="10"/>
      <c r="R197" s="10"/>
    </row>
    <row r="198" spans="13:18" x14ac:dyDescent="0.3">
      <c r="M198" s="10"/>
      <c r="N198" s="10"/>
      <c r="O198" s="10"/>
      <c r="P198" s="10"/>
      <c r="Q198" s="10"/>
      <c r="R198" s="10"/>
    </row>
    <row r="199" spans="13:18" x14ac:dyDescent="0.3">
      <c r="M199" s="10"/>
      <c r="N199" s="10"/>
      <c r="O199" s="10"/>
      <c r="P199" s="10"/>
      <c r="Q199" s="10"/>
      <c r="R199" s="10"/>
    </row>
    <row r="200" spans="13:18" x14ac:dyDescent="0.3">
      <c r="M200" s="10"/>
      <c r="N200" s="10"/>
      <c r="O200" s="10"/>
      <c r="P200" s="10"/>
      <c r="Q200" s="10"/>
      <c r="R200" s="10"/>
    </row>
    <row r="201" spans="13:18" x14ac:dyDescent="0.3">
      <c r="M201" s="10"/>
      <c r="N201" s="10"/>
      <c r="O201" s="10"/>
      <c r="P201" s="10"/>
      <c r="Q201" s="10"/>
      <c r="R201" s="10"/>
    </row>
    <row r="202" spans="13:18" x14ac:dyDescent="0.3">
      <c r="M202" s="10"/>
      <c r="N202" s="10"/>
      <c r="O202" s="10"/>
      <c r="P202" s="10"/>
      <c r="Q202" s="10"/>
      <c r="R202" s="10"/>
    </row>
    <row r="203" spans="13:18" x14ac:dyDescent="0.3">
      <c r="M203" s="10"/>
      <c r="N203" s="10"/>
      <c r="O203" s="10"/>
      <c r="P203" s="10"/>
      <c r="Q203" s="10"/>
      <c r="R203" s="10"/>
    </row>
    <row r="204" spans="13:18" x14ac:dyDescent="0.3">
      <c r="M204" s="10"/>
      <c r="N204" s="10"/>
      <c r="O204" s="10"/>
      <c r="P204" s="10"/>
      <c r="Q204" s="10"/>
      <c r="R204" s="10"/>
    </row>
    <row r="205" spans="13:18" x14ac:dyDescent="0.3">
      <c r="M205" s="10"/>
      <c r="N205" s="10"/>
      <c r="O205" s="10"/>
      <c r="P205" s="10"/>
      <c r="Q205" s="10"/>
      <c r="R205" s="10"/>
    </row>
    <row r="206" spans="13:18" x14ac:dyDescent="0.3">
      <c r="M206" s="10"/>
      <c r="N206" s="10"/>
      <c r="O206" s="10"/>
      <c r="P206" s="10"/>
      <c r="Q206" s="10"/>
      <c r="R206" s="10"/>
    </row>
    <row r="207" spans="13:18" x14ac:dyDescent="0.3">
      <c r="M207" s="10"/>
      <c r="N207" s="10"/>
      <c r="O207" s="10"/>
      <c r="P207" s="10"/>
      <c r="Q207" s="10"/>
      <c r="R207" s="10"/>
    </row>
    <row r="208" spans="13:18" x14ac:dyDescent="0.3">
      <c r="M208" s="10"/>
      <c r="N208" s="10"/>
      <c r="O208" s="10"/>
      <c r="P208" s="10"/>
      <c r="Q208" s="10"/>
      <c r="R208" s="10"/>
    </row>
    <row r="209" spans="13:18" x14ac:dyDescent="0.3">
      <c r="M209" s="10"/>
      <c r="N209" s="10"/>
      <c r="O209" s="10"/>
      <c r="P209" s="10"/>
      <c r="Q209" s="10"/>
      <c r="R209" s="10"/>
    </row>
    <row r="210" spans="13:18" x14ac:dyDescent="0.3">
      <c r="M210" s="10"/>
      <c r="N210" s="10"/>
      <c r="O210" s="10"/>
      <c r="P210" s="10"/>
      <c r="Q210" s="10"/>
      <c r="R210" s="10"/>
    </row>
    <row r="211" spans="13:18" x14ac:dyDescent="0.3">
      <c r="M211" s="10"/>
      <c r="N211" s="10"/>
      <c r="O211" s="10"/>
      <c r="P211" s="10"/>
      <c r="Q211" s="10"/>
      <c r="R211" s="10"/>
    </row>
    <row r="212" spans="13:18" x14ac:dyDescent="0.3">
      <c r="M212" s="10"/>
      <c r="N212" s="10"/>
      <c r="O212" s="10"/>
      <c r="P212" s="10"/>
      <c r="Q212" s="10"/>
      <c r="R212" s="10"/>
    </row>
    <row r="213" spans="13:18" x14ac:dyDescent="0.3">
      <c r="M213" s="10"/>
      <c r="N213" s="10"/>
      <c r="O213" s="10"/>
      <c r="P213" s="10"/>
      <c r="Q213" s="10"/>
      <c r="R213" s="10"/>
    </row>
    <row r="214" spans="13:18" x14ac:dyDescent="0.3">
      <c r="M214" s="10"/>
      <c r="N214" s="10"/>
      <c r="O214" s="10"/>
      <c r="P214" s="10"/>
      <c r="Q214" s="10"/>
      <c r="R214" s="10"/>
    </row>
    <row r="215" spans="13:18" x14ac:dyDescent="0.3">
      <c r="M215" s="10"/>
      <c r="N215" s="10"/>
      <c r="O215" s="10"/>
      <c r="P215" s="10"/>
      <c r="Q215" s="10"/>
      <c r="R215" s="10"/>
    </row>
    <row r="216" spans="13:18" x14ac:dyDescent="0.3">
      <c r="M216" s="10"/>
      <c r="N216" s="10"/>
      <c r="O216" s="10"/>
      <c r="P216" s="10"/>
      <c r="Q216" s="10"/>
      <c r="R216" s="10"/>
    </row>
    <row r="217" spans="13:18" x14ac:dyDescent="0.3">
      <c r="M217" s="10"/>
      <c r="N217" s="10"/>
      <c r="O217" s="10"/>
      <c r="P217" s="10"/>
      <c r="Q217" s="10"/>
      <c r="R217" s="10"/>
    </row>
    <row r="218" spans="13:18" x14ac:dyDescent="0.3">
      <c r="M218" s="10"/>
      <c r="N218" s="10"/>
      <c r="O218" s="10"/>
      <c r="P218" s="10"/>
      <c r="Q218" s="10"/>
      <c r="R218" s="10"/>
    </row>
    <row r="219" spans="13:18" x14ac:dyDescent="0.3">
      <c r="M219" s="10"/>
      <c r="N219" s="10"/>
      <c r="O219" s="10"/>
      <c r="P219" s="10"/>
      <c r="Q219" s="10"/>
      <c r="R219" s="10"/>
    </row>
    <row r="220" spans="13:18" x14ac:dyDescent="0.3">
      <c r="M220" s="10"/>
      <c r="N220" s="10"/>
      <c r="O220" s="10"/>
      <c r="P220" s="10"/>
      <c r="Q220" s="10"/>
      <c r="R220" s="10"/>
    </row>
    <row r="221" spans="13:18" x14ac:dyDescent="0.3">
      <c r="M221" s="10"/>
      <c r="N221" s="10"/>
      <c r="O221" s="10"/>
      <c r="P221" s="10"/>
      <c r="Q221" s="10"/>
      <c r="R221" s="10"/>
    </row>
    <row r="222" spans="13:18" x14ac:dyDescent="0.3">
      <c r="M222" s="10"/>
      <c r="N222" s="10"/>
      <c r="O222" s="10"/>
      <c r="P222" s="10"/>
      <c r="Q222" s="10"/>
      <c r="R222" s="10"/>
    </row>
    <row r="223" spans="13:18" x14ac:dyDescent="0.3">
      <c r="M223" s="10"/>
      <c r="N223" s="10"/>
      <c r="O223" s="10"/>
      <c r="P223" s="10"/>
      <c r="Q223" s="10"/>
      <c r="R223" s="10"/>
    </row>
    <row r="224" spans="13:18" x14ac:dyDescent="0.3">
      <c r="M224" s="10"/>
      <c r="N224" s="10"/>
      <c r="O224" s="10"/>
      <c r="P224" s="10"/>
      <c r="Q224" s="10"/>
      <c r="R224" s="10"/>
    </row>
    <row r="225" spans="13:18" x14ac:dyDescent="0.3">
      <c r="M225" s="10"/>
      <c r="N225" s="10"/>
      <c r="O225" s="10"/>
      <c r="P225" s="10"/>
      <c r="Q225" s="10"/>
      <c r="R225" s="10"/>
    </row>
    <row r="226" spans="13:18" x14ac:dyDescent="0.3">
      <c r="M226" s="10"/>
      <c r="N226" s="10"/>
      <c r="O226" s="10"/>
      <c r="P226" s="10"/>
      <c r="Q226" s="10"/>
      <c r="R226" s="10"/>
    </row>
    <row r="227" spans="13:18" x14ac:dyDescent="0.3">
      <c r="M227" s="10"/>
      <c r="N227" s="10"/>
      <c r="O227" s="10"/>
      <c r="P227" s="10"/>
      <c r="Q227" s="10"/>
      <c r="R227" s="10"/>
    </row>
    <row r="228" spans="13:18" x14ac:dyDescent="0.3">
      <c r="M228" s="10"/>
      <c r="N228" s="10"/>
      <c r="O228" s="10"/>
      <c r="P228" s="10"/>
      <c r="Q228" s="10"/>
      <c r="R228" s="10"/>
    </row>
    <row r="229" spans="13:18" x14ac:dyDescent="0.3">
      <c r="M229" s="10"/>
      <c r="N229" s="10"/>
      <c r="O229" s="10"/>
      <c r="P229" s="10"/>
      <c r="Q229" s="10"/>
      <c r="R229" s="10"/>
    </row>
    <row r="230" spans="13:18" x14ac:dyDescent="0.3">
      <c r="M230" s="10"/>
      <c r="N230" s="10"/>
      <c r="O230" s="10"/>
      <c r="P230" s="10"/>
      <c r="Q230" s="10"/>
      <c r="R230" s="10"/>
    </row>
    <row r="231" spans="13:18" x14ac:dyDescent="0.3">
      <c r="M231" s="10"/>
      <c r="N231" s="10"/>
      <c r="O231" s="10"/>
      <c r="P231" s="10"/>
      <c r="Q231" s="10"/>
      <c r="R231" s="10"/>
    </row>
    <row r="232" spans="13:18" x14ac:dyDescent="0.3">
      <c r="M232" s="10"/>
      <c r="N232" s="10"/>
      <c r="O232" s="10"/>
      <c r="P232" s="10"/>
      <c r="Q232" s="10"/>
      <c r="R232" s="10"/>
    </row>
    <row r="233" spans="13:18" x14ac:dyDescent="0.3">
      <c r="M233" s="10"/>
      <c r="N233" s="10"/>
      <c r="O233" s="10"/>
      <c r="P233" s="10"/>
      <c r="Q233" s="10"/>
      <c r="R233" s="10"/>
    </row>
    <row r="234" spans="13:18" x14ac:dyDescent="0.3">
      <c r="M234" s="10"/>
      <c r="N234" s="10"/>
      <c r="O234" s="10"/>
      <c r="P234" s="10"/>
      <c r="Q234" s="10"/>
      <c r="R234" s="10"/>
    </row>
    <row r="235" spans="13:18" x14ac:dyDescent="0.3">
      <c r="M235" s="10"/>
      <c r="N235" s="10"/>
      <c r="O235" s="10"/>
      <c r="P235" s="10"/>
      <c r="Q235" s="10"/>
      <c r="R235" s="10"/>
    </row>
    <row r="236" spans="13:18" x14ac:dyDescent="0.3">
      <c r="M236" s="10"/>
      <c r="N236" s="10"/>
      <c r="O236" s="10"/>
      <c r="P236" s="10"/>
      <c r="Q236" s="10"/>
      <c r="R236" s="10"/>
    </row>
    <row r="237" spans="13:18" x14ac:dyDescent="0.3">
      <c r="M237" s="10"/>
      <c r="N237" s="10"/>
      <c r="O237" s="10"/>
      <c r="P237" s="10"/>
      <c r="Q237" s="10"/>
      <c r="R237" s="10"/>
    </row>
    <row r="238" spans="13:18" x14ac:dyDescent="0.3">
      <c r="M238" s="10"/>
      <c r="N238" s="10"/>
      <c r="O238" s="10"/>
      <c r="P238" s="10"/>
      <c r="Q238" s="10"/>
      <c r="R238" s="10"/>
    </row>
    <row r="239" spans="13:18" x14ac:dyDescent="0.3">
      <c r="M239" s="10"/>
      <c r="N239" s="10"/>
      <c r="O239" s="10"/>
      <c r="P239" s="10"/>
      <c r="Q239" s="10"/>
      <c r="R239" s="10"/>
    </row>
    <row r="240" spans="13:18" x14ac:dyDescent="0.3">
      <c r="M240" s="10"/>
      <c r="N240" s="10"/>
      <c r="O240" s="10"/>
      <c r="P240" s="10"/>
      <c r="Q240" s="10"/>
      <c r="R240" s="10"/>
    </row>
    <row r="241" spans="13:18" x14ac:dyDescent="0.3">
      <c r="M241" s="10"/>
      <c r="N241" s="10"/>
      <c r="O241" s="10"/>
      <c r="P241" s="10"/>
      <c r="Q241" s="10"/>
      <c r="R241" s="10"/>
    </row>
    <row r="242" spans="13:18" x14ac:dyDescent="0.3">
      <c r="M242" s="10"/>
      <c r="N242" s="10"/>
      <c r="O242" s="10"/>
      <c r="P242" s="10"/>
      <c r="Q242" s="10"/>
      <c r="R242" s="10"/>
    </row>
    <row r="243" spans="13:18" x14ac:dyDescent="0.3">
      <c r="M243" s="10"/>
      <c r="N243" s="10"/>
      <c r="O243" s="10"/>
      <c r="P243" s="10"/>
      <c r="Q243" s="10"/>
      <c r="R243" s="10"/>
    </row>
    <row r="244" spans="13:18" x14ac:dyDescent="0.3">
      <c r="M244" s="10"/>
      <c r="N244" s="10"/>
      <c r="O244" s="10"/>
      <c r="P244" s="10"/>
      <c r="Q244" s="10"/>
      <c r="R244" s="10"/>
    </row>
    <row r="245" spans="13:18" x14ac:dyDescent="0.3">
      <c r="M245" s="10"/>
      <c r="N245" s="10"/>
      <c r="O245" s="10"/>
      <c r="P245" s="10"/>
      <c r="Q245" s="10"/>
      <c r="R245" s="10"/>
    </row>
    <row r="246" spans="13:18" x14ac:dyDescent="0.3">
      <c r="M246" s="10"/>
      <c r="N246" s="10"/>
      <c r="O246" s="10"/>
      <c r="P246" s="10"/>
      <c r="Q246" s="10"/>
      <c r="R246" s="10"/>
    </row>
    <row r="247" spans="13:18" x14ac:dyDescent="0.3">
      <c r="M247" s="10"/>
      <c r="N247" s="10"/>
      <c r="O247" s="10"/>
      <c r="P247" s="10"/>
      <c r="Q247" s="10"/>
      <c r="R247" s="10"/>
    </row>
    <row r="248" spans="13:18" x14ac:dyDescent="0.3">
      <c r="M248" s="10"/>
      <c r="N248" s="10"/>
      <c r="O248" s="10"/>
      <c r="P248" s="10"/>
      <c r="Q248" s="10"/>
      <c r="R248" s="10"/>
    </row>
    <row r="249" spans="13:18" x14ac:dyDescent="0.3">
      <c r="M249" s="10"/>
      <c r="N249" s="10"/>
      <c r="O249" s="10"/>
      <c r="P249" s="10"/>
      <c r="Q249" s="10"/>
      <c r="R249" s="10"/>
    </row>
    <row r="250" spans="13:18" x14ac:dyDescent="0.3">
      <c r="M250" s="10"/>
      <c r="N250" s="10"/>
      <c r="O250" s="10"/>
      <c r="P250" s="10"/>
      <c r="Q250" s="10"/>
      <c r="R250" s="10"/>
    </row>
    <row r="251" spans="13:18" x14ac:dyDescent="0.3">
      <c r="M251" s="10"/>
      <c r="N251" s="10"/>
      <c r="O251" s="10"/>
      <c r="P251" s="10"/>
      <c r="Q251" s="10"/>
      <c r="R251" s="10"/>
    </row>
    <row r="252" spans="13:18" x14ac:dyDescent="0.3">
      <c r="M252" s="10"/>
      <c r="N252" s="10"/>
      <c r="O252" s="10"/>
      <c r="P252" s="10"/>
      <c r="Q252" s="10"/>
      <c r="R252" s="10"/>
    </row>
    <row r="253" spans="13:18" x14ac:dyDescent="0.3">
      <c r="M253" s="10"/>
      <c r="N253" s="10"/>
      <c r="O253" s="10"/>
      <c r="P253" s="10"/>
      <c r="Q253" s="10"/>
      <c r="R253" s="10"/>
    </row>
    <row r="254" spans="13:18" x14ac:dyDescent="0.3">
      <c r="M254" s="10"/>
      <c r="N254" s="10"/>
      <c r="O254" s="10"/>
      <c r="P254" s="10"/>
      <c r="Q254" s="10"/>
      <c r="R254" s="10"/>
    </row>
    <row r="255" spans="13:18" x14ac:dyDescent="0.3">
      <c r="M255" s="10"/>
      <c r="N255" s="10"/>
      <c r="O255" s="10"/>
      <c r="P255" s="10"/>
      <c r="Q255" s="10"/>
      <c r="R255" s="10"/>
    </row>
    <row r="256" spans="13:18" x14ac:dyDescent="0.3">
      <c r="M256" s="10"/>
      <c r="N256" s="10"/>
      <c r="O256" s="10"/>
      <c r="P256" s="10"/>
      <c r="Q256" s="10"/>
      <c r="R256" s="10"/>
    </row>
    <row r="257" spans="13:18" x14ac:dyDescent="0.3">
      <c r="M257" s="10"/>
      <c r="N257" s="10"/>
      <c r="O257" s="10"/>
      <c r="P257" s="10"/>
      <c r="Q257" s="10"/>
      <c r="R257" s="10"/>
    </row>
    <row r="258" spans="13:18" x14ac:dyDescent="0.3">
      <c r="M258" s="10"/>
      <c r="N258" s="10"/>
      <c r="O258" s="10"/>
      <c r="P258" s="10"/>
      <c r="Q258" s="10"/>
      <c r="R258" s="10"/>
    </row>
    <row r="259" spans="13:18" x14ac:dyDescent="0.3">
      <c r="M259" s="10"/>
      <c r="N259" s="10"/>
      <c r="O259" s="10"/>
      <c r="P259" s="10"/>
      <c r="Q259" s="10"/>
      <c r="R259" s="10"/>
    </row>
    <row r="260" spans="13:18" x14ac:dyDescent="0.3">
      <c r="M260" s="10"/>
      <c r="N260" s="10"/>
      <c r="O260" s="10"/>
      <c r="P260" s="10"/>
      <c r="Q260" s="10"/>
      <c r="R260" s="10"/>
    </row>
    <row r="261" spans="13:18" x14ac:dyDescent="0.3">
      <c r="M261" s="10"/>
      <c r="N261" s="10"/>
      <c r="O261" s="10"/>
      <c r="P261" s="10"/>
      <c r="Q261" s="10"/>
      <c r="R261" s="10"/>
    </row>
    <row r="262" spans="13:18" x14ac:dyDescent="0.3">
      <c r="M262" s="10"/>
      <c r="N262" s="10"/>
      <c r="O262" s="10"/>
      <c r="P262" s="10"/>
      <c r="Q262" s="10"/>
      <c r="R262" s="10"/>
    </row>
    <row r="263" spans="13:18" x14ac:dyDescent="0.3">
      <c r="M263" s="10"/>
      <c r="N263" s="10"/>
      <c r="O263" s="10"/>
      <c r="P263" s="10"/>
      <c r="Q263" s="10"/>
      <c r="R263" s="10"/>
    </row>
    <row r="264" spans="13:18" x14ac:dyDescent="0.3">
      <c r="M264" s="10"/>
      <c r="N264" s="10"/>
      <c r="O264" s="10"/>
      <c r="P264" s="10"/>
      <c r="Q264" s="10"/>
      <c r="R264" s="10"/>
    </row>
    <row r="265" spans="13:18" x14ac:dyDescent="0.3">
      <c r="M265" s="10"/>
      <c r="N265" s="10"/>
      <c r="O265" s="10"/>
      <c r="P265" s="10"/>
      <c r="Q265" s="10"/>
      <c r="R265" s="10"/>
    </row>
    <row r="266" spans="13:18" x14ac:dyDescent="0.3">
      <c r="M266" s="10"/>
      <c r="N266" s="10"/>
      <c r="O266" s="10"/>
      <c r="P266" s="10"/>
      <c r="Q266" s="10"/>
      <c r="R266" s="10"/>
    </row>
    <row r="267" spans="13:18" x14ac:dyDescent="0.3">
      <c r="M267" s="10"/>
      <c r="N267" s="10"/>
      <c r="O267" s="10"/>
      <c r="P267" s="10"/>
      <c r="Q267" s="10"/>
      <c r="R267" s="10"/>
    </row>
    <row r="268" spans="13:18" x14ac:dyDescent="0.3">
      <c r="M268" s="10"/>
      <c r="N268" s="10"/>
      <c r="O268" s="10"/>
      <c r="P268" s="10"/>
      <c r="Q268" s="10"/>
      <c r="R268" s="10"/>
    </row>
    <row r="269" spans="13:18" x14ac:dyDescent="0.3">
      <c r="M269" s="10"/>
      <c r="N269" s="10"/>
      <c r="O269" s="10"/>
      <c r="P269" s="10"/>
      <c r="Q269" s="10"/>
      <c r="R269" s="10"/>
    </row>
    <row r="270" spans="13:18" x14ac:dyDescent="0.3">
      <c r="M270" s="10"/>
      <c r="N270" s="10"/>
      <c r="O270" s="10"/>
      <c r="P270" s="10"/>
      <c r="Q270" s="10"/>
      <c r="R270" s="10"/>
    </row>
    <row r="271" spans="13:18" x14ac:dyDescent="0.3">
      <c r="M271" s="10"/>
      <c r="N271" s="10"/>
      <c r="O271" s="10"/>
      <c r="P271" s="10"/>
      <c r="Q271" s="10"/>
      <c r="R271" s="10"/>
    </row>
    <row r="272" spans="13:18" x14ac:dyDescent="0.3">
      <c r="M272" s="10"/>
      <c r="N272" s="10"/>
      <c r="O272" s="10"/>
      <c r="P272" s="10"/>
      <c r="Q272" s="10"/>
      <c r="R272" s="10"/>
    </row>
    <row r="273" spans="13:18" x14ac:dyDescent="0.3">
      <c r="M273" s="10"/>
      <c r="N273" s="10"/>
      <c r="O273" s="10"/>
      <c r="P273" s="10"/>
      <c r="Q273" s="10"/>
      <c r="R273" s="10"/>
    </row>
    <row r="274" spans="13:18" x14ac:dyDescent="0.3">
      <c r="M274" s="10"/>
      <c r="N274" s="10"/>
      <c r="O274" s="10"/>
      <c r="P274" s="10"/>
      <c r="Q274" s="10"/>
      <c r="R274" s="10"/>
    </row>
    <row r="275" spans="13:18" x14ac:dyDescent="0.3">
      <c r="M275" s="10"/>
      <c r="N275" s="10"/>
      <c r="O275" s="10"/>
      <c r="P275" s="10"/>
      <c r="Q275" s="10"/>
      <c r="R275" s="10"/>
    </row>
    <row r="276" spans="13:18" x14ac:dyDescent="0.3">
      <c r="M276" s="10"/>
      <c r="N276" s="10"/>
      <c r="O276" s="10"/>
      <c r="P276" s="10"/>
      <c r="Q276" s="10"/>
      <c r="R276" s="10"/>
    </row>
    <row r="277" spans="13:18" x14ac:dyDescent="0.3">
      <c r="M277" s="10"/>
      <c r="N277" s="10"/>
      <c r="O277" s="10"/>
      <c r="P277" s="10"/>
      <c r="Q277" s="10"/>
      <c r="R277" s="10"/>
    </row>
    <row r="278" spans="13:18" x14ac:dyDescent="0.3">
      <c r="M278" s="10"/>
      <c r="N278" s="10"/>
      <c r="O278" s="10"/>
      <c r="P278" s="10"/>
      <c r="Q278" s="10"/>
      <c r="R278" s="10"/>
    </row>
    <row r="279" spans="13:18" x14ac:dyDescent="0.3">
      <c r="M279" s="10"/>
      <c r="N279" s="10"/>
      <c r="O279" s="10"/>
      <c r="P279" s="10"/>
      <c r="Q279" s="10"/>
      <c r="R279" s="10"/>
    </row>
    <row r="280" spans="13:18" x14ac:dyDescent="0.3">
      <c r="M280" s="10"/>
      <c r="N280" s="10"/>
      <c r="O280" s="10"/>
      <c r="P280" s="10"/>
      <c r="Q280" s="10"/>
      <c r="R280" s="10"/>
    </row>
    <row r="281" spans="13:18" x14ac:dyDescent="0.3">
      <c r="M281" s="10"/>
      <c r="N281" s="10"/>
      <c r="O281" s="10"/>
      <c r="P281" s="10"/>
      <c r="Q281" s="10"/>
      <c r="R281" s="10"/>
    </row>
    <row r="282" spans="13:18" x14ac:dyDescent="0.3">
      <c r="M282" s="10"/>
      <c r="N282" s="10"/>
      <c r="O282" s="10"/>
      <c r="P282" s="10"/>
      <c r="Q282" s="10"/>
      <c r="R282" s="10"/>
    </row>
    <row r="283" spans="13:18" x14ac:dyDescent="0.3">
      <c r="M283" s="10"/>
      <c r="N283" s="10"/>
      <c r="O283" s="10"/>
      <c r="P283" s="10"/>
      <c r="Q283" s="10"/>
      <c r="R283" s="10"/>
    </row>
    <row r="284" spans="13:18" x14ac:dyDescent="0.3">
      <c r="M284" s="10"/>
      <c r="N284" s="10"/>
      <c r="O284" s="10"/>
      <c r="P284" s="10"/>
      <c r="Q284" s="10"/>
      <c r="R284" s="10"/>
    </row>
    <row r="285" spans="13:18" x14ac:dyDescent="0.3">
      <c r="M285" s="10"/>
      <c r="N285" s="10"/>
      <c r="O285" s="10"/>
      <c r="P285" s="10"/>
      <c r="Q285" s="10"/>
      <c r="R285" s="10"/>
    </row>
    <row r="286" spans="13:18" x14ac:dyDescent="0.3">
      <c r="M286" s="10"/>
      <c r="N286" s="10"/>
      <c r="O286" s="10"/>
      <c r="P286" s="10"/>
      <c r="Q286" s="10"/>
      <c r="R286" s="10"/>
    </row>
    <row r="287" spans="13:18" x14ac:dyDescent="0.3">
      <c r="M287" s="10"/>
      <c r="N287" s="10"/>
      <c r="O287" s="10"/>
      <c r="P287" s="10"/>
      <c r="Q287" s="10"/>
      <c r="R287" s="10"/>
    </row>
    <row r="288" spans="13:18" x14ac:dyDescent="0.3">
      <c r="M288" s="10"/>
      <c r="N288" s="10"/>
      <c r="O288" s="10"/>
      <c r="P288" s="10"/>
      <c r="Q288" s="10"/>
      <c r="R288" s="10"/>
    </row>
    <row r="289" spans="13:18" x14ac:dyDescent="0.3">
      <c r="M289" s="10"/>
      <c r="N289" s="10"/>
      <c r="O289" s="10"/>
      <c r="P289" s="10"/>
      <c r="Q289" s="10"/>
      <c r="R289" s="10"/>
    </row>
    <row r="290" spans="13:18" x14ac:dyDescent="0.3">
      <c r="M290" s="10"/>
      <c r="N290" s="10"/>
      <c r="O290" s="10"/>
      <c r="P290" s="10"/>
      <c r="Q290" s="10"/>
      <c r="R290" s="10"/>
    </row>
    <row r="291" spans="13:18" x14ac:dyDescent="0.3">
      <c r="M291" s="10"/>
      <c r="N291" s="10"/>
      <c r="O291" s="10"/>
      <c r="P291" s="10"/>
      <c r="Q291" s="10"/>
      <c r="R291" s="10"/>
    </row>
    <row r="292" spans="13:18" x14ac:dyDescent="0.3">
      <c r="M292" s="10"/>
      <c r="N292" s="10"/>
      <c r="O292" s="10"/>
      <c r="P292" s="10"/>
      <c r="Q292" s="10"/>
      <c r="R292" s="10"/>
    </row>
    <row r="293" spans="13:18" x14ac:dyDescent="0.3">
      <c r="M293" s="10"/>
      <c r="N293" s="10"/>
      <c r="O293" s="10"/>
      <c r="P293" s="10"/>
      <c r="Q293" s="10"/>
      <c r="R293" s="10"/>
    </row>
    <row r="294" spans="13:18" x14ac:dyDescent="0.3">
      <c r="M294" s="10"/>
      <c r="N294" s="10"/>
      <c r="O294" s="10"/>
      <c r="P294" s="10"/>
      <c r="Q294" s="10"/>
      <c r="R294" s="10"/>
    </row>
    <row r="295" spans="13:18" x14ac:dyDescent="0.3">
      <c r="M295" s="10"/>
      <c r="N295" s="10"/>
      <c r="O295" s="10"/>
      <c r="P295" s="10"/>
      <c r="Q295" s="10"/>
      <c r="R295" s="10"/>
    </row>
    <row r="296" spans="13:18" x14ac:dyDescent="0.3">
      <c r="M296" s="10"/>
      <c r="N296" s="10"/>
      <c r="O296" s="10"/>
      <c r="P296" s="10"/>
      <c r="Q296" s="10"/>
      <c r="R296" s="10"/>
    </row>
    <row r="297" spans="13:18" x14ac:dyDescent="0.3">
      <c r="M297" s="10"/>
      <c r="N297" s="10"/>
      <c r="O297" s="10"/>
      <c r="P297" s="10"/>
      <c r="Q297" s="10"/>
      <c r="R297" s="10"/>
    </row>
    <row r="298" spans="13:18" x14ac:dyDescent="0.3">
      <c r="M298" s="10"/>
      <c r="N298" s="10"/>
      <c r="O298" s="10"/>
      <c r="P298" s="10"/>
      <c r="Q298" s="10"/>
      <c r="R298" s="10"/>
    </row>
    <row r="299" spans="13:18" x14ac:dyDescent="0.3">
      <c r="M299" s="10"/>
      <c r="N299" s="10"/>
      <c r="O299" s="10"/>
      <c r="P299" s="10"/>
      <c r="Q299" s="10"/>
      <c r="R299" s="10"/>
    </row>
    <row r="300" spans="13:18" x14ac:dyDescent="0.3">
      <c r="M300" s="10"/>
      <c r="N300" s="10"/>
      <c r="O300" s="10"/>
      <c r="P300" s="10"/>
      <c r="Q300" s="10"/>
      <c r="R300" s="10"/>
    </row>
    <row r="301" spans="13:18" x14ac:dyDescent="0.3">
      <c r="M301" s="10"/>
      <c r="N301" s="10"/>
      <c r="O301" s="10"/>
      <c r="P301" s="10"/>
      <c r="Q301" s="10"/>
      <c r="R301" s="10"/>
    </row>
    <row r="302" spans="13:18" x14ac:dyDescent="0.3">
      <c r="M302" s="10"/>
      <c r="N302" s="10"/>
      <c r="O302" s="10"/>
      <c r="P302" s="10"/>
      <c r="Q302" s="10"/>
      <c r="R302" s="10"/>
    </row>
    <row r="303" spans="13:18" x14ac:dyDescent="0.3">
      <c r="M303" s="10"/>
      <c r="N303" s="10"/>
      <c r="O303" s="10"/>
      <c r="P303" s="10"/>
      <c r="Q303" s="10"/>
      <c r="R303" s="10"/>
    </row>
    <row r="304" spans="13:18" x14ac:dyDescent="0.3">
      <c r="M304" s="10"/>
      <c r="N304" s="10"/>
      <c r="O304" s="10"/>
      <c r="P304" s="10"/>
      <c r="Q304" s="10"/>
      <c r="R304" s="10"/>
    </row>
    <row r="305" spans="13:18" x14ac:dyDescent="0.3">
      <c r="M305" s="10"/>
      <c r="N305" s="10"/>
      <c r="O305" s="10"/>
      <c r="P305" s="10"/>
      <c r="Q305" s="10"/>
      <c r="R305" s="10"/>
    </row>
    <row r="306" spans="13:18" x14ac:dyDescent="0.3">
      <c r="M306" s="10"/>
      <c r="N306" s="10"/>
      <c r="O306" s="10"/>
      <c r="P306" s="10"/>
      <c r="Q306" s="10"/>
      <c r="R306" s="10"/>
    </row>
    <row r="307" spans="13:18" x14ac:dyDescent="0.3">
      <c r="M307" s="10"/>
      <c r="N307" s="10"/>
      <c r="O307" s="10"/>
      <c r="P307" s="10"/>
      <c r="Q307" s="10"/>
      <c r="R307" s="10"/>
    </row>
    <row r="308" spans="13:18" x14ac:dyDescent="0.3">
      <c r="M308" s="10"/>
      <c r="N308" s="10"/>
      <c r="O308" s="10"/>
      <c r="P308" s="10"/>
      <c r="Q308" s="10"/>
      <c r="R308" s="10"/>
    </row>
    <row r="309" spans="13:18" x14ac:dyDescent="0.3">
      <c r="M309" s="10"/>
      <c r="N309" s="10"/>
      <c r="O309" s="10"/>
      <c r="P309" s="10"/>
      <c r="Q309" s="10"/>
      <c r="R309" s="10"/>
    </row>
    <row r="310" spans="13:18" x14ac:dyDescent="0.3">
      <c r="M310" s="10"/>
      <c r="N310" s="10"/>
      <c r="O310" s="10"/>
      <c r="P310" s="10"/>
      <c r="Q310" s="10"/>
      <c r="R310" s="10"/>
    </row>
    <row r="311" spans="13:18" x14ac:dyDescent="0.3">
      <c r="M311" s="10"/>
      <c r="N311" s="10"/>
      <c r="O311" s="10"/>
      <c r="P311" s="10"/>
      <c r="Q311" s="10"/>
      <c r="R311" s="10"/>
    </row>
    <row r="312" spans="13:18" x14ac:dyDescent="0.3">
      <c r="M312" s="10"/>
      <c r="N312" s="10"/>
      <c r="O312" s="10"/>
      <c r="P312" s="10"/>
      <c r="Q312" s="10"/>
      <c r="R312" s="10"/>
    </row>
    <row r="313" spans="13:18" x14ac:dyDescent="0.3">
      <c r="M313" s="10"/>
      <c r="N313" s="10"/>
      <c r="O313" s="10"/>
      <c r="P313" s="10"/>
      <c r="Q313" s="10"/>
      <c r="R313" s="10"/>
    </row>
    <row r="314" spans="13:18" x14ac:dyDescent="0.3">
      <c r="M314" s="10"/>
      <c r="N314" s="10"/>
      <c r="O314" s="10"/>
      <c r="P314" s="10"/>
      <c r="Q314" s="10"/>
      <c r="R314" s="10"/>
    </row>
    <row r="315" spans="13:18" x14ac:dyDescent="0.3">
      <c r="M315" s="10"/>
      <c r="N315" s="10"/>
      <c r="O315" s="10"/>
      <c r="P315" s="10"/>
      <c r="Q315" s="10"/>
      <c r="R315" s="10"/>
    </row>
    <row r="316" spans="13:18" x14ac:dyDescent="0.3">
      <c r="M316" s="10"/>
      <c r="N316" s="10"/>
      <c r="O316" s="10"/>
      <c r="P316" s="10"/>
      <c r="Q316" s="10"/>
      <c r="R316" s="10"/>
    </row>
    <row r="317" spans="13:18" x14ac:dyDescent="0.3">
      <c r="M317" s="10"/>
      <c r="N317" s="10"/>
      <c r="O317" s="10"/>
      <c r="P317" s="10"/>
      <c r="Q317" s="10"/>
      <c r="R317" s="10"/>
    </row>
    <row r="318" spans="13:18" x14ac:dyDescent="0.3">
      <c r="M318" s="10"/>
      <c r="N318" s="10"/>
      <c r="O318" s="10"/>
      <c r="P318" s="10"/>
      <c r="Q318" s="10"/>
      <c r="R318" s="10"/>
    </row>
    <row r="319" spans="13:18" x14ac:dyDescent="0.3">
      <c r="M319" s="10"/>
      <c r="N319" s="10"/>
      <c r="O319" s="10"/>
      <c r="P319" s="10"/>
      <c r="Q319" s="10"/>
      <c r="R319" s="10"/>
    </row>
    <row r="320" spans="13:18" x14ac:dyDescent="0.3">
      <c r="M320" s="10"/>
      <c r="N320" s="10"/>
      <c r="O320" s="10"/>
      <c r="P320" s="10"/>
      <c r="Q320" s="10"/>
      <c r="R320" s="10"/>
    </row>
    <row r="321" spans="13:18" x14ac:dyDescent="0.3">
      <c r="M321" s="10"/>
      <c r="N321" s="10"/>
      <c r="O321" s="10"/>
      <c r="P321" s="10"/>
      <c r="Q321" s="10"/>
      <c r="R321" s="10"/>
    </row>
    <row r="322" spans="13:18" x14ac:dyDescent="0.3">
      <c r="M322" s="10"/>
      <c r="N322" s="10"/>
      <c r="O322" s="10"/>
      <c r="P322" s="10"/>
      <c r="Q322" s="10"/>
      <c r="R322" s="10"/>
    </row>
    <row r="323" spans="13:18" x14ac:dyDescent="0.3">
      <c r="M323" s="10"/>
      <c r="N323" s="10"/>
      <c r="O323" s="10"/>
      <c r="P323" s="10"/>
      <c r="Q323" s="10"/>
      <c r="R323" s="10"/>
    </row>
    <row r="324" spans="13:18" x14ac:dyDescent="0.3">
      <c r="M324" s="10"/>
      <c r="N324" s="10"/>
      <c r="O324" s="10"/>
      <c r="P324" s="10"/>
      <c r="Q324" s="10"/>
      <c r="R324" s="10"/>
    </row>
    <row r="325" spans="13:18" x14ac:dyDescent="0.3">
      <c r="M325" s="10"/>
      <c r="N325" s="10"/>
      <c r="O325" s="10"/>
      <c r="P325" s="10"/>
      <c r="Q325" s="10"/>
      <c r="R325" s="10"/>
    </row>
    <row r="326" spans="13:18" x14ac:dyDescent="0.3">
      <c r="M326" s="10"/>
      <c r="N326" s="10"/>
      <c r="O326" s="10"/>
      <c r="P326" s="10"/>
      <c r="Q326" s="10"/>
      <c r="R326" s="10"/>
    </row>
    <row r="327" spans="13:18" x14ac:dyDescent="0.3">
      <c r="M327" s="10"/>
      <c r="N327" s="10"/>
      <c r="O327" s="10"/>
      <c r="P327" s="10"/>
      <c r="Q327" s="10"/>
      <c r="R327" s="10"/>
    </row>
    <row r="328" spans="13:18" x14ac:dyDescent="0.3">
      <c r="M328" s="10"/>
      <c r="N328" s="10"/>
      <c r="O328" s="10"/>
      <c r="P328" s="10"/>
      <c r="Q328" s="10"/>
      <c r="R328" s="10"/>
    </row>
    <row r="329" spans="13:18" x14ac:dyDescent="0.3">
      <c r="M329" s="10"/>
      <c r="N329" s="10"/>
      <c r="O329" s="10"/>
      <c r="P329" s="10"/>
      <c r="Q329" s="10"/>
      <c r="R329" s="10"/>
    </row>
    <row r="330" spans="13:18" x14ac:dyDescent="0.3">
      <c r="M330" s="10"/>
      <c r="N330" s="10"/>
      <c r="O330" s="10"/>
      <c r="P330" s="10"/>
      <c r="Q330" s="10"/>
      <c r="R330" s="10"/>
    </row>
    <row r="331" spans="13:18" x14ac:dyDescent="0.3">
      <c r="M331" s="10"/>
      <c r="N331" s="10"/>
      <c r="O331" s="10"/>
      <c r="P331" s="10"/>
      <c r="Q331" s="10"/>
      <c r="R331" s="10"/>
    </row>
    <row r="332" spans="13:18" x14ac:dyDescent="0.3">
      <c r="M332" s="10"/>
      <c r="N332" s="10"/>
      <c r="O332" s="10"/>
      <c r="P332" s="10"/>
      <c r="Q332" s="10"/>
      <c r="R332" s="10"/>
    </row>
    <row r="333" spans="13:18" x14ac:dyDescent="0.3">
      <c r="M333" s="10"/>
      <c r="N333" s="10"/>
      <c r="O333" s="10"/>
      <c r="P333" s="10"/>
      <c r="Q333" s="10"/>
      <c r="R333" s="10"/>
    </row>
    <row r="334" spans="13:18" x14ac:dyDescent="0.3">
      <c r="M334" s="10"/>
      <c r="N334" s="10"/>
      <c r="O334" s="10"/>
      <c r="P334" s="10"/>
      <c r="Q334" s="10"/>
      <c r="R334" s="10"/>
    </row>
    <row r="335" spans="13:18" x14ac:dyDescent="0.3">
      <c r="M335" s="10"/>
      <c r="N335" s="10"/>
      <c r="O335" s="10"/>
      <c r="P335" s="10"/>
      <c r="Q335" s="10"/>
      <c r="R335" s="10"/>
    </row>
    <row r="336" spans="13:18" x14ac:dyDescent="0.3">
      <c r="M336" s="10"/>
      <c r="N336" s="10"/>
      <c r="O336" s="10"/>
      <c r="P336" s="10"/>
      <c r="Q336" s="10"/>
      <c r="R336" s="10"/>
    </row>
    <row r="337" spans="13:18" x14ac:dyDescent="0.3">
      <c r="M337" s="10"/>
      <c r="N337" s="10"/>
      <c r="O337" s="10"/>
      <c r="P337" s="10"/>
      <c r="Q337" s="10"/>
      <c r="R337" s="10"/>
    </row>
    <row r="338" spans="13:18" x14ac:dyDescent="0.3">
      <c r="M338" s="10"/>
      <c r="N338" s="10"/>
      <c r="O338" s="10"/>
      <c r="P338" s="10"/>
      <c r="Q338" s="10"/>
      <c r="R338" s="10"/>
    </row>
    <row r="339" spans="13:18" x14ac:dyDescent="0.3">
      <c r="M339" s="10"/>
      <c r="N339" s="10"/>
      <c r="O339" s="10"/>
      <c r="P339" s="10"/>
      <c r="Q339" s="10"/>
      <c r="R339" s="10"/>
    </row>
    <row r="340" spans="13:18" x14ac:dyDescent="0.3">
      <c r="M340" s="10"/>
      <c r="N340" s="10"/>
      <c r="O340" s="10"/>
      <c r="P340" s="10"/>
      <c r="Q340" s="10"/>
      <c r="R340" s="10"/>
    </row>
    <row r="341" spans="13:18" x14ac:dyDescent="0.3">
      <c r="M341" s="10"/>
      <c r="N341" s="10"/>
      <c r="O341" s="10"/>
      <c r="P341" s="10"/>
      <c r="Q341" s="10"/>
      <c r="R341" s="10"/>
    </row>
    <row r="342" spans="13:18" x14ac:dyDescent="0.3">
      <c r="M342" s="10"/>
      <c r="N342" s="10"/>
      <c r="O342" s="10"/>
      <c r="P342" s="10"/>
      <c r="Q342" s="10"/>
      <c r="R342" s="10"/>
    </row>
    <row r="343" spans="13:18" x14ac:dyDescent="0.3">
      <c r="M343" s="10"/>
      <c r="N343" s="10"/>
      <c r="O343" s="10"/>
      <c r="P343" s="10"/>
      <c r="Q343" s="10"/>
      <c r="R343" s="10"/>
    </row>
    <row r="344" spans="13:18" x14ac:dyDescent="0.3">
      <c r="M344" s="10"/>
      <c r="N344" s="10"/>
      <c r="O344" s="10"/>
      <c r="P344" s="10"/>
      <c r="Q344" s="10"/>
      <c r="R344" s="10"/>
    </row>
    <row r="345" spans="13:18" x14ac:dyDescent="0.3">
      <c r="M345" s="10"/>
      <c r="N345" s="10"/>
      <c r="O345" s="10"/>
      <c r="P345" s="10"/>
      <c r="Q345" s="10"/>
      <c r="R345" s="10"/>
    </row>
    <row r="346" spans="13:18" x14ac:dyDescent="0.3">
      <c r="M346" s="10"/>
      <c r="N346" s="10"/>
      <c r="O346" s="10"/>
      <c r="P346" s="10"/>
      <c r="Q346" s="10"/>
      <c r="R346" s="10"/>
    </row>
    <row r="347" spans="13:18" x14ac:dyDescent="0.3">
      <c r="M347" s="10"/>
      <c r="N347" s="10"/>
      <c r="O347" s="10"/>
      <c r="P347" s="10"/>
      <c r="Q347" s="10"/>
      <c r="R347" s="10"/>
    </row>
    <row r="348" spans="13:18" x14ac:dyDescent="0.3">
      <c r="M348" s="10"/>
      <c r="N348" s="10"/>
      <c r="O348" s="10"/>
      <c r="P348" s="10"/>
      <c r="Q348" s="10"/>
      <c r="R348" s="10"/>
    </row>
    <row r="349" spans="13:18" x14ac:dyDescent="0.3">
      <c r="M349" s="10"/>
      <c r="N349" s="10"/>
      <c r="O349" s="10"/>
      <c r="P349" s="10"/>
      <c r="Q349" s="10"/>
      <c r="R349" s="10"/>
    </row>
    <row r="350" spans="13:18" x14ac:dyDescent="0.3">
      <c r="M350" s="10"/>
      <c r="N350" s="10"/>
      <c r="O350" s="10"/>
      <c r="P350" s="10"/>
      <c r="Q350" s="10"/>
      <c r="R350" s="10"/>
    </row>
    <row r="351" spans="13:18" x14ac:dyDescent="0.3">
      <c r="M351" s="10"/>
      <c r="N351" s="10"/>
      <c r="O351" s="10"/>
      <c r="P351" s="10"/>
      <c r="Q351" s="10"/>
      <c r="R351" s="10"/>
    </row>
    <row r="352" spans="13:18" x14ac:dyDescent="0.3">
      <c r="M352" s="10"/>
      <c r="N352" s="10"/>
      <c r="O352" s="10"/>
      <c r="P352" s="10"/>
      <c r="Q352" s="10"/>
      <c r="R352" s="10"/>
    </row>
    <row r="353" spans="13:18" x14ac:dyDescent="0.3">
      <c r="M353" s="10"/>
      <c r="N353" s="10"/>
      <c r="O353" s="10"/>
      <c r="P353" s="10"/>
      <c r="Q353" s="10"/>
      <c r="R353" s="10"/>
    </row>
    <row r="354" spans="13:18" x14ac:dyDescent="0.3">
      <c r="M354" s="10"/>
      <c r="N354" s="10"/>
      <c r="O354" s="10"/>
      <c r="P354" s="10"/>
      <c r="Q354" s="10"/>
      <c r="R354" s="10"/>
    </row>
    <row r="355" spans="13:18" x14ac:dyDescent="0.3">
      <c r="M355" s="10"/>
      <c r="N355" s="10"/>
      <c r="O355" s="10"/>
      <c r="P355" s="10"/>
      <c r="Q355" s="10"/>
      <c r="R355" s="10"/>
    </row>
    <row r="356" spans="13:18" x14ac:dyDescent="0.3">
      <c r="M356" s="10"/>
      <c r="N356" s="10"/>
      <c r="O356" s="10"/>
      <c r="P356" s="10"/>
      <c r="Q356" s="10"/>
      <c r="R356" s="10"/>
    </row>
    <row r="357" spans="13:18" x14ac:dyDescent="0.3">
      <c r="M357" s="10"/>
      <c r="N357" s="10"/>
      <c r="O357" s="10"/>
      <c r="P357" s="10"/>
      <c r="Q357" s="10"/>
      <c r="R357" s="10"/>
    </row>
    <row r="358" spans="13:18" x14ac:dyDescent="0.3">
      <c r="M358" s="10"/>
      <c r="N358" s="10"/>
      <c r="O358" s="10"/>
      <c r="P358" s="10"/>
      <c r="Q358" s="10"/>
      <c r="R358" s="10"/>
    </row>
    <row r="359" spans="13:18" x14ac:dyDescent="0.3">
      <c r="M359" s="10"/>
      <c r="N359" s="10"/>
      <c r="O359" s="10"/>
      <c r="P359" s="10"/>
      <c r="Q359" s="10"/>
      <c r="R359" s="10"/>
    </row>
    <row r="360" spans="13:18" x14ac:dyDescent="0.3">
      <c r="M360" s="10"/>
      <c r="N360" s="10"/>
      <c r="O360" s="10"/>
      <c r="P360" s="10"/>
      <c r="Q360" s="10"/>
      <c r="R360" s="10"/>
    </row>
    <row r="361" spans="13:18" x14ac:dyDescent="0.3">
      <c r="M361" s="10"/>
      <c r="N361" s="10"/>
      <c r="O361" s="10"/>
      <c r="P361" s="10"/>
      <c r="Q361" s="10"/>
      <c r="R361" s="10"/>
    </row>
    <row r="362" spans="13:18" x14ac:dyDescent="0.3">
      <c r="M362" s="10"/>
      <c r="N362" s="10"/>
      <c r="O362" s="10"/>
      <c r="P362" s="10"/>
      <c r="Q362" s="10"/>
      <c r="R362" s="10"/>
    </row>
    <row r="363" spans="13:18" x14ac:dyDescent="0.3">
      <c r="M363" s="10"/>
      <c r="N363" s="10"/>
      <c r="O363" s="10"/>
      <c r="P363" s="10"/>
      <c r="Q363" s="10"/>
      <c r="R363" s="10"/>
    </row>
    <row r="364" spans="13:18" x14ac:dyDescent="0.3">
      <c r="M364" s="10"/>
      <c r="N364" s="10"/>
      <c r="O364" s="10"/>
      <c r="P364" s="10"/>
      <c r="Q364" s="10"/>
      <c r="R364" s="10"/>
    </row>
    <row r="365" spans="13:18" x14ac:dyDescent="0.3">
      <c r="M365" s="10"/>
      <c r="N365" s="10"/>
      <c r="O365" s="10"/>
      <c r="P365" s="10"/>
      <c r="Q365" s="10"/>
      <c r="R365" s="10"/>
    </row>
    <row r="366" spans="13:18" x14ac:dyDescent="0.3">
      <c r="M366" s="10"/>
      <c r="N366" s="10"/>
      <c r="O366" s="10"/>
      <c r="P366" s="10"/>
      <c r="Q366" s="10"/>
      <c r="R366" s="10"/>
    </row>
    <row r="367" spans="13:18" x14ac:dyDescent="0.3">
      <c r="M367" s="10"/>
      <c r="N367" s="10"/>
      <c r="O367" s="10"/>
      <c r="P367" s="10"/>
      <c r="Q367" s="10"/>
      <c r="R367" s="10"/>
    </row>
    <row r="368" spans="13:18" x14ac:dyDescent="0.3">
      <c r="M368" s="10"/>
      <c r="N368" s="10"/>
      <c r="O368" s="10"/>
      <c r="P368" s="10"/>
      <c r="Q368" s="10"/>
      <c r="R368" s="10"/>
    </row>
    <row r="369" spans="13:18" x14ac:dyDescent="0.3">
      <c r="M369" s="10"/>
      <c r="N369" s="10"/>
      <c r="O369" s="10"/>
      <c r="P369" s="10"/>
      <c r="Q369" s="10"/>
      <c r="R369" s="10"/>
    </row>
    <row r="370" spans="13:18" x14ac:dyDescent="0.3">
      <c r="M370" s="10"/>
      <c r="N370" s="10"/>
      <c r="O370" s="10"/>
      <c r="P370" s="10"/>
      <c r="Q370" s="10"/>
      <c r="R370" s="10"/>
    </row>
    <row r="371" spans="13:18" x14ac:dyDescent="0.3">
      <c r="M371" s="10"/>
      <c r="N371" s="10"/>
      <c r="O371" s="10"/>
      <c r="P371" s="10"/>
      <c r="Q371" s="10"/>
      <c r="R371" s="10"/>
    </row>
    <row r="372" spans="13:18" x14ac:dyDescent="0.3">
      <c r="M372" s="10"/>
      <c r="N372" s="10"/>
      <c r="O372" s="10"/>
      <c r="P372" s="10"/>
      <c r="Q372" s="10"/>
      <c r="R372" s="10"/>
    </row>
    <row r="373" spans="13:18" x14ac:dyDescent="0.3">
      <c r="M373" s="10"/>
      <c r="N373" s="10"/>
      <c r="O373" s="10"/>
      <c r="P373" s="10"/>
      <c r="Q373" s="10"/>
      <c r="R373" s="10"/>
    </row>
    <row r="374" spans="13:18" x14ac:dyDescent="0.3">
      <c r="M374" s="10"/>
      <c r="N374" s="10"/>
      <c r="O374" s="10"/>
      <c r="P374" s="10"/>
      <c r="Q374" s="10"/>
      <c r="R374" s="10"/>
    </row>
    <row r="375" spans="13:18" x14ac:dyDescent="0.3">
      <c r="M375" s="10"/>
      <c r="N375" s="10"/>
      <c r="O375" s="10"/>
      <c r="P375" s="10"/>
      <c r="Q375" s="10"/>
      <c r="R375" s="10"/>
    </row>
    <row r="376" spans="13:18" x14ac:dyDescent="0.3">
      <c r="M376" s="10"/>
      <c r="N376" s="10"/>
      <c r="O376" s="10"/>
      <c r="P376" s="10"/>
      <c r="Q376" s="10"/>
      <c r="R376" s="10"/>
    </row>
    <row r="377" spans="13:18" x14ac:dyDescent="0.3">
      <c r="M377" s="10"/>
      <c r="N377" s="10"/>
      <c r="O377" s="10"/>
      <c r="P377" s="10"/>
      <c r="Q377" s="10"/>
      <c r="R377" s="10"/>
    </row>
    <row r="378" spans="13:18" x14ac:dyDescent="0.3">
      <c r="M378" s="10"/>
      <c r="N378" s="10"/>
      <c r="O378" s="10"/>
      <c r="P378" s="10"/>
      <c r="Q378" s="10"/>
      <c r="R378" s="10"/>
    </row>
    <row r="379" spans="13:18" x14ac:dyDescent="0.3">
      <c r="M379" s="10"/>
      <c r="N379" s="10"/>
      <c r="O379" s="10"/>
      <c r="P379" s="10"/>
      <c r="Q379" s="10"/>
      <c r="R379" s="10"/>
    </row>
    <row r="380" spans="13:18" x14ac:dyDescent="0.3">
      <c r="M380" s="10"/>
      <c r="N380" s="10"/>
      <c r="O380" s="10"/>
      <c r="P380" s="10"/>
      <c r="Q380" s="10"/>
      <c r="R380" s="10"/>
    </row>
    <row r="381" spans="13:18" x14ac:dyDescent="0.3">
      <c r="M381" s="10"/>
      <c r="N381" s="10"/>
      <c r="O381" s="10"/>
      <c r="P381" s="10"/>
      <c r="Q381" s="10"/>
      <c r="R381" s="10"/>
    </row>
    <row r="382" spans="13:18" x14ac:dyDescent="0.3">
      <c r="M382" s="10"/>
      <c r="N382" s="10"/>
      <c r="O382" s="10"/>
      <c r="P382" s="10"/>
      <c r="Q382" s="10"/>
      <c r="R382" s="10"/>
    </row>
    <row r="383" spans="13:18" x14ac:dyDescent="0.3">
      <c r="M383" s="10"/>
      <c r="N383" s="10"/>
      <c r="O383" s="10"/>
      <c r="P383" s="10"/>
      <c r="Q383" s="10"/>
      <c r="R383" s="10"/>
    </row>
    <row r="384" spans="13:18" x14ac:dyDescent="0.3">
      <c r="M384" s="10"/>
      <c r="N384" s="10"/>
      <c r="O384" s="10"/>
      <c r="P384" s="10"/>
      <c r="Q384" s="10"/>
      <c r="R384" s="10"/>
    </row>
    <row r="385" spans="13:18" x14ac:dyDescent="0.3">
      <c r="M385" s="10"/>
      <c r="N385" s="10"/>
      <c r="O385" s="10"/>
      <c r="P385" s="10"/>
      <c r="Q385" s="10"/>
      <c r="R385" s="10"/>
    </row>
    <row r="386" spans="13:18" x14ac:dyDescent="0.3">
      <c r="M386" s="10"/>
      <c r="N386" s="10"/>
      <c r="O386" s="10"/>
      <c r="P386" s="10"/>
      <c r="Q386" s="10"/>
      <c r="R386" s="10"/>
    </row>
    <row r="387" spans="13:18" x14ac:dyDescent="0.3">
      <c r="M387" s="10"/>
      <c r="N387" s="10"/>
      <c r="O387" s="10"/>
      <c r="P387" s="10"/>
      <c r="Q387" s="10"/>
      <c r="R387" s="10"/>
    </row>
    <row r="388" spans="13:18" x14ac:dyDescent="0.3">
      <c r="M388" s="10"/>
      <c r="N388" s="10"/>
      <c r="O388" s="10"/>
      <c r="P388" s="10"/>
      <c r="Q388" s="10"/>
      <c r="R388" s="10"/>
    </row>
    <row r="389" spans="13:18" x14ac:dyDescent="0.3">
      <c r="M389" s="10"/>
      <c r="N389" s="10"/>
      <c r="O389" s="10"/>
      <c r="P389" s="10"/>
      <c r="Q389" s="10"/>
      <c r="R389" s="10"/>
    </row>
    <row r="390" spans="13:18" x14ac:dyDescent="0.3">
      <c r="M390" s="10"/>
      <c r="N390" s="10"/>
      <c r="O390" s="10"/>
      <c r="P390" s="10"/>
      <c r="Q390" s="10"/>
      <c r="R390" s="10"/>
    </row>
    <row r="391" spans="13:18" x14ac:dyDescent="0.3">
      <c r="M391" s="10"/>
      <c r="N391" s="10"/>
      <c r="O391" s="10"/>
      <c r="P391" s="10"/>
      <c r="Q391" s="10"/>
      <c r="R391" s="10"/>
    </row>
    <row r="392" spans="13:18" x14ac:dyDescent="0.3">
      <c r="M392" s="10"/>
      <c r="N392" s="10"/>
      <c r="O392" s="10"/>
      <c r="P392" s="10"/>
      <c r="Q392" s="10"/>
      <c r="R392" s="10"/>
    </row>
    <row r="393" spans="13:18" x14ac:dyDescent="0.3">
      <c r="M393" s="10"/>
      <c r="N393" s="10"/>
      <c r="O393" s="10"/>
      <c r="P393" s="10"/>
      <c r="Q393" s="10"/>
      <c r="R393" s="10"/>
    </row>
    <row r="394" spans="13:18" x14ac:dyDescent="0.3">
      <c r="M394" s="10"/>
      <c r="N394" s="10"/>
      <c r="O394" s="10"/>
      <c r="P394" s="10"/>
      <c r="Q394" s="10"/>
      <c r="R394" s="10"/>
    </row>
    <row r="395" spans="13:18" x14ac:dyDescent="0.3">
      <c r="M395" s="10"/>
      <c r="N395" s="10"/>
      <c r="O395" s="10"/>
      <c r="P395" s="10"/>
      <c r="Q395" s="10"/>
      <c r="R395" s="10"/>
    </row>
    <row r="396" spans="13:18" x14ac:dyDescent="0.3">
      <c r="M396" s="10"/>
      <c r="N396" s="10"/>
      <c r="O396" s="10"/>
      <c r="P396" s="10"/>
      <c r="Q396" s="10"/>
      <c r="R396" s="10"/>
    </row>
    <row r="397" spans="13:18" x14ac:dyDescent="0.3">
      <c r="M397" s="10"/>
      <c r="N397" s="10"/>
      <c r="O397" s="10"/>
      <c r="P397" s="10"/>
      <c r="Q397" s="10"/>
      <c r="R397" s="10"/>
    </row>
    <row r="398" spans="13:18" x14ac:dyDescent="0.3">
      <c r="M398" s="10"/>
      <c r="N398" s="10"/>
      <c r="O398" s="10"/>
      <c r="P398" s="10"/>
      <c r="Q398" s="10"/>
      <c r="R398" s="10"/>
    </row>
    <row r="399" spans="13:18" x14ac:dyDescent="0.3">
      <c r="M399" s="10"/>
      <c r="N399" s="10"/>
      <c r="O399" s="10"/>
      <c r="P399" s="10"/>
      <c r="Q399" s="10"/>
      <c r="R399" s="10"/>
    </row>
    <row r="400" spans="13:18" x14ac:dyDescent="0.3">
      <c r="M400" s="10"/>
      <c r="N400" s="10"/>
      <c r="O400" s="10"/>
      <c r="P400" s="10"/>
      <c r="Q400" s="10"/>
      <c r="R400" s="10"/>
    </row>
    <row r="401" spans="13:18" x14ac:dyDescent="0.3">
      <c r="M401" s="10"/>
      <c r="N401" s="10"/>
      <c r="O401" s="10"/>
      <c r="P401" s="10"/>
      <c r="Q401" s="10"/>
      <c r="R401" s="10"/>
    </row>
    <row r="402" spans="13:18" x14ac:dyDescent="0.3">
      <c r="M402" s="10"/>
      <c r="N402" s="10"/>
      <c r="O402" s="10"/>
      <c r="P402" s="10"/>
      <c r="Q402" s="10"/>
      <c r="R402" s="10"/>
    </row>
    <row r="403" spans="13:18" x14ac:dyDescent="0.3">
      <c r="M403" s="10"/>
      <c r="N403" s="10"/>
      <c r="O403" s="10"/>
      <c r="P403" s="10"/>
      <c r="Q403" s="10"/>
      <c r="R403" s="10"/>
    </row>
    <row r="404" spans="13:18" x14ac:dyDescent="0.3">
      <c r="M404" s="10"/>
      <c r="N404" s="10"/>
      <c r="O404" s="10"/>
      <c r="P404" s="10"/>
      <c r="Q404" s="10"/>
      <c r="R404" s="10"/>
    </row>
    <row r="405" spans="13:18" x14ac:dyDescent="0.3">
      <c r="M405" s="10"/>
      <c r="N405" s="10"/>
      <c r="O405" s="10"/>
      <c r="P405" s="10"/>
      <c r="Q405" s="10"/>
      <c r="R405" s="10"/>
    </row>
    <row r="406" spans="13:18" x14ac:dyDescent="0.3">
      <c r="M406" s="10"/>
      <c r="N406" s="10"/>
      <c r="O406" s="10"/>
      <c r="P406" s="10"/>
      <c r="Q406" s="10"/>
      <c r="R406" s="10"/>
    </row>
    <row r="407" spans="13:18" x14ac:dyDescent="0.3">
      <c r="M407" s="10"/>
      <c r="N407" s="10"/>
      <c r="O407" s="10"/>
      <c r="P407" s="10"/>
      <c r="Q407" s="10"/>
      <c r="R407" s="10"/>
    </row>
    <row r="408" spans="13:18" x14ac:dyDescent="0.3">
      <c r="M408" s="10"/>
      <c r="N408" s="10"/>
      <c r="O408" s="10"/>
      <c r="P408" s="10"/>
      <c r="Q408" s="10"/>
      <c r="R408" s="10"/>
    </row>
    <row r="409" spans="13:18" x14ac:dyDescent="0.3">
      <c r="M409" s="10"/>
      <c r="N409" s="10"/>
      <c r="O409" s="10"/>
      <c r="P409" s="10"/>
      <c r="Q409" s="10"/>
      <c r="R409" s="10"/>
    </row>
    <row r="410" spans="13:18" x14ac:dyDescent="0.3">
      <c r="M410" s="10"/>
      <c r="N410" s="10"/>
      <c r="O410" s="10"/>
      <c r="P410" s="10"/>
      <c r="Q410" s="10"/>
      <c r="R410" s="10"/>
    </row>
    <row r="411" spans="13:18" x14ac:dyDescent="0.3">
      <c r="M411" s="10"/>
      <c r="N411" s="10"/>
      <c r="O411" s="10"/>
      <c r="P411" s="10"/>
      <c r="Q411" s="10"/>
      <c r="R411" s="10"/>
    </row>
    <row r="412" spans="13:18" x14ac:dyDescent="0.3">
      <c r="M412" s="10"/>
      <c r="N412" s="10"/>
      <c r="O412" s="10"/>
      <c r="P412" s="10"/>
      <c r="Q412" s="10"/>
      <c r="R412" s="10"/>
    </row>
    <row r="413" spans="13:18" x14ac:dyDescent="0.3">
      <c r="M413" s="10"/>
      <c r="N413" s="10"/>
      <c r="O413" s="10"/>
      <c r="P413" s="10"/>
      <c r="Q413" s="10"/>
      <c r="R413" s="10"/>
    </row>
    <row r="414" spans="13:18" x14ac:dyDescent="0.3">
      <c r="M414" s="10"/>
      <c r="N414" s="10"/>
      <c r="O414" s="10"/>
      <c r="P414" s="10"/>
      <c r="Q414" s="10"/>
      <c r="R414" s="10"/>
    </row>
    <row r="415" spans="13:18" x14ac:dyDescent="0.3">
      <c r="M415" s="10"/>
      <c r="N415" s="10"/>
      <c r="O415" s="10"/>
      <c r="P415" s="10"/>
      <c r="Q415" s="10"/>
      <c r="R415" s="10"/>
    </row>
    <row r="416" spans="13:18" x14ac:dyDescent="0.3">
      <c r="M416" s="10"/>
      <c r="N416" s="10"/>
      <c r="O416" s="10"/>
      <c r="P416" s="10"/>
      <c r="Q416" s="10"/>
      <c r="R416" s="10"/>
    </row>
    <row r="417" spans="13:18" x14ac:dyDescent="0.3">
      <c r="M417" s="10"/>
      <c r="N417" s="10"/>
      <c r="O417" s="10"/>
      <c r="P417" s="10"/>
      <c r="Q417" s="10"/>
      <c r="R417" s="10"/>
    </row>
    <row r="418" spans="13:18" x14ac:dyDescent="0.3">
      <c r="M418" s="10"/>
      <c r="N418" s="10"/>
      <c r="O418" s="10"/>
      <c r="P418" s="10"/>
      <c r="Q418" s="10"/>
      <c r="R418" s="10"/>
    </row>
    <row r="419" spans="13:18" x14ac:dyDescent="0.3">
      <c r="M419" s="10"/>
      <c r="N419" s="10"/>
      <c r="O419" s="10"/>
      <c r="P419" s="10"/>
      <c r="Q419" s="10"/>
      <c r="R419" s="10"/>
    </row>
    <row r="420" spans="13:18" x14ac:dyDescent="0.3">
      <c r="M420" s="10"/>
      <c r="N420" s="10"/>
      <c r="O420" s="10"/>
      <c r="P420" s="10"/>
      <c r="Q420" s="10"/>
      <c r="R420" s="10"/>
    </row>
    <row r="421" spans="13:18" x14ac:dyDescent="0.3">
      <c r="M421" s="10"/>
      <c r="N421" s="10"/>
      <c r="O421" s="10"/>
      <c r="P421" s="10"/>
      <c r="Q421" s="10"/>
      <c r="R421" s="10"/>
    </row>
    <row r="422" spans="13:18" x14ac:dyDescent="0.3">
      <c r="M422" s="10"/>
      <c r="N422" s="10"/>
      <c r="O422" s="10"/>
      <c r="P422" s="10"/>
      <c r="Q422" s="10"/>
      <c r="R422" s="10"/>
    </row>
    <row r="423" spans="13:18" x14ac:dyDescent="0.3">
      <c r="M423" s="10"/>
      <c r="N423" s="10"/>
      <c r="O423" s="10"/>
      <c r="P423" s="10"/>
      <c r="Q423" s="10"/>
      <c r="R423" s="10"/>
    </row>
    <row r="424" spans="13:18" x14ac:dyDescent="0.3">
      <c r="M424" s="10"/>
      <c r="N424" s="10"/>
      <c r="O424" s="10"/>
      <c r="P424" s="10"/>
      <c r="Q424" s="10"/>
      <c r="R424" s="10"/>
    </row>
    <row r="425" spans="13:18" x14ac:dyDescent="0.3">
      <c r="M425" s="10"/>
      <c r="N425" s="10"/>
      <c r="O425" s="10"/>
      <c r="P425" s="10"/>
      <c r="Q425" s="10"/>
      <c r="R425" s="10"/>
    </row>
    <row r="426" spans="13:18" x14ac:dyDescent="0.3">
      <c r="M426" s="10"/>
      <c r="N426" s="10"/>
      <c r="O426" s="10"/>
      <c r="P426" s="10"/>
      <c r="Q426" s="10"/>
      <c r="R426" s="10"/>
    </row>
    <row r="427" spans="13:18" x14ac:dyDescent="0.3">
      <c r="M427" s="10"/>
      <c r="N427" s="10"/>
      <c r="O427" s="10"/>
      <c r="P427" s="10"/>
      <c r="Q427" s="10"/>
      <c r="R427" s="10"/>
    </row>
    <row r="428" spans="13:18" x14ac:dyDescent="0.3">
      <c r="M428" s="10"/>
      <c r="N428" s="10"/>
      <c r="O428" s="10"/>
      <c r="P428" s="10"/>
      <c r="Q428" s="10"/>
      <c r="R428" s="10"/>
    </row>
    <row r="429" spans="13:18" x14ac:dyDescent="0.3">
      <c r="M429" s="10"/>
      <c r="N429" s="10"/>
      <c r="O429" s="10"/>
      <c r="P429" s="10"/>
      <c r="Q429" s="10"/>
      <c r="R429" s="10"/>
    </row>
    <row r="430" spans="13:18" x14ac:dyDescent="0.3">
      <c r="M430" s="10"/>
      <c r="N430" s="10"/>
      <c r="O430" s="10"/>
      <c r="P430" s="10"/>
      <c r="Q430" s="10"/>
      <c r="R430" s="10"/>
    </row>
    <row r="431" spans="13:18" x14ac:dyDescent="0.3">
      <c r="M431" s="10"/>
      <c r="N431" s="10"/>
      <c r="O431" s="10"/>
      <c r="P431" s="10"/>
      <c r="Q431" s="10"/>
      <c r="R431" s="10"/>
    </row>
    <row r="432" spans="13:18" x14ac:dyDescent="0.3">
      <c r="M432" s="10"/>
      <c r="N432" s="10"/>
      <c r="O432" s="10"/>
      <c r="P432" s="10"/>
      <c r="Q432" s="10"/>
      <c r="R432" s="10"/>
    </row>
    <row r="433" spans="13:18" x14ac:dyDescent="0.3">
      <c r="M433" s="10"/>
      <c r="N433" s="10"/>
      <c r="O433" s="10"/>
      <c r="P433" s="10"/>
      <c r="Q433" s="10"/>
      <c r="R433" s="10"/>
    </row>
    <row r="434" spans="13:18" x14ac:dyDescent="0.3">
      <c r="M434" s="10"/>
      <c r="N434" s="10"/>
      <c r="O434" s="10"/>
      <c r="P434" s="10"/>
      <c r="Q434" s="10"/>
      <c r="R434" s="10"/>
    </row>
    <row r="435" spans="13:18" x14ac:dyDescent="0.3">
      <c r="M435" s="10"/>
      <c r="N435" s="10"/>
      <c r="O435" s="10"/>
      <c r="P435" s="10"/>
      <c r="Q435" s="10"/>
      <c r="R435" s="10"/>
    </row>
    <row r="436" spans="13:18" x14ac:dyDescent="0.3">
      <c r="M436" s="10"/>
      <c r="N436" s="10"/>
      <c r="O436" s="10"/>
      <c r="P436" s="10"/>
      <c r="Q436" s="10"/>
      <c r="R436" s="10"/>
    </row>
    <row r="437" spans="13:18" x14ac:dyDescent="0.3">
      <c r="M437" s="10"/>
      <c r="N437" s="10"/>
      <c r="O437" s="10"/>
      <c r="P437" s="10"/>
      <c r="Q437" s="10"/>
      <c r="R437" s="10"/>
    </row>
    <row r="438" spans="13:18" x14ac:dyDescent="0.3">
      <c r="M438" s="10"/>
      <c r="N438" s="10"/>
      <c r="O438" s="10"/>
      <c r="P438" s="10"/>
      <c r="Q438" s="10"/>
      <c r="R438" s="10"/>
    </row>
    <row r="439" spans="13:18" x14ac:dyDescent="0.3">
      <c r="M439" s="10"/>
      <c r="N439" s="10"/>
      <c r="O439" s="10"/>
      <c r="P439" s="10"/>
      <c r="Q439" s="10"/>
      <c r="R439" s="10"/>
    </row>
    <row r="440" spans="13:18" x14ac:dyDescent="0.3">
      <c r="M440" s="10"/>
      <c r="N440" s="10"/>
      <c r="O440" s="10"/>
      <c r="P440" s="10"/>
      <c r="Q440" s="10"/>
      <c r="R440" s="10"/>
    </row>
    <row r="441" spans="13:18" x14ac:dyDescent="0.3">
      <c r="M441" s="10"/>
      <c r="N441" s="10"/>
      <c r="O441" s="10"/>
      <c r="P441" s="10"/>
      <c r="Q441" s="10"/>
      <c r="R441" s="10"/>
    </row>
    <row r="442" spans="13:18" x14ac:dyDescent="0.3">
      <c r="M442" s="10"/>
      <c r="N442" s="10"/>
      <c r="O442" s="10"/>
      <c r="P442" s="10"/>
      <c r="Q442" s="10"/>
      <c r="R442" s="10"/>
    </row>
    <row r="443" spans="13:18" x14ac:dyDescent="0.3">
      <c r="M443" s="10"/>
      <c r="N443" s="10"/>
      <c r="O443" s="10"/>
      <c r="P443" s="10"/>
      <c r="Q443" s="10"/>
      <c r="R443" s="10"/>
    </row>
    <row r="444" spans="13:18" x14ac:dyDescent="0.3">
      <c r="M444" s="10"/>
      <c r="N444" s="10"/>
      <c r="O444" s="10"/>
      <c r="P444" s="10"/>
      <c r="Q444" s="10"/>
      <c r="R444" s="10"/>
    </row>
    <row r="445" spans="13:18" x14ac:dyDescent="0.3">
      <c r="M445" s="10"/>
      <c r="N445" s="10"/>
      <c r="O445" s="10"/>
      <c r="P445" s="10"/>
      <c r="Q445" s="10"/>
      <c r="R445" s="10"/>
    </row>
    <row r="446" spans="13:18" x14ac:dyDescent="0.3">
      <c r="M446" s="10"/>
      <c r="N446" s="10"/>
      <c r="O446" s="10"/>
      <c r="P446" s="10"/>
      <c r="Q446" s="10"/>
      <c r="R446" s="10"/>
    </row>
    <row r="447" spans="13:18" x14ac:dyDescent="0.3">
      <c r="M447" s="10"/>
      <c r="N447" s="10"/>
      <c r="O447" s="10"/>
      <c r="P447" s="10"/>
      <c r="Q447" s="10"/>
      <c r="R447" s="10"/>
    </row>
    <row r="448" spans="13:18" x14ac:dyDescent="0.3">
      <c r="M448" s="10"/>
      <c r="N448" s="10"/>
      <c r="O448" s="10"/>
      <c r="P448" s="10"/>
      <c r="Q448" s="10"/>
      <c r="R448" s="10"/>
    </row>
    <row r="449" spans="13:18" x14ac:dyDescent="0.3">
      <c r="M449" s="10"/>
      <c r="N449" s="10"/>
      <c r="O449" s="10"/>
      <c r="P449" s="10"/>
      <c r="Q449" s="10"/>
      <c r="R449" s="10"/>
    </row>
    <row r="450" spans="13:18" x14ac:dyDescent="0.3">
      <c r="M450" s="10"/>
      <c r="N450" s="10"/>
      <c r="O450" s="10"/>
      <c r="P450" s="10"/>
      <c r="Q450" s="10"/>
      <c r="R450" s="10"/>
    </row>
    <row r="451" spans="13:18" x14ac:dyDescent="0.3">
      <c r="M451" s="10"/>
      <c r="N451" s="10"/>
      <c r="O451" s="10"/>
      <c r="P451" s="10"/>
      <c r="Q451" s="10"/>
      <c r="R451" s="10"/>
    </row>
    <row r="452" spans="13:18" x14ac:dyDescent="0.3">
      <c r="M452" s="10"/>
      <c r="N452" s="10"/>
      <c r="O452" s="10"/>
      <c r="P452" s="10"/>
      <c r="Q452" s="10"/>
      <c r="R452" s="10"/>
    </row>
    <row r="453" spans="13:18" x14ac:dyDescent="0.3">
      <c r="M453" s="10"/>
      <c r="N453" s="10"/>
      <c r="O453" s="10"/>
      <c r="P453" s="10"/>
      <c r="Q453" s="10"/>
      <c r="R453" s="10"/>
    </row>
    <row r="454" spans="13:18" x14ac:dyDescent="0.3">
      <c r="M454" s="10"/>
      <c r="N454" s="10"/>
      <c r="O454" s="10"/>
      <c r="P454" s="10"/>
      <c r="Q454" s="10"/>
      <c r="R454" s="10"/>
    </row>
    <row r="455" spans="13:18" x14ac:dyDescent="0.3">
      <c r="M455" s="10"/>
      <c r="N455" s="10"/>
      <c r="O455" s="10"/>
      <c r="P455" s="10"/>
      <c r="Q455" s="10"/>
      <c r="R455" s="10"/>
    </row>
    <row r="456" spans="13:18" x14ac:dyDescent="0.3">
      <c r="M456" s="10"/>
      <c r="N456" s="10"/>
      <c r="O456" s="10"/>
      <c r="P456" s="10"/>
      <c r="Q456" s="10"/>
      <c r="R456" s="10"/>
    </row>
    <row r="457" spans="13:18" x14ac:dyDescent="0.3">
      <c r="M457" s="10"/>
      <c r="N457" s="10"/>
      <c r="O457" s="10"/>
      <c r="P457" s="10"/>
      <c r="Q457" s="10"/>
      <c r="R457" s="10"/>
    </row>
    <row r="458" spans="13:18" x14ac:dyDescent="0.3">
      <c r="M458" s="10"/>
      <c r="N458" s="10"/>
      <c r="O458" s="10"/>
      <c r="P458" s="10"/>
      <c r="Q458" s="10"/>
      <c r="R458" s="10"/>
    </row>
    <row r="459" spans="13:18" x14ac:dyDescent="0.3">
      <c r="M459" s="10"/>
      <c r="N459" s="10"/>
      <c r="O459" s="10"/>
      <c r="P459" s="10"/>
      <c r="Q459" s="10"/>
      <c r="R459" s="10"/>
    </row>
    <row r="460" spans="13:18" x14ac:dyDescent="0.3">
      <c r="M460" s="10"/>
      <c r="N460" s="10"/>
      <c r="O460" s="10"/>
      <c r="P460" s="10"/>
      <c r="Q460" s="10"/>
      <c r="R460" s="10"/>
    </row>
    <row r="461" spans="13:18" x14ac:dyDescent="0.3">
      <c r="M461" s="10"/>
      <c r="N461" s="10"/>
      <c r="O461" s="10"/>
      <c r="P461" s="10"/>
      <c r="Q461" s="10"/>
      <c r="R461" s="10"/>
    </row>
    <row r="462" spans="13:18" x14ac:dyDescent="0.3">
      <c r="M462" s="10"/>
      <c r="N462" s="10"/>
      <c r="O462" s="10"/>
      <c r="P462" s="10"/>
      <c r="Q462" s="10"/>
      <c r="R462" s="10"/>
    </row>
    <row r="463" spans="13:18" x14ac:dyDescent="0.3">
      <c r="M463" s="10"/>
      <c r="N463" s="10"/>
      <c r="O463" s="10"/>
      <c r="P463" s="10"/>
      <c r="Q463" s="10"/>
      <c r="R463" s="10"/>
    </row>
    <row r="464" spans="13:18" x14ac:dyDescent="0.3">
      <c r="M464" s="10"/>
      <c r="N464" s="10"/>
      <c r="O464" s="10"/>
      <c r="P464" s="10"/>
      <c r="Q464" s="10"/>
      <c r="R464" s="10"/>
    </row>
    <row r="465" spans="13:18" x14ac:dyDescent="0.3">
      <c r="M465" s="10"/>
      <c r="N465" s="10"/>
      <c r="O465" s="10"/>
      <c r="P465" s="10"/>
      <c r="Q465" s="10"/>
      <c r="R465" s="10"/>
    </row>
    <row r="466" spans="13:18" x14ac:dyDescent="0.3">
      <c r="M466" s="10"/>
      <c r="N466" s="10"/>
      <c r="O466" s="10"/>
      <c r="P466" s="10"/>
      <c r="Q466" s="10"/>
      <c r="R466" s="10"/>
    </row>
    <row r="467" spans="13:18" x14ac:dyDescent="0.3">
      <c r="M467" s="10"/>
      <c r="N467" s="10"/>
      <c r="O467" s="10"/>
      <c r="P467" s="10"/>
      <c r="Q467" s="10"/>
      <c r="R467" s="10"/>
    </row>
    <row r="468" spans="13:18" x14ac:dyDescent="0.3">
      <c r="M468" s="10"/>
      <c r="N468" s="10"/>
      <c r="O468" s="10"/>
      <c r="P468" s="10"/>
      <c r="Q468" s="10"/>
      <c r="R468" s="10"/>
    </row>
    <row r="469" spans="13:18" x14ac:dyDescent="0.3">
      <c r="M469" s="10"/>
      <c r="N469" s="10"/>
      <c r="O469" s="10"/>
      <c r="P469" s="10"/>
      <c r="Q469" s="10"/>
      <c r="R469" s="10"/>
    </row>
    <row r="470" spans="13:18" x14ac:dyDescent="0.3">
      <c r="M470" s="10"/>
      <c r="N470" s="10"/>
      <c r="O470" s="10"/>
      <c r="P470" s="10"/>
      <c r="Q470" s="10"/>
      <c r="R470" s="10"/>
    </row>
    <row r="471" spans="13:18" x14ac:dyDescent="0.3">
      <c r="M471" s="10"/>
      <c r="N471" s="10"/>
      <c r="O471" s="10"/>
      <c r="P471" s="10"/>
      <c r="Q471" s="10"/>
      <c r="R471" s="10"/>
    </row>
    <row r="472" spans="13:18" x14ac:dyDescent="0.3">
      <c r="M472" s="10"/>
      <c r="N472" s="10"/>
      <c r="O472" s="10"/>
      <c r="P472" s="10"/>
      <c r="Q472" s="10"/>
      <c r="R472" s="10"/>
    </row>
    <row r="473" spans="13:18" x14ac:dyDescent="0.3">
      <c r="M473" s="10"/>
      <c r="N473" s="10"/>
      <c r="O473" s="10"/>
      <c r="P473" s="10"/>
      <c r="Q473" s="10"/>
      <c r="R473" s="10"/>
    </row>
    <row r="474" spans="13:18" x14ac:dyDescent="0.3">
      <c r="M474" s="10"/>
      <c r="N474" s="10"/>
      <c r="O474" s="10"/>
      <c r="P474" s="10"/>
      <c r="Q474" s="10"/>
      <c r="R474" s="10"/>
    </row>
    <row r="475" spans="13:18" x14ac:dyDescent="0.3">
      <c r="M475" s="10"/>
      <c r="N475" s="10"/>
      <c r="O475" s="10"/>
      <c r="P475" s="10"/>
      <c r="Q475" s="10"/>
      <c r="R475" s="10"/>
    </row>
    <row r="476" spans="13:18" x14ac:dyDescent="0.3">
      <c r="M476" s="10"/>
      <c r="N476" s="10"/>
      <c r="O476" s="10"/>
      <c r="P476" s="10"/>
      <c r="Q476" s="10"/>
      <c r="R476" s="10"/>
    </row>
    <row r="477" spans="13:18" x14ac:dyDescent="0.3">
      <c r="M477" s="10"/>
      <c r="N477" s="10"/>
      <c r="O477" s="10"/>
      <c r="P477" s="10"/>
      <c r="Q477" s="10"/>
      <c r="R477" s="10"/>
    </row>
    <row r="478" spans="13:18" x14ac:dyDescent="0.3">
      <c r="M478" s="10"/>
      <c r="N478" s="10"/>
      <c r="O478" s="10"/>
      <c r="P478" s="10"/>
      <c r="Q478" s="10"/>
      <c r="R478" s="10"/>
    </row>
    <row r="479" spans="13:18" x14ac:dyDescent="0.3">
      <c r="M479" s="10"/>
      <c r="N479" s="10"/>
      <c r="O479" s="10"/>
      <c r="P479" s="10"/>
      <c r="Q479" s="10"/>
      <c r="R479" s="10"/>
    </row>
    <row r="480" spans="13:18" x14ac:dyDescent="0.3">
      <c r="M480" s="10"/>
      <c r="N480" s="10"/>
      <c r="O480" s="10"/>
      <c r="P480" s="10"/>
      <c r="Q480" s="10"/>
      <c r="R480" s="10"/>
    </row>
    <row r="481" spans="13:18" x14ac:dyDescent="0.3">
      <c r="M481" s="10"/>
      <c r="N481" s="10"/>
      <c r="O481" s="10"/>
      <c r="P481" s="10"/>
      <c r="Q481" s="10"/>
      <c r="R481" s="10"/>
    </row>
    <row r="482" spans="13:18" x14ac:dyDescent="0.3">
      <c r="M482" s="10"/>
      <c r="N482" s="10"/>
      <c r="O482" s="10"/>
      <c r="P482" s="10"/>
      <c r="Q482" s="10"/>
      <c r="R482" s="10"/>
    </row>
    <row r="483" spans="13:18" x14ac:dyDescent="0.3">
      <c r="M483" s="10"/>
      <c r="N483" s="10"/>
      <c r="O483" s="10"/>
      <c r="P483" s="10"/>
      <c r="Q483" s="10"/>
      <c r="R483" s="10"/>
    </row>
    <row r="484" spans="13:18" x14ac:dyDescent="0.3">
      <c r="M484" s="10"/>
      <c r="N484" s="10"/>
      <c r="O484" s="10"/>
      <c r="P484" s="10"/>
      <c r="Q484" s="10"/>
      <c r="R484" s="10"/>
    </row>
    <row r="485" spans="13:18" x14ac:dyDescent="0.3">
      <c r="M485" s="10"/>
      <c r="N485" s="10"/>
      <c r="O485" s="10"/>
      <c r="P485" s="10"/>
      <c r="Q485" s="10"/>
      <c r="R485" s="10"/>
    </row>
    <row r="486" spans="13:18" x14ac:dyDescent="0.3">
      <c r="M486" s="10"/>
      <c r="N486" s="10"/>
      <c r="O486" s="10"/>
      <c r="P486" s="10"/>
      <c r="Q486" s="10"/>
      <c r="R486" s="10"/>
    </row>
    <row r="487" spans="13:18" x14ac:dyDescent="0.3">
      <c r="M487" s="10"/>
      <c r="N487" s="10"/>
      <c r="O487" s="10"/>
      <c r="P487" s="10"/>
      <c r="Q487" s="10"/>
      <c r="R487" s="10"/>
    </row>
    <row r="488" spans="13:18" x14ac:dyDescent="0.3">
      <c r="M488" s="10"/>
      <c r="N488" s="10"/>
      <c r="O488" s="10"/>
      <c r="P488" s="10"/>
      <c r="Q488" s="10"/>
      <c r="R488" s="10"/>
    </row>
    <row r="489" spans="13:18" x14ac:dyDescent="0.3">
      <c r="M489" s="10"/>
      <c r="N489" s="10"/>
      <c r="O489" s="10"/>
      <c r="P489" s="10"/>
      <c r="Q489" s="10"/>
      <c r="R489" s="10"/>
    </row>
    <row r="490" spans="13:18" x14ac:dyDescent="0.3">
      <c r="M490" s="10"/>
      <c r="N490" s="10"/>
      <c r="O490" s="10"/>
      <c r="P490" s="10"/>
      <c r="Q490" s="10"/>
      <c r="R490" s="10"/>
    </row>
    <row r="491" spans="13:18" x14ac:dyDescent="0.3">
      <c r="M491" s="10"/>
      <c r="N491" s="10"/>
      <c r="O491" s="10"/>
      <c r="P491" s="10"/>
      <c r="Q491" s="10"/>
      <c r="R491" s="10"/>
    </row>
    <row r="492" spans="13:18" x14ac:dyDescent="0.3">
      <c r="M492" s="10"/>
      <c r="N492" s="10"/>
      <c r="O492" s="10"/>
      <c r="P492" s="10"/>
      <c r="Q492" s="10"/>
      <c r="R492" s="10"/>
    </row>
    <row r="493" spans="13:18" x14ac:dyDescent="0.3">
      <c r="M493" s="10"/>
      <c r="N493" s="10"/>
      <c r="O493" s="10"/>
      <c r="P493" s="10"/>
      <c r="Q493" s="10"/>
      <c r="R493" s="10"/>
    </row>
    <row r="494" spans="13:18" x14ac:dyDescent="0.3">
      <c r="M494" s="10"/>
      <c r="N494" s="10"/>
      <c r="O494" s="10"/>
      <c r="P494" s="10"/>
      <c r="Q494" s="10"/>
      <c r="R494" s="10"/>
    </row>
    <row r="495" spans="13:18" x14ac:dyDescent="0.3">
      <c r="M495" s="10"/>
      <c r="N495" s="10"/>
      <c r="O495" s="10"/>
      <c r="P495" s="10"/>
      <c r="Q495" s="10"/>
      <c r="R495" s="10"/>
    </row>
    <row r="496" spans="13:18" x14ac:dyDescent="0.3">
      <c r="M496" s="10"/>
      <c r="N496" s="10"/>
      <c r="O496" s="10"/>
      <c r="P496" s="10"/>
      <c r="Q496" s="10"/>
      <c r="R496" s="10"/>
    </row>
    <row r="497" spans="13:18" x14ac:dyDescent="0.3">
      <c r="M497" s="10"/>
      <c r="N497" s="10"/>
      <c r="O497" s="10"/>
      <c r="P497" s="10"/>
      <c r="Q497" s="10"/>
      <c r="R497" s="10"/>
    </row>
    <row r="498" spans="13:18" x14ac:dyDescent="0.3">
      <c r="M498" s="10"/>
      <c r="N498" s="10"/>
      <c r="O498" s="10"/>
      <c r="P498" s="10"/>
      <c r="Q498" s="10"/>
      <c r="R498" s="10"/>
    </row>
    <row r="499" spans="13:18" x14ac:dyDescent="0.3">
      <c r="M499" s="10"/>
      <c r="N499" s="10"/>
      <c r="O499" s="10"/>
      <c r="P499" s="10"/>
      <c r="Q499" s="10"/>
      <c r="R499" s="10"/>
    </row>
    <row r="500" spans="13:18" x14ac:dyDescent="0.3">
      <c r="M500" s="10"/>
      <c r="N500" s="10"/>
      <c r="O500" s="10"/>
      <c r="P500" s="10"/>
      <c r="Q500" s="10"/>
      <c r="R500" s="10"/>
    </row>
    <row r="501" spans="13:18" x14ac:dyDescent="0.3">
      <c r="M501" s="10"/>
      <c r="N501" s="10"/>
      <c r="O501" s="10"/>
      <c r="P501" s="10"/>
      <c r="Q501" s="10"/>
      <c r="R501" s="10"/>
    </row>
    <row r="502" spans="13:18" x14ac:dyDescent="0.3">
      <c r="M502" s="10"/>
      <c r="N502" s="10"/>
      <c r="O502" s="10"/>
      <c r="P502" s="10"/>
      <c r="Q502" s="10"/>
      <c r="R502" s="10"/>
    </row>
    <row r="503" spans="13:18" x14ac:dyDescent="0.3">
      <c r="M503" s="10"/>
      <c r="N503" s="10"/>
      <c r="O503" s="10"/>
      <c r="P503" s="10"/>
      <c r="Q503" s="10"/>
      <c r="R503" s="10"/>
    </row>
    <row r="504" spans="13:18" x14ac:dyDescent="0.3">
      <c r="M504" s="10"/>
      <c r="N504" s="10"/>
      <c r="O504" s="10"/>
      <c r="P504" s="10"/>
      <c r="Q504" s="10"/>
      <c r="R504" s="10"/>
    </row>
    <row r="505" spans="13:18" x14ac:dyDescent="0.3">
      <c r="M505" s="10"/>
      <c r="N505" s="10"/>
      <c r="O505" s="10"/>
      <c r="P505" s="10"/>
      <c r="Q505" s="10"/>
      <c r="R505" s="10"/>
    </row>
    <row r="506" spans="13:18" x14ac:dyDescent="0.3">
      <c r="M506" s="10"/>
      <c r="N506" s="10"/>
      <c r="O506" s="10"/>
      <c r="P506" s="10"/>
      <c r="Q506" s="10"/>
      <c r="R506" s="10"/>
    </row>
    <row r="507" spans="13:18" x14ac:dyDescent="0.3">
      <c r="M507" s="10"/>
      <c r="N507" s="10"/>
      <c r="O507" s="10"/>
      <c r="P507" s="10"/>
      <c r="Q507" s="10"/>
      <c r="R507" s="10"/>
    </row>
    <row r="508" spans="13:18" x14ac:dyDescent="0.3">
      <c r="M508" s="10"/>
      <c r="N508" s="10"/>
      <c r="O508" s="10"/>
      <c r="P508" s="10"/>
      <c r="Q508" s="10"/>
      <c r="R508" s="10"/>
    </row>
    <row r="509" spans="13:18" x14ac:dyDescent="0.3">
      <c r="M509" s="10"/>
      <c r="N509" s="10"/>
      <c r="O509" s="10"/>
      <c r="P509" s="10"/>
      <c r="Q509" s="10"/>
      <c r="R509" s="10"/>
    </row>
    <row r="510" spans="13:18" x14ac:dyDescent="0.3">
      <c r="M510" s="10"/>
      <c r="N510" s="10"/>
      <c r="O510" s="10"/>
      <c r="P510" s="10"/>
      <c r="Q510" s="10"/>
      <c r="R510" s="10"/>
    </row>
    <row r="511" spans="13:18" x14ac:dyDescent="0.3">
      <c r="M511" s="10"/>
      <c r="N511" s="10"/>
      <c r="O511" s="10"/>
      <c r="P511" s="10"/>
      <c r="Q511" s="10"/>
      <c r="R511" s="10"/>
    </row>
    <row r="512" spans="13:18" x14ac:dyDescent="0.3">
      <c r="M512" s="10"/>
      <c r="N512" s="10"/>
      <c r="O512" s="10"/>
      <c r="P512" s="10"/>
      <c r="Q512" s="10"/>
      <c r="R512" s="10"/>
    </row>
    <row r="513" spans="13:18" x14ac:dyDescent="0.3">
      <c r="M513" s="10"/>
      <c r="N513" s="10"/>
      <c r="O513" s="10"/>
      <c r="P513" s="10"/>
      <c r="Q513" s="10"/>
      <c r="R513" s="10"/>
    </row>
    <row r="514" spans="13:18" x14ac:dyDescent="0.3">
      <c r="M514" s="10"/>
      <c r="N514" s="10"/>
      <c r="O514" s="10"/>
      <c r="P514" s="10"/>
      <c r="Q514" s="10"/>
      <c r="R514" s="10"/>
    </row>
    <row r="515" spans="13:18" x14ac:dyDescent="0.3">
      <c r="M515" s="10"/>
      <c r="N515" s="10"/>
      <c r="O515" s="10"/>
      <c r="P515" s="10"/>
      <c r="Q515" s="10"/>
      <c r="R515" s="10"/>
    </row>
    <row r="516" spans="13:18" x14ac:dyDescent="0.3">
      <c r="M516" s="10"/>
      <c r="N516" s="10"/>
      <c r="O516" s="10"/>
      <c r="P516" s="10"/>
      <c r="Q516" s="10"/>
      <c r="R516" s="10"/>
    </row>
    <row r="517" spans="13:18" x14ac:dyDescent="0.3">
      <c r="M517" s="10"/>
      <c r="N517" s="10"/>
      <c r="O517" s="10"/>
      <c r="P517" s="10"/>
      <c r="Q517" s="10"/>
      <c r="R517" s="10"/>
    </row>
    <row r="518" spans="13:18" x14ac:dyDescent="0.3">
      <c r="M518" s="10"/>
      <c r="N518" s="10"/>
      <c r="O518" s="10"/>
      <c r="P518" s="10"/>
      <c r="Q518" s="10"/>
      <c r="R518" s="10"/>
    </row>
    <row r="519" spans="13:18" x14ac:dyDescent="0.3">
      <c r="M519" s="10"/>
      <c r="N519" s="10"/>
      <c r="O519" s="10"/>
      <c r="P519" s="10"/>
      <c r="Q519" s="10"/>
      <c r="R519" s="10"/>
    </row>
    <row r="520" spans="13:18" x14ac:dyDescent="0.3">
      <c r="M520" s="10"/>
      <c r="N520" s="10"/>
      <c r="O520" s="10"/>
      <c r="P520" s="10"/>
      <c r="Q520" s="10"/>
      <c r="R520" s="10"/>
    </row>
    <row r="521" spans="13:18" x14ac:dyDescent="0.3">
      <c r="M521" s="10"/>
      <c r="N521" s="10"/>
      <c r="O521" s="10"/>
      <c r="P521" s="10"/>
      <c r="Q521" s="10"/>
      <c r="R521" s="10"/>
    </row>
    <row r="522" spans="13:18" x14ac:dyDescent="0.3">
      <c r="M522" s="10"/>
      <c r="N522" s="10"/>
      <c r="O522" s="10"/>
      <c r="P522" s="10"/>
      <c r="Q522" s="10"/>
      <c r="R522" s="10"/>
    </row>
    <row r="523" spans="13:18" x14ac:dyDescent="0.3">
      <c r="M523" s="10"/>
      <c r="N523" s="10"/>
      <c r="O523" s="10"/>
      <c r="P523" s="10"/>
      <c r="Q523" s="10"/>
      <c r="R523" s="10"/>
    </row>
    <row r="524" spans="13:18" x14ac:dyDescent="0.3">
      <c r="M524" s="10"/>
      <c r="N524" s="10"/>
      <c r="O524" s="10"/>
      <c r="P524" s="10"/>
      <c r="Q524" s="10"/>
      <c r="R524" s="10"/>
    </row>
    <row r="525" spans="13:18" x14ac:dyDescent="0.3">
      <c r="M525" s="10"/>
      <c r="N525" s="10"/>
      <c r="O525" s="10"/>
      <c r="P525" s="10"/>
      <c r="Q525" s="10"/>
      <c r="R525" s="10"/>
    </row>
    <row r="526" spans="13:18" x14ac:dyDescent="0.3">
      <c r="M526" s="10"/>
      <c r="N526" s="10"/>
      <c r="O526" s="10"/>
      <c r="P526" s="10"/>
      <c r="Q526" s="10"/>
      <c r="R526" s="10"/>
    </row>
    <row r="527" spans="13:18" x14ac:dyDescent="0.3">
      <c r="M527" s="10"/>
      <c r="N527" s="10"/>
      <c r="O527" s="10"/>
      <c r="P527" s="10"/>
      <c r="Q527" s="10"/>
      <c r="R527" s="10"/>
    </row>
    <row r="528" spans="13:18" x14ac:dyDescent="0.3">
      <c r="M528" s="10"/>
      <c r="N528" s="10"/>
      <c r="O528" s="10"/>
      <c r="P528" s="10"/>
      <c r="Q528" s="10"/>
      <c r="R528" s="10"/>
    </row>
    <row r="529" spans="13:18" x14ac:dyDescent="0.3">
      <c r="M529" s="10"/>
      <c r="N529" s="10"/>
      <c r="O529" s="10"/>
      <c r="P529" s="10"/>
      <c r="Q529" s="10"/>
      <c r="R529" s="10"/>
    </row>
    <row r="530" spans="13:18" x14ac:dyDescent="0.3">
      <c r="M530" s="10"/>
      <c r="N530" s="10"/>
      <c r="O530" s="10"/>
      <c r="P530" s="10"/>
      <c r="Q530" s="10"/>
      <c r="R530" s="10"/>
    </row>
    <row r="531" spans="13:18" x14ac:dyDescent="0.3">
      <c r="M531" s="10"/>
      <c r="N531" s="10"/>
      <c r="O531" s="10"/>
      <c r="P531" s="10"/>
      <c r="Q531" s="10"/>
      <c r="R531" s="10"/>
    </row>
    <row r="532" spans="13:18" x14ac:dyDescent="0.3">
      <c r="M532" s="10"/>
      <c r="N532" s="10"/>
      <c r="O532" s="10"/>
      <c r="P532" s="10"/>
      <c r="Q532" s="10"/>
      <c r="R532" s="10"/>
    </row>
    <row r="533" spans="13:18" x14ac:dyDescent="0.3">
      <c r="M533" s="10"/>
      <c r="N533" s="10"/>
      <c r="O533" s="10"/>
      <c r="P533" s="10"/>
      <c r="Q533" s="10"/>
      <c r="R533" s="10"/>
    </row>
    <row r="534" spans="13:18" x14ac:dyDescent="0.3">
      <c r="M534" s="10"/>
      <c r="N534" s="10"/>
      <c r="O534" s="10"/>
      <c r="P534" s="10"/>
      <c r="Q534" s="10"/>
      <c r="R534" s="10"/>
    </row>
    <row r="535" spans="13:18" x14ac:dyDescent="0.3">
      <c r="M535" s="10"/>
      <c r="N535" s="10"/>
      <c r="O535" s="10"/>
      <c r="P535" s="10"/>
      <c r="Q535" s="10"/>
      <c r="R535" s="10"/>
    </row>
    <row r="536" spans="13:18" x14ac:dyDescent="0.3">
      <c r="M536" s="10"/>
      <c r="N536" s="10"/>
      <c r="O536" s="10"/>
      <c r="P536" s="10"/>
      <c r="Q536" s="10"/>
      <c r="R536" s="10"/>
    </row>
    <row r="537" spans="13:18" x14ac:dyDescent="0.3">
      <c r="M537" s="10"/>
      <c r="N537" s="10"/>
      <c r="O537" s="10"/>
      <c r="P537" s="10"/>
      <c r="Q537" s="10"/>
      <c r="R537" s="10"/>
    </row>
    <row r="538" spans="13:18" x14ac:dyDescent="0.3">
      <c r="M538" s="10"/>
      <c r="N538" s="10"/>
      <c r="O538" s="10"/>
      <c r="P538" s="10"/>
      <c r="Q538" s="10"/>
      <c r="R538" s="10"/>
    </row>
    <row r="539" spans="13:18" x14ac:dyDescent="0.3">
      <c r="M539" s="10"/>
      <c r="N539" s="10"/>
      <c r="O539" s="10"/>
      <c r="P539" s="10"/>
      <c r="Q539" s="10"/>
      <c r="R539" s="10"/>
    </row>
    <row r="540" spans="13:18" x14ac:dyDescent="0.3">
      <c r="M540" s="10"/>
      <c r="N540" s="10"/>
      <c r="O540" s="10"/>
      <c r="P540" s="10"/>
      <c r="Q540" s="10"/>
      <c r="R540" s="10"/>
    </row>
    <row r="541" spans="13:18" x14ac:dyDescent="0.3">
      <c r="M541" s="10"/>
      <c r="N541" s="10"/>
      <c r="O541" s="10"/>
      <c r="P541" s="10"/>
      <c r="Q541" s="10"/>
      <c r="R541" s="10"/>
    </row>
    <row r="542" spans="13:18" x14ac:dyDescent="0.3">
      <c r="M542" s="10"/>
      <c r="N542" s="10"/>
      <c r="O542" s="10"/>
      <c r="P542" s="10"/>
      <c r="Q542" s="10"/>
      <c r="R542" s="10"/>
    </row>
    <row r="543" spans="13:18" x14ac:dyDescent="0.3">
      <c r="M543" s="10"/>
      <c r="N543" s="10"/>
      <c r="O543" s="10"/>
      <c r="P543" s="10"/>
      <c r="Q543" s="10"/>
      <c r="R543" s="10"/>
    </row>
    <row r="544" spans="13:18" x14ac:dyDescent="0.3">
      <c r="M544" s="10"/>
      <c r="N544" s="10"/>
      <c r="O544" s="10"/>
      <c r="P544" s="10"/>
      <c r="Q544" s="10"/>
      <c r="R544" s="10"/>
    </row>
    <row r="545" spans="13:18" x14ac:dyDescent="0.3">
      <c r="M545" s="10"/>
      <c r="N545" s="10"/>
      <c r="O545" s="10"/>
      <c r="P545" s="10"/>
      <c r="Q545" s="10"/>
      <c r="R545" s="10"/>
    </row>
    <row r="546" spans="13:18" x14ac:dyDescent="0.3">
      <c r="M546" s="10"/>
      <c r="N546" s="10"/>
      <c r="O546" s="10"/>
      <c r="P546" s="10"/>
      <c r="Q546" s="10"/>
      <c r="R546" s="10"/>
    </row>
    <row r="547" spans="13:18" x14ac:dyDescent="0.3">
      <c r="M547" s="10"/>
      <c r="N547" s="10"/>
      <c r="O547" s="10"/>
      <c r="P547" s="10"/>
      <c r="Q547" s="10"/>
      <c r="R547" s="10"/>
    </row>
    <row r="548" spans="13:18" x14ac:dyDescent="0.3">
      <c r="M548" s="10"/>
      <c r="N548" s="10"/>
      <c r="O548" s="10"/>
      <c r="P548" s="10"/>
      <c r="Q548" s="10"/>
      <c r="R548" s="10"/>
    </row>
    <row r="549" spans="13:18" x14ac:dyDescent="0.3">
      <c r="M549" s="10"/>
      <c r="N549" s="10"/>
      <c r="O549" s="10"/>
      <c r="P549" s="10"/>
      <c r="Q549" s="10"/>
      <c r="R549" s="10"/>
    </row>
    <row r="550" spans="13:18" x14ac:dyDescent="0.3">
      <c r="M550" s="10"/>
      <c r="N550" s="10"/>
      <c r="O550" s="10"/>
      <c r="P550" s="10"/>
      <c r="Q550" s="10"/>
      <c r="R550" s="10"/>
    </row>
    <row r="551" spans="13:18" x14ac:dyDescent="0.3">
      <c r="M551" s="10"/>
      <c r="N551" s="10"/>
      <c r="O551" s="10"/>
      <c r="P551" s="10"/>
      <c r="Q551" s="10"/>
      <c r="R551" s="10"/>
    </row>
    <row r="552" spans="13:18" x14ac:dyDescent="0.3">
      <c r="M552" s="10"/>
      <c r="N552" s="10"/>
      <c r="O552" s="10"/>
      <c r="P552" s="10"/>
      <c r="Q552" s="10"/>
      <c r="R552" s="10"/>
    </row>
    <row r="553" spans="13:18" x14ac:dyDescent="0.3">
      <c r="M553" s="10"/>
      <c r="N553" s="10"/>
      <c r="O553" s="10"/>
      <c r="P553" s="10"/>
      <c r="Q553" s="10"/>
      <c r="R553" s="10"/>
    </row>
    <row r="554" spans="13:18" x14ac:dyDescent="0.3">
      <c r="M554" s="10"/>
      <c r="N554" s="10"/>
      <c r="O554" s="10"/>
      <c r="P554" s="10"/>
      <c r="Q554" s="10"/>
      <c r="R554" s="10"/>
    </row>
    <row r="555" spans="13:18" x14ac:dyDescent="0.3">
      <c r="M555" s="10"/>
      <c r="N555" s="10"/>
      <c r="O555" s="10"/>
      <c r="P555" s="10"/>
      <c r="Q555" s="10"/>
      <c r="R555" s="10"/>
    </row>
    <row r="556" spans="13:18" x14ac:dyDescent="0.3">
      <c r="M556" s="10"/>
      <c r="N556" s="10"/>
      <c r="O556" s="10"/>
      <c r="P556" s="10"/>
      <c r="Q556" s="10"/>
      <c r="R556" s="10"/>
    </row>
    <row r="557" spans="13:18" x14ac:dyDescent="0.3">
      <c r="M557" s="10"/>
      <c r="N557" s="10"/>
      <c r="O557" s="10"/>
      <c r="P557" s="10"/>
      <c r="Q557" s="10"/>
      <c r="R557" s="10"/>
    </row>
    <row r="558" spans="13:18" x14ac:dyDescent="0.3">
      <c r="M558" s="10"/>
      <c r="N558" s="10"/>
      <c r="O558" s="10"/>
      <c r="P558" s="10"/>
      <c r="Q558" s="10"/>
      <c r="R558" s="10"/>
    </row>
    <row r="559" spans="13:18" x14ac:dyDescent="0.3">
      <c r="M559" s="10"/>
      <c r="N559" s="10"/>
      <c r="O559" s="10"/>
      <c r="P559" s="10"/>
      <c r="Q559" s="10"/>
      <c r="R559" s="10"/>
    </row>
    <row r="560" spans="13:18" x14ac:dyDescent="0.3">
      <c r="M560" s="10"/>
      <c r="N560" s="10"/>
      <c r="O560" s="10"/>
      <c r="P560" s="10"/>
      <c r="Q560" s="10"/>
      <c r="R560" s="10"/>
    </row>
    <row r="561" spans="13:18" x14ac:dyDescent="0.3">
      <c r="M561" s="10"/>
      <c r="N561" s="10"/>
      <c r="O561" s="10"/>
      <c r="P561" s="10"/>
      <c r="Q561" s="10"/>
      <c r="R561" s="10"/>
    </row>
    <row r="562" spans="13:18" x14ac:dyDescent="0.3">
      <c r="M562" s="10"/>
      <c r="N562" s="10"/>
      <c r="O562" s="10"/>
      <c r="P562" s="10"/>
      <c r="Q562" s="10"/>
      <c r="R562" s="10"/>
    </row>
    <row r="563" spans="13:18" x14ac:dyDescent="0.3">
      <c r="M563" s="10"/>
      <c r="N563" s="10"/>
      <c r="O563" s="10"/>
      <c r="P563" s="10"/>
      <c r="Q563" s="10"/>
      <c r="R563" s="10"/>
    </row>
    <row r="564" spans="13:18" x14ac:dyDescent="0.3">
      <c r="M564" s="10"/>
      <c r="N564" s="10"/>
      <c r="O564" s="10"/>
      <c r="P564" s="10"/>
      <c r="Q564" s="10"/>
      <c r="R564" s="10"/>
    </row>
    <row r="565" spans="13:18" x14ac:dyDescent="0.3">
      <c r="M565" s="10"/>
      <c r="N565" s="10"/>
      <c r="O565" s="10"/>
      <c r="P565" s="10"/>
      <c r="Q565" s="10"/>
      <c r="R565" s="10"/>
    </row>
    <row r="566" spans="13:18" x14ac:dyDescent="0.3">
      <c r="M566" s="10"/>
      <c r="N566" s="10"/>
      <c r="O566" s="10"/>
      <c r="P566" s="10"/>
      <c r="Q566" s="10"/>
      <c r="R566" s="10"/>
    </row>
    <row r="567" spans="13:18" x14ac:dyDescent="0.3">
      <c r="M567" s="10"/>
      <c r="N567" s="10"/>
      <c r="O567" s="10"/>
      <c r="P567" s="10"/>
      <c r="Q567" s="10"/>
      <c r="R567" s="10"/>
    </row>
    <row r="568" spans="13:18" x14ac:dyDescent="0.3">
      <c r="M568" s="10"/>
      <c r="N568" s="10"/>
      <c r="O568" s="10"/>
      <c r="P568" s="10"/>
      <c r="Q568" s="10"/>
      <c r="R568" s="10"/>
    </row>
    <row r="569" spans="13:18" x14ac:dyDescent="0.3">
      <c r="M569" s="10"/>
      <c r="N569" s="10"/>
      <c r="O569" s="10"/>
      <c r="P569" s="10"/>
      <c r="Q569" s="10"/>
      <c r="R569" s="10"/>
    </row>
    <row r="570" spans="13:18" x14ac:dyDescent="0.3">
      <c r="M570" s="10"/>
      <c r="N570" s="10"/>
      <c r="O570" s="10"/>
      <c r="P570" s="10"/>
      <c r="Q570" s="10"/>
      <c r="R570" s="10"/>
    </row>
    <row r="571" spans="13:18" x14ac:dyDescent="0.3">
      <c r="M571" s="10"/>
      <c r="N571" s="10"/>
      <c r="O571" s="10"/>
      <c r="P571" s="10"/>
      <c r="Q571" s="10"/>
      <c r="R571" s="10"/>
    </row>
    <row r="572" spans="13:18" x14ac:dyDescent="0.3">
      <c r="M572" s="10"/>
      <c r="N572" s="10"/>
      <c r="O572" s="10"/>
      <c r="P572" s="10"/>
      <c r="Q572" s="10"/>
      <c r="R572" s="10"/>
    </row>
    <row r="573" spans="13:18" x14ac:dyDescent="0.3">
      <c r="M573" s="10"/>
      <c r="N573" s="10"/>
      <c r="O573" s="10"/>
      <c r="P573" s="10"/>
      <c r="Q573" s="10"/>
      <c r="R573" s="10"/>
    </row>
    <row r="574" spans="13:18" x14ac:dyDescent="0.3">
      <c r="M574" s="10"/>
      <c r="N574" s="10"/>
      <c r="O574" s="10"/>
      <c r="P574" s="10"/>
      <c r="Q574" s="10"/>
      <c r="R574" s="10"/>
    </row>
    <row r="575" spans="13:18" x14ac:dyDescent="0.3">
      <c r="M575" s="10"/>
      <c r="N575" s="10"/>
      <c r="O575" s="10"/>
      <c r="P575" s="10"/>
      <c r="Q575" s="10"/>
      <c r="R575" s="10"/>
    </row>
    <row r="576" spans="13:18" x14ac:dyDescent="0.3">
      <c r="M576" s="10"/>
      <c r="N576" s="10"/>
      <c r="O576" s="10"/>
      <c r="P576" s="10"/>
      <c r="Q576" s="10"/>
      <c r="R576" s="10"/>
    </row>
    <row r="577" spans="13:18" x14ac:dyDescent="0.3">
      <c r="M577" s="10"/>
      <c r="N577" s="10"/>
      <c r="O577" s="10"/>
      <c r="P577" s="10"/>
      <c r="Q577" s="10"/>
      <c r="R577" s="10"/>
    </row>
    <row r="578" spans="13:18" x14ac:dyDescent="0.3">
      <c r="M578" s="10"/>
      <c r="N578" s="10"/>
      <c r="O578" s="10"/>
      <c r="P578" s="10"/>
      <c r="Q578" s="10"/>
      <c r="R578" s="10"/>
    </row>
    <row r="579" spans="13:18" x14ac:dyDescent="0.3">
      <c r="M579" s="10"/>
      <c r="N579" s="10"/>
      <c r="O579" s="10"/>
      <c r="P579" s="10"/>
      <c r="Q579" s="10"/>
      <c r="R579" s="10"/>
    </row>
    <row r="580" spans="13:18" x14ac:dyDescent="0.3">
      <c r="M580" s="10"/>
      <c r="N580" s="10"/>
      <c r="O580" s="10"/>
      <c r="P580" s="10"/>
      <c r="Q580" s="10"/>
      <c r="R580" s="10"/>
    </row>
    <row r="581" spans="13:18" x14ac:dyDescent="0.3">
      <c r="M581" s="10"/>
      <c r="N581" s="10"/>
      <c r="O581" s="10"/>
      <c r="P581" s="10"/>
      <c r="Q581" s="10"/>
      <c r="R581" s="10"/>
    </row>
    <row r="582" spans="13:18" x14ac:dyDescent="0.3">
      <c r="M582" s="10"/>
      <c r="N582" s="10"/>
      <c r="O582" s="10"/>
      <c r="P582" s="10"/>
      <c r="Q582" s="10"/>
      <c r="R582" s="10"/>
    </row>
    <row r="583" spans="13:18" x14ac:dyDescent="0.3">
      <c r="M583" s="10"/>
      <c r="N583" s="10"/>
      <c r="O583" s="10"/>
      <c r="P583" s="10"/>
      <c r="Q583" s="10"/>
      <c r="R583" s="10"/>
    </row>
    <row r="584" spans="13:18" x14ac:dyDescent="0.3">
      <c r="M584" s="10"/>
      <c r="N584" s="10"/>
      <c r="O584" s="10"/>
      <c r="P584" s="10"/>
      <c r="Q584" s="10"/>
      <c r="R584" s="10"/>
    </row>
    <row r="585" spans="13:18" x14ac:dyDescent="0.3">
      <c r="M585" s="10"/>
      <c r="N585" s="10"/>
      <c r="O585" s="10"/>
      <c r="P585" s="10"/>
      <c r="Q585" s="10"/>
      <c r="R585" s="10"/>
    </row>
    <row r="586" spans="13:18" x14ac:dyDescent="0.3">
      <c r="M586" s="10"/>
      <c r="N586" s="10"/>
      <c r="O586" s="10"/>
      <c r="P586" s="10"/>
      <c r="Q586" s="10"/>
      <c r="R586" s="10"/>
    </row>
    <row r="587" spans="13:18" x14ac:dyDescent="0.3">
      <c r="M587" s="10"/>
      <c r="N587" s="10"/>
      <c r="O587" s="10"/>
      <c r="P587" s="10"/>
      <c r="Q587" s="10"/>
      <c r="R587" s="10"/>
    </row>
    <row r="588" spans="13:18" x14ac:dyDescent="0.3">
      <c r="M588" s="10"/>
      <c r="N588" s="10"/>
      <c r="O588" s="10"/>
      <c r="P588" s="10"/>
      <c r="Q588" s="10"/>
      <c r="R588" s="10"/>
    </row>
    <row r="589" spans="13:18" x14ac:dyDescent="0.3">
      <c r="M589" s="10"/>
      <c r="N589" s="10"/>
      <c r="O589" s="10"/>
      <c r="P589" s="10"/>
      <c r="Q589" s="10"/>
      <c r="R589" s="10"/>
    </row>
    <row r="590" spans="13:18" x14ac:dyDescent="0.3">
      <c r="M590" s="10"/>
      <c r="N590" s="10"/>
      <c r="O590" s="10"/>
      <c r="P590" s="10"/>
      <c r="Q590" s="10"/>
      <c r="R590" s="10"/>
    </row>
    <row r="591" spans="13:18" x14ac:dyDescent="0.3">
      <c r="M591" s="10"/>
      <c r="N591" s="10"/>
      <c r="O591" s="10"/>
      <c r="P591" s="10"/>
      <c r="Q591" s="10"/>
      <c r="R591" s="10"/>
    </row>
    <row r="592" spans="13:18" x14ac:dyDescent="0.3">
      <c r="M592" s="10"/>
      <c r="N592" s="10"/>
      <c r="O592" s="10"/>
      <c r="P592" s="10"/>
      <c r="Q592" s="10"/>
      <c r="R592" s="10"/>
    </row>
    <row r="593" spans="13:18" x14ac:dyDescent="0.3">
      <c r="M593" s="10"/>
      <c r="N593" s="10"/>
      <c r="O593" s="10"/>
      <c r="P593" s="10"/>
      <c r="Q593" s="10"/>
      <c r="R593" s="10"/>
    </row>
    <row r="594" spans="13:18" x14ac:dyDescent="0.3">
      <c r="M594" s="10"/>
      <c r="N594" s="10"/>
      <c r="O594" s="10"/>
      <c r="P594" s="10"/>
      <c r="Q594" s="10"/>
      <c r="R594" s="10"/>
    </row>
    <row r="595" spans="13:18" x14ac:dyDescent="0.3">
      <c r="M595" s="10"/>
      <c r="N595" s="10"/>
      <c r="O595" s="10"/>
      <c r="P595" s="10"/>
      <c r="Q595" s="10"/>
      <c r="R595" s="10"/>
    </row>
    <row r="596" spans="13:18" x14ac:dyDescent="0.3">
      <c r="M596" s="10"/>
      <c r="N596" s="10"/>
      <c r="O596" s="10"/>
      <c r="P596" s="10"/>
      <c r="Q596" s="10"/>
      <c r="R596" s="10"/>
    </row>
    <row r="597" spans="13:18" x14ac:dyDescent="0.3">
      <c r="M597" s="10"/>
      <c r="N597" s="10"/>
      <c r="O597" s="10"/>
      <c r="P597" s="10"/>
      <c r="Q597" s="10"/>
      <c r="R597" s="10"/>
    </row>
    <row r="598" spans="13:18" x14ac:dyDescent="0.3">
      <c r="M598" s="10"/>
      <c r="N598" s="10"/>
      <c r="O598" s="10"/>
      <c r="P598" s="10"/>
      <c r="Q598" s="10"/>
      <c r="R598" s="10"/>
    </row>
    <row r="599" spans="13:18" x14ac:dyDescent="0.3">
      <c r="M599" s="10"/>
      <c r="N599" s="10"/>
      <c r="O599" s="10"/>
      <c r="P599" s="10"/>
      <c r="Q599" s="10"/>
      <c r="R599" s="10"/>
    </row>
    <row r="600" spans="13:18" x14ac:dyDescent="0.3">
      <c r="M600" s="10"/>
      <c r="N600" s="10"/>
      <c r="O600" s="10"/>
      <c r="P600" s="10"/>
      <c r="Q600" s="10"/>
      <c r="R600" s="10"/>
    </row>
    <row r="601" spans="13:18" x14ac:dyDescent="0.3">
      <c r="M601" s="10"/>
      <c r="N601" s="10"/>
      <c r="O601" s="10"/>
      <c r="P601" s="10"/>
      <c r="Q601" s="10"/>
      <c r="R601" s="10"/>
    </row>
    <row r="602" spans="13:18" x14ac:dyDescent="0.3">
      <c r="M602" s="10"/>
      <c r="N602" s="10"/>
      <c r="O602" s="10"/>
      <c r="P602" s="10"/>
      <c r="Q602" s="10"/>
      <c r="R602" s="10"/>
    </row>
    <row r="603" spans="13:18" x14ac:dyDescent="0.3">
      <c r="M603" s="10"/>
      <c r="N603" s="10"/>
      <c r="O603" s="10"/>
      <c r="P603" s="10"/>
      <c r="Q603" s="10"/>
      <c r="R603" s="10"/>
    </row>
    <row r="604" spans="13:18" x14ac:dyDescent="0.3">
      <c r="M604" s="10"/>
      <c r="N604" s="10"/>
      <c r="O604" s="10"/>
      <c r="P604" s="10"/>
      <c r="Q604" s="10"/>
      <c r="R604" s="10"/>
    </row>
    <row r="605" spans="13:18" x14ac:dyDescent="0.3">
      <c r="M605" s="10"/>
      <c r="N605" s="10"/>
      <c r="O605" s="10"/>
      <c r="P605" s="10"/>
      <c r="Q605" s="10"/>
      <c r="R605" s="10"/>
    </row>
    <row r="606" spans="13:18" x14ac:dyDescent="0.3">
      <c r="M606" s="10"/>
      <c r="N606" s="10"/>
      <c r="O606" s="10"/>
      <c r="P606" s="10"/>
      <c r="Q606" s="10"/>
      <c r="R606" s="10"/>
    </row>
    <row r="607" spans="13:18" x14ac:dyDescent="0.3">
      <c r="M607" s="10"/>
      <c r="N607" s="10"/>
      <c r="O607" s="10"/>
      <c r="P607" s="10"/>
      <c r="Q607" s="10"/>
      <c r="R607" s="10"/>
    </row>
    <row r="608" spans="13:18" x14ac:dyDescent="0.3">
      <c r="M608" s="10"/>
      <c r="N608" s="10"/>
      <c r="O608" s="10"/>
      <c r="P608" s="10"/>
      <c r="Q608" s="10"/>
      <c r="R608" s="10"/>
    </row>
    <row r="609" spans="13:18" x14ac:dyDescent="0.3">
      <c r="M609" s="10"/>
      <c r="N609" s="10"/>
      <c r="O609" s="10"/>
      <c r="P609" s="10"/>
      <c r="Q609" s="10"/>
      <c r="R609" s="10"/>
    </row>
    <row r="610" spans="13:18" x14ac:dyDescent="0.3">
      <c r="M610" s="10"/>
      <c r="N610" s="10"/>
      <c r="O610" s="10"/>
      <c r="P610" s="10"/>
      <c r="Q610" s="10"/>
      <c r="R610" s="10"/>
    </row>
    <row r="611" spans="13:18" x14ac:dyDescent="0.3">
      <c r="M611" s="10"/>
      <c r="N611" s="10"/>
      <c r="O611" s="10"/>
      <c r="P611" s="10"/>
      <c r="Q611" s="10"/>
      <c r="R611" s="10"/>
    </row>
    <row r="612" spans="13:18" x14ac:dyDescent="0.3">
      <c r="M612" s="10"/>
      <c r="N612" s="10"/>
      <c r="O612" s="10"/>
      <c r="P612" s="10"/>
      <c r="Q612" s="10"/>
      <c r="R612" s="10"/>
    </row>
    <row r="613" spans="13:18" x14ac:dyDescent="0.3">
      <c r="M613" s="10"/>
      <c r="N613" s="10"/>
      <c r="O613" s="10"/>
      <c r="P613" s="10"/>
      <c r="Q613" s="10"/>
      <c r="R613" s="10"/>
    </row>
    <row r="614" spans="13:18" x14ac:dyDescent="0.3">
      <c r="M614" s="10"/>
      <c r="N614" s="10"/>
      <c r="O614" s="10"/>
      <c r="P614" s="10"/>
      <c r="Q614" s="10"/>
      <c r="R614" s="10"/>
    </row>
    <row r="615" spans="13:18" x14ac:dyDescent="0.3">
      <c r="M615" s="10"/>
      <c r="N615" s="10"/>
      <c r="O615" s="10"/>
      <c r="P615" s="10"/>
      <c r="Q615" s="10"/>
      <c r="R615" s="10"/>
    </row>
    <row r="616" spans="13:18" x14ac:dyDescent="0.3">
      <c r="M616" s="10"/>
      <c r="N616" s="10"/>
      <c r="O616" s="10"/>
      <c r="P616" s="10"/>
      <c r="Q616" s="10"/>
      <c r="R616" s="10"/>
    </row>
    <row r="617" spans="13:18" x14ac:dyDescent="0.3">
      <c r="M617" s="10"/>
      <c r="N617" s="10"/>
      <c r="O617" s="10"/>
      <c r="P617" s="10"/>
      <c r="Q617" s="10"/>
      <c r="R617" s="10"/>
    </row>
    <row r="618" spans="13:18" x14ac:dyDescent="0.3">
      <c r="M618" s="10"/>
      <c r="N618" s="10"/>
      <c r="O618" s="10"/>
      <c r="P618" s="10"/>
      <c r="Q618" s="10"/>
      <c r="R618" s="10"/>
    </row>
    <row r="619" spans="13:18" x14ac:dyDescent="0.3">
      <c r="M619" s="10"/>
      <c r="N619" s="10"/>
      <c r="O619" s="10"/>
      <c r="P619" s="10"/>
      <c r="Q619" s="10"/>
      <c r="R619" s="10"/>
    </row>
    <row r="620" spans="13:18" x14ac:dyDescent="0.3">
      <c r="M620" s="10"/>
      <c r="N620" s="10"/>
      <c r="O620" s="10"/>
      <c r="P620" s="10"/>
      <c r="Q620" s="10"/>
      <c r="R620" s="10"/>
    </row>
    <row r="621" spans="13:18" x14ac:dyDescent="0.3">
      <c r="M621" s="10"/>
      <c r="N621" s="10"/>
      <c r="O621" s="10"/>
      <c r="P621" s="10"/>
      <c r="Q621" s="10"/>
      <c r="R621" s="10"/>
    </row>
    <row r="622" spans="13:18" x14ac:dyDescent="0.3">
      <c r="M622" s="10"/>
      <c r="N622" s="10"/>
      <c r="O622" s="10"/>
      <c r="P622" s="10"/>
      <c r="Q622" s="10"/>
      <c r="R622" s="10"/>
    </row>
    <row r="623" spans="13:18" x14ac:dyDescent="0.3">
      <c r="M623" s="10"/>
      <c r="N623" s="10"/>
      <c r="O623" s="10"/>
      <c r="P623" s="10"/>
      <c r="Q623" s="10"/>
      <c r="R623" s="10"/>
    </row>
    <row r="624" spans="13:18" x14ac:dyDescent="0.3">
      <c r="M624" s="10"/>
      <c r="N624" s="10"/>
      <c r="O624" s="10"/>
      <c r="P624" s="10"/>
      <c r="Q624" s="10"/>
      <c r="R624" s="10"/>
    </row>
    <row r="625" spans="13:18" x14ac:dyDescent="0.3">
      <c r="M625" s="10"/>
      <c r="N625" s="10"/>
      <c r="O625" s="10"/>
      <c r="P625" s="10"/>
      <c r="Q625" s="10"/>
      <c r="R625" s="10"/>
    </row>
    <row r="626" spans="13:18" x14ac:dyDescent="0.3">
      <c r="M626" s="10"/>
      <c r="N626" s="10"/>
      <c r="O626" s="10"/>
      <c r="P626" s="10"/>
      <c r="Q626" s="10"/>
      <c r="R626" s="10"/>
    </row>
    <row r="627" spans="13:18" x14ac:dyDescent="0.3">
      <c r="M627" s="10"/>
      <c r="N627" s="10"/>
      <c r="O627" s="10"/>
      <c r="P627" s="10"/>
      <c r="Q627" s="10"/>
      <c r="R627" s="10"/>
    </row>
    <row r="628" spans="13:18" x14ac:dyDescent="0.3">
      <c r="M628" s="10"/>
      <c r="N628" s="10"/>
      <c r="O628" s="10"/>
      <c r="P628" s="10"/>
      <c r="Q628" s="10"/>
      <c r="R628" s="10"/>
    </row>
    <row r="629" spans="13:18" x14ac:dyDescent="0.3">
      <c r="M629" s="10"/>
      <c r="N629" s="10"/>
      <c r="O629" s="10"/>
      <c r="P629" s="10"/>
      <c r="Q629" s="10"/>
      <c r="R629" s="10"/>
    </row>
    <row r="630" spans="13:18" x14ac:dyDescent="0.3">
      <c r="M630" s="10"/>
      <c r="N630" s="10"/>
      <c r="O630" s="10"/>
      <c r="P630" s="10"/>
      <c r="Q630" s="10"/>
      <c r="R630" s="10"/>
    </row>
    <row r="631" spans="13:18" x14ac:dyDescent="0.3">
      <c r="M631" s="10"/>
      <c r="N631" s="10"/>
      <c r="O631" s="10"/>
      <c r="P631" s="10"/>
      <c r="Q631" s="10"/>
      <c r="R631" s="10"/>
    </row>
    <row r="632" spans="13:18" x14ac:dyDescent="0.3">
      <c r="M632" s="10"/>
      <c r="N632" s="10"/>
      <c r="O632" s="10"/>
      <c r="P632" s="10"/>
      <c r="Q632" s="10"/>
      <c r="R632" s="10"/>
    </row>
    <row r="633" spans="13:18" x14ac:dyDescent="0.3">
      <c r="M633" s="10"/>
      <c r="N633" s="10"/>
      <c r="O633" s="10"/>
      <c r="P633" s="10"/>
      <c r="Q633" s="10"/>
      <c r="R633" s="10"/>
    </row>
    <row r="634" spans="13:18" x14ac:dyDescent="0.3">
      <c r="M634" s="10"/>
      <c r="N634" s="10"/>
      <c r="O634" s="10"/>
      <c r="P634" s="10"/>
      <c r="Q634" s="10"/>
      <c r="R634" s="10"/>
    </row>
    <row r="635" spans="13:18" x14ac:dyDescent="0.3">
      <c r="M635" s="10"/>
      <c r="N635" s="10"/>
      <c r="O635" s="10"/>
      <c r="P635" s="10"/>
      <c r="Q635" s="10"/>
      <c r="R635" s="10"/>
    </row>
    <row r="636" spans="13:18" x14ac:dyDescent="0.3">
      <c r="M636" s="10"/>
      <c r="N636" s="10"/>
      <c r="O636" s="10"/>
      <c r="P636" s="10"/>
      <c r="Q636" s="10"/>
      <c r="R636" s="10"/>
    </row>
    <row r="637" spans="13:18" x14ac:dyDescent="0.3">
      <c r="M637" s="10"/>
      <c r="N637" s="10"/>
      <c r="O637" s="10"/>
      <c r="P637" s="10"/>
      <c r="Q637" s="10"/>
      <c r="R637" s="10"/>
    </row>
    <row r="638" spans="13:18" x14ac:dyDescent="0.3">
      <c r="M638" s="10"/>
      <c r="N638" s="10"/>
      <c r="O638" s="10"/>
      <c r="P638" s="10"/>
      <c r="Q638" s="10"/>
      <c r="R638" s="10"/>
    </row>
    <row r="639" spans="13:18" x14ac:dyDescent="0.3">
      <c r="M639" s="10"/>
      <c r="N639" s="10"/>
      <c r="O639" s="10"/>
      <c r="P639" s="10"/>
      <c r="Q639" s="10"/>
      <c r="R639" s="10"/>
    </row>
    <row r="640" spans="13:18" x14ac:dyDescent="0.3">
      <c r="M640" s="10"/>
      <c r="N640" s="10"/>
      <c r="O640" s="10"/>
      <c r="P640" s="10"/>
      <c r="Q640" s="10"/>
      <c r="R640" s="10"/>
    </row>
    <row r="641" spans="13:18" x14ac:dyDescent="0.3">
      <c r="M641" s="10"/>
      <c r="N641" s="10"/>
      <c r="O641" s="10"/>
      <c r="P641" s="10"/>
      <c r="Q641" s="10"/>
      <c r="R641" s="10"/>
    </row>
    <row r="642" spans="13:18" x14ac:dyDescent="0.3">
      <c r="M642" s="10"/>
      <c r="N642" s="10"/>
      <c r="O642" s="10"/>
      <c r="P642" s="10"/>
      <c r="Q642" s="10"/>
      <c r="R642" s="10"/>
    </row>
    <row r="643" spans="13:18" x14ac:dyDescent="0.3">
      <c r="M643" s="10"/>
      <c r="N643" s="10"/>
      <c r="O643" s="10"/>
      <c r="P643" s="10"/>
      <c r="Q643" s="10"/>
      <c r="R643" s="10"/>
    </row>
    <row r="644" spans="13:18" x14ac:dyDescent="0.3">
      <c r="M644" s="10"/>
      <c r="N644" s="10"/>
      <c r="O644" s="10"/>
      <c r="P644" s="10"/>
      <c r="Q644" s="10"/>
      <c r="R644" s="10"/>
    </row>
    <row r="645" spans="13:18" x14ac:dyDescent="0.3">
      <c r="M645" s="10"/>
      <c r="N645" s="10"/>
      <c r="O645" s="10"/>
      <c r="P645" s="10"/>
      <c r="Q645" s="10"/>
      <c r="R645" s="10"/>
    </row>
    <row r="646" spans="13:18" x14ac:dyDescent="0.3">
      <c r="M646" s="10"/>
      <c r="N646" s="10"/>
      <c r="O646" s="10"/>
      <c r="P646" s="10"/>
      <c r="Q646" s="10"/>
      <c r="R646" s="10"/>
    </row>
    <row r="647" spans="13:18" x14ac:dyDescent="0.3">
      <c r="M647" s="10"/>
      <c r="N647" s="10"/>
      <c r="O647" s="10"/>
      <c r="P647" s="10"/>
      <c r="Q647" s="10"/>
      <c r="R647" s="10"/>
    </row>
    <row r="648" spans="13:18" x14ac:dyDescent="0.3">
      <c r="M648" s="10"/>
      <c r="N648" s="10"/>
      <c r="O648" s="10"/>
      <c r="P648" s="10"/>
      <c r="Q648" s="10"/>
      <c r="R648" s="10"/>
    </row>
    <row r="649" spans="13:18" x14ac:dyDescent="0.3">
      <c r="M649" s="10"/>
      <c r="N649" s="10"/>
      <c r="O649" s="10"/>
      <c r="P649" s="10"/>
      <c r="Q649" s="10"/>
      <c r="R649" s="10"/>
    </row>
    <row r="650" spans="13:18" x14ac:dyDescent="0.3">
      <c r="M650" s="10"/>
      <c r="N650" s="10"/>
      <c r="O650" s="10"/>
      <c r="P650" s="10"/>
      <c r="Q650" s="10"/>
      <c r="R650" s="10"/>
    </row>
    <row r="651" spans="13:18" x14ac:dyDescent="0.3">
      <c r="M651" s="10"/>
      <c r="N651" s="10"/>
      <c r="O651" s="10"/>
      <c r="P651" s="10"/>
      <c r="Q651" s="10"/>
      <c r="R651" s="10"/>
    </row>
    <row r="652" spans="13:18" x14ac:dyDescent="0.3">
      <c r="M652" s="10"/>
      <c r="N652" s="10"/>
      <c r="O652" s="10"/>
      <c r="P652" s="10"/>
      <c r="Q652" s="10"/>
      <c r="R652" s="10"/>
    </row>
    <row r="653" spans="13:18" x14ac:dyDescent="0.3">
      <c r="M653" s="10"/>
      <c r="N653" s="10"/>
      <c r="O653" s="10"/>
      <c r="P653" s="10"/>
      <c r="Q653" s="10"/>
      <c r="R653" s="10"/>
    </row>
    <row r="654" spans="13:18" x14ac:dyDescent="0.3">
      <c r="M654" s="10"/>
      <c r="N654" s="10"/>
      <c r="O654" s="10"/>
      <c r="P654" s="10"/>
      <c r="Q654" s="10"/>
      <c r="R654" s="10"/>
    </row>
    <row r="655" spans="13:18" x14ac:dyDescent="0.3">
      <c r="M655" s="10"/>
      <c r="N655" s="10"/>
      <c r="O655" s="10"/>
      <c r="P655" s="10"/>
      <c r="Q655" s="10"/>
      <c r="R655" s="10"/>
    </row>
    <row r="656" spans="13:18" x14ac:dyDescent="0.3">
      <c r="M656" s="10"/>
      <c r="N656" s="10"/>
      <c r="O656" s="10"/>
      <c r="P656" s="10"/>
      <c r="Q656" s="10"/>
      <c r="R656" s="10"/>
    </row>
    <row r="657" spans="13:18" x14ac:dyDescent="0.3">
      <c r="M657" s="10"/>
      <c r="N657" s="10"/>
      <c r="O657" s="10"/>
      <c r="P657" s="10"/>
      <c r="Q657" s="10"/>
      <c r="R657" s="10"/>
    </row>
    <row r="658" spans="13:18" x14ac:dyDescent="0.3">
      <c r="M658" s="10"/>
      <c r="N658" s="10"/>
      <c r="O658" s="10"/>
      <c r="P658" s="10"/>
      <c r="Q658" s="10"/>
      <c r="R658" s="10"/>
    </row>
    <row r="659" spans="13:18" x14ac:dyDescent="0.3">
      <c r="M659" s="10"/>
      <c r="N659" s="10"/>
      <c r="O659" s="10"/>
      <c r="P659" s="10"/>
      <c r="Q659" s="10"/>
      <c r="R659" s="10"/>
    </row>
    <row r="660" spans="13:18" x14ac:dyDescent="0.3">
      <c r="M660" s="10"/>
      <c r="N660" s="10"/>
      <c r="O660" s="10"/>
      <c r="P660" s="10"/>
      <c r="Q660" s="10"/>
      <c r="R660" s="10"/>
    </row>
    <row r="661" spans="13:18" x14ac:dyDescent="0.3">
      <c r="M661" s="10"/>
      <c r="N661" s="10"/>
      <c r="O661" s="10"/>
      <c r="P661" s="10"/>
      <c r="Q661" s="10"/>
      <c r="R661" s="10"/>
    </row>
    <row r="662" spans="13:18" x14ac:dyDescent="0.3">
      <c r="M662" s="10"/>
      <c r="N662" s="10"/>
      <c r="O662" s="10"/>
      <c r="P662" s="10"/>
      <c r="Q662" s="10"/>
      <c r="R662" s="10"/>
    </row>
    <row r="663" spans="13:18" x14ac:dyDescent="0.3">
      <c r="M663" s="10"/>
      <c r="N663" s="10"/>
      <c r="O663" s="10"/>
      <c r="P663" s="10"/>
      <c r="Q663" s="10"/>
      <c r="R663" s="10"/>
    </row>
    <row r="664" spans="13:18" x14ac:dyDescent="0.3">
      <c r="M664" s="10"/>
      <c r="N664" s="10"/>
      <c r="O664" s="10"/>
      <c r="P664" s="10"/>
      <c r="Q664" s="10"/>
      <c r="R664" s="10"/>
    </row>
    <row r="665" spans="13:18" x14ac:dyDescent="0.3">
      <c r="M665" s="10"/>
      <c r="N665" s="10"/>
      <c r="O665" s="10"/>
      <c r="P665" s="10"/>
      <c r="Q665" s="10"/>
      <c r="R665" s="10"/>
    </row>
    <row r="666" spans="13:18" x14ac:dyDescent="0.3">
      <c r="M666" s="10"/>
      <c r="N666" s="10"/>
      <c r="O666" s="10"/>
      <c r="P666" s="10"/>
      <c r="Q666" s="10"/>
      <c r="R666" s="10"/>
    </row>
    <row r="667" spans="13:18" x14ac:dyDescent="0.3">
      <c r="M667" s="10"/>
      <c r="N667" s="10"/>
      <c r="O667" s="10"/>
      <c r="P667" s="10"/>
      <c r="Q667" s="10"/>
      <c r="R667" s="10"/>
    </row>
    <row r="668" spans="13:18" x14ac:dyDescent="0.3">
      <c r="M668" s="10"/>
      <c r="N668" s="10"/>
      <c r="O668" s="10"/>
      <c r="P668" s="10"/>
      <c r="Q668" s="10"/>
      <c r="R668" s="10"/>
    </row>
    <row r="669" spans="13:18" x14ac:dyDescent="0.3">
      <c r="M669" s="10"/>
      <c r="N669" s="10"/>
      <c r="O669" s="10"/>
      <c r="P669" s="10"/>
      <c r="Q669" s="10"/>
      <c r="R669" s="10"/>
    </row>
    <row r="670" spans="13:18" x14ac:dyDescent="0.3">
      <c r="M670" s="10"/>
      <c r="N670" s="10"/>
      <c r="O670" s="10"/>
      <c r="P670" s="10"/>
      <c r="Q670" s="10"/>
      <c r="R670" s="10"/>
    </row>
    <row r="671" spans="13:18" x14ac:dyDescent="0.3">
      <c r="M671" s="10"/>
      <c r="N671" s="10"/>
      <c r="O671" s="10"/>
      <c r="P671" s="10"/>
      <c r="Q671" s="10"/>
      <c r="R671" s="10"/>
    </row>
    <row r="672" spans="13:18" x14ac:dyDescent="0.3">
      <c r="M672" s="10"/>
      <c r="N672" s="10"/>
      <c r="O672" s="10"/>
      <c r="P672" s="10"/>
      <c r="Q672" s="10"/>
      <c r="R672" s="10"/>
    </row>
    <row r="673" spans="13:18" x14ac:dyDescent="0.3">
      <c r="M673" s="10"/>
      <c r="N673" s="10"/>
      <c r="O673" s="10"/>
      <c r="P673" s="10"/>
      <c r="Q673" s="10"/>
      <c r="R673" s="10"/>
    </row>
    <row r="674" spans="13:18" x14ac:dyDescent="0.3">
      <c r="M674" s="10"/>
      <c r="N674" s="10"/>
      <c r="O674" s="10"/>
      <c r="P674" s="10"/>
      <c r="Q674" s="10"/>
      <c r="R674" s="10"/>
    </row>
    <row r="675" spans="13:18" x14ac:dyDescent="0.3">
      <c r="M675" s="10"/>
      <c r="N675" s="10"/>
      <c r="O675" s="10"/>
      <c r="P675" s="10"/>
      <c r="Q675" s="10"/>
      <c r="R675" s="10"/>
    </row>
    <row r="676" spans="13:18" x14ac:dyDescent="0.3">
      <c r="M676" s="10"/>
      <c r="N676" s="10"/>
      <c r="O676" s="10"/>
      <c r="P676" s="10"/>
      <c r="Q676" s="10"/>
      <c r="R676" s="10"/>
    </row>
    <row r="677" spans="13:18" x14ac:dyDescent="0.3">
      <c r="M677" s="10"/>
      <c r="N677" s="10"/>
      <c r="O677" s="10"/>
      <c r="P677" s="10"/>
      <c r="Q677" s="10"/>
      <c r="R677" s="10"/>
    </row>
    <row r="678" spans="13:18" x14ac:dyDescent="0.3">
      <c r="M678" s="10"/>
      <c r="N678" s="10"/>
      <c r="O678" s="10"/>
      <c r="P678" s="10"/>
      <c r="Q678" s="10"/>
      <c r="R678" s="10"/>
    </row>
    <row r="679" spans="13:18" x14ac:dyDescent="0.3">
      <c r="M679" s="10"/>
      <c r="N679" s="10"/>
      <c r="O679" s="10"/>
      <c r="P679" s="10"/>
      <c r="Q679" s="10"/>
      <c r="R679" s="10"/>
    </row>
    <row r="680" spans="13:18" x14ac:dyDescent="0.3">
      <c r="M680" s="10"/>
      <c r="N680" s="10"/>
      <c r="O680" s="10"/>
      <c r="P680" s="10"/>
      <c r="Q680" s="10"/>
      <c r="R680" s="10"/>
    </row>
    <row r="681" spans="13:18" x14ac:dyDescent="0.3">
      <c r="M681" s="10"/>
      <c r="N681" s="10"/>
      <c r="O681" s="10"/>
      <c r="P681" s="10"/>
      <c r="Q681" s="10"/>
      <c r="R681" s="10"/>
    </row>
    <row r="682" spans="13:18" x14ac:dyDescent="0.3">
      <c r="M682" s="10"/>
      <c r="N682" s="10"/>
      <c r="O682" s="10"/>
      <c r="P682" s="10"/>
      <c r="Q682" s="10"/>
      <c r="R682" s="10"/>
    </row>
    <row r="683" spans="13:18" x14ac:dyDescent="0.3">
      <c r="M683" s="10"/>
      <c r="N683" s="10"/>
      <c r="O683" s="10"/>
      <c r="P683" s="10"/>
      <c r="Q683" s="10"/>
      <c r="R683" s="10"/>
    </row>
    <row r="684" spans="13:18" x14ac:dyDescent="0.3">
      <c r="M684" s="10"/>
      <c r="N684" s="10"/>
      <c r="O684" s="10"/>
      <c r="P684" s="10"/>
      <c r="Q684" s="10"/>
      <c r="R684" s="10"/>
    </row>
    <row r="685" spans="13:18" x14ac:dyDescent="0.3">
      <c r="M685" s="10"/>
      <c r="N685" s="10"/>
      <c r="O685" s="10"/>
      <c r="P685" s="10"/>
      <c r="Q685" s="10"/>
      <c r="R685" s="10"/>
    </row>
    <row r="686" spans="13:18" x14ac:dyDescent="0.3">
      <c r="M686" s="10"/>
      <c r="N686" s="10"/>
      <c r="O686" s="10"/>
      <c r="P686" s="10"/>
      <c r="Q686" s="10"/>
      <c r="R686" s="10"/>
    </row>
    <row r="687" spans="13:18" x14ac:dyDescent="0.3">
      <c r="M687" s="10"/>
      <c r="N687" s="10"/>
      <c r="O687" s="10"/>
      <c r="P687" s="10"/>
      <c r="Q687" s="10"/>
      <c r="R687" s="10"/>
    </row>
    <row r="688" spans="13:18" x14ac:dyDescent="0.3">
      <c r="M688" s="10"/>
      <c r="N688" s="10"/>
      <c r="O688" s="10"/>
      <c r="P688" s="10"/>
      <c r="Q688" s="10"/>
      <c r="R688" s="10"/>
    </row>
    <row r="689" spans="13:18" x14ac:dyDescent="0.3">
      <c r="M689" s="10"/>
      <c r="N689" s="10"/>
      <c r="O689" s="10"/>
      <c r="P689" s="10"/>
      <c r="Q689" s="10"/>
      <c r="R689" s="10"/>
    </row>
    <row r="690" spans="13:18" x14ac:dyDescent="0.3">
      <c r="M690" s="10"/>
      <c r="N690" s="10"/>
      <c r="O690" s="10"/>
      <c r="P690" s="10"/>
      <c r="Q690" s="10"/>
      <c r="R690" s="10"/>
    </row>
    <row r="691" spans="13:18" x14ac:dyDescent="0.3">
      <c r="M691" s="10"/>
      <c r="N691" s="10"/>
      <c r="O691" s="10"/>
      <c r="P691" s="10"/>
      <c r="Q691" s="10"/>
      <c r="R691" s="10"/>
    </row>
    <row r="692" spans="13:18" x14ac:dyDescent="0.3">
      <c r="M692" s="10"/>
      <c r="N692" s="10"/>
      <c r="O692" s="10"/>
      <c r="P692" s="10"/>
      <c r="Q692" s="10"/>
      <c r="R692" s="10"/>
    </row>
    <row r="693" spans="13:18" x14ac:dyDescent="0.3">
      <c r="M693" s="10"/>
      <c r="N693" s="10"/>
      <c r="O693" s="10"/>
      <c r="P693" s="10"/>
      <c r="Q693" s="10"/>
      <c r="R693" s="10"/>
    </row>
    <row r="694" spans="13:18" x14ac:dyDescent="0.3">
      <c r="M694" s="10"/>
      <c r="N694" s="10"/>
      <c r="O694" s="10"/>
      <c r="P694" s="10"/>
      <c r="Q694" s="10"/>
      <c r="R694" s="10"/>
    </row>
    <row r="695" spans="13:18" x14ac:dyDescent="0.3">
      <c r="M695" s="10"/>
      <c r="N695" s="10"/>
      <c r="O695" s="10"/>
      <c r="P695" s="10"/>
      <c r="Q695" s="10"/>
      <c r="R695" s="10"/>
    </row>
    <row r="696" spans="13:18" x14ac:dyDescent="0.3">
      <c r="M696" s="10"/>
      <c r="N696" s="10"/>
      <c r="O696" s="10"/>
      <c r="P696" s="10"/>
      <c r="Q696" s="10"/>
      <c r="R696" s="10"/>
    </row>
    <row r="697" spans="13:18" x14ac:dyDescent="0.3">
      <c r="M697" s="10"/>
      <c r="N697" s="10"/>
      <c r="O697" s="10"/>
      <c r="P697" s="10"/>
      <c r="Q697" s="10"/>
      <c r="R697" s="10"/>
    </row>
    <row r="698" spans="13:18" x14ac:dyDescent="0.3">
      <c r="M698" s="10"/>
      <c r="N698" s="10"/>
      <c r="O698" s="10"/>
      <c r="P698" s="10"/>
      <c r="Q698" s="10"/>
      <c r="R698" s="10"/>
    </row>
    <row r="699" spans="13:18" x14ac:dyDescent="0.3">
      <c r="M699" s="10"/>
      <c r="N699" s="10"/>
      <c r="O699" s="10"/>
      <c r="P699" s="10"/>
      <c r="Q699" s="10"/>
      <c r="R699" s="10"/>
    </row>
    <row r="700" spans="13:18" x14ac:dyDescent="0.3">
      <c r="M700" s="10"/>
      <c r="N700" s="10"/>
      <c r="O700" s="10"/>
      <c r="P700" s="10"/>
      <c r="Q700" s="10"/>
      <c r="R700" s="10"/>
    </row>
    <row r="701" spans="13:18" x14ac:dyDescent="0.3">
      <c r="M701" s="10"/>
      <c r="N701" s="10"/>
      <c r="O701" s="10"/>
      <c r="P701" s="10"/>
      <c r="Q701" s="10"/>
      <c r="R701" s="10"/>
    </row>
    <row r="702" spans="13:18" x14ac:dyDescent="0.3">
      <c r="M702" s="10"/>
      <c r="N702" s="10"/>
      <c r="O702" s="10"/>
      <c r="P702" s="10"/>
      <c r="Q702" s="10"/>
      <c r="R702" s="10"/>
    </row>
    <row r="703" spans="13:18" x14ac:dyDescent="0.3">
      <c r="M703" s="10"/>
      <c r="N703" s="10"/>
      <c r="O703" s="10"/>
      <c r="P703" s="10"/>
      <c r="Q703" s="10"/>
      <c r="R703" s="10"/>
    </row>
    <row r="704" spans="13:18" x14ac:dyDescent="0.3">
      <c r="M704" s="10"/>
      <c r="N704" s="10"/>
      <c r="O704" s="10"/>
      <c r="P704" s="10"/>
      <c r="Q704" s="10"/>
      <c r="R704" s="10"/>
    </row>
    <row r="705" spans="13:18" x14ac:dyDescent="0.3">
      <c r="M705" s="10"/>
      <c r="N705" s="10"/>
      <c r="O705" s="10"/>
      <c r="P705" s="10"/>
      <c r="Q705" s="10"/>
      <c r="R705" s="10"/>
    </row>
    <row r="706" spans="13:18" x14ac:dyDescent="0.3">
      <c r="M706" s="10"/>
      <c r="N706" s="10"/>
      <c r="O706" s="10"/>
      <c r="P706" s="10"/>
      <c r="Q706" s="10"/>
      <c r="R706" s="10"/>
    </row>
    <row r="707" spans="13:18" x14ac:dyDescent="0.3">
      <c r="M707" s="10"/>
      <c r="N707" s="10"/>
      <c r="O707" s="10"/>
      <c r="P707" s="10"/>
      <c r="Q707" s="10"/>
      <c r="R707" s="10"/>
    </row>
    <row r="708" spans="13:18" x14ac:dyDescent="0.3">
      <c r="M708" s="10"/>
      <c r="N708" s="10"/>
      <c r="O708" s="10"/>
      <c r="P708" s="10"/>
      <c r="Q708" s="10"/>
      <c r="R708" s="10"/>
    </row>
    <row r="709" spans="13:18" x14ac:dyDescent="0.3">
      <c r="M709" s="10"/>
      <c r="N709" s="10"/>
      <c r="O709" s="10"/>
      <c r="P709" s="10"/>
      <c r="Q709" s="10"/>
      <c r="R709" s="10"/>
    </row>
    <row r="710" spans="13:18" x14ac:dyDescent="0.3">
      <c r="M710" s="10"/>
      <c r="N710" s="10"/>
      <c r="O710" s="10"/>
      <c r="P710" s="10"/>
      <c r="Q710" s="10"/>
      <c r="R710" s="10"/>
    </row>
    <row r="711" spans="13:18" x14ac:dyDescent="0.3">
      <c r="M711" s="10"/>
      <c r="N711" s="10"/>
      <c r="O711" s="10"/>
      <c r="P711" s="10"/>
      <c r="Q711" s="10"/>
      <c r="R711" s="10"/>
    </row>
    <row r="712" spans="13:18" x14ac:dyDescent="0.3">
      <c r="M712" s="10"/>
      <c r="N712" s="10"/>
      <c r="O712" s="10"/>
      <c r="P712" s="10"/>
      <c r="Q712" s="10"/>
      <c r="R712" s="10"/>
    </row>
    <row r="713" spans="13:18" x14ac:dyDescent="0.3">
      <c r="M713" s="10"/>
      <c r="N713" s="10"/>
      <c r="O713" s="10"/>
      <c r="P713" s="10"/>
      <c r="Q713" s="10"/>
      <c r="R713" s="10"/>
    </row>
    <row r="714" spans="13:18" x14ac:dyDescent="0.3">
      <c r="M714" s="10"/>
      <c r="N714" s="10"/>
      <c r="O714" s="10"/>
      <c r="P714" s="10"/>
      <c r="Q714" s="10"/>
      <c r="R714" s="10"/>
    </row>
    <row r="715" spans="13:18" x14ac:dyDescent="0.3">
      <c r="M715" s="10"/>
      <c r="N715" s="10"/>
      <c r="O715" s="10"/>
      <c r="P715" s="10"/>
      <c r="Q715" s="10"/>
      <c r="R715" s="10"/>
    </row>
    <row r="716" spans="13:18" x14ac:dyDescent="0.3">
      <c r="M716" s="10"/>
      <c r="N716" s="10"/>
      <c r="O716" s="10"/>
      <c r="P716" s="10"/>
      <c r="Q716" s="10"/>
      <c r="R716" s="10"/>
    </row>
    <row r="717" spans="13:18" x14ac:dyDescent="0.3">
      <c r="M717" s="10"/>
      <c r="N717" s="10"/>
      <c r="O717" s="10"/>
      <c r="P717" s="10"/>
      <c r="Q717" s="10"/>
      <c r="R717" s="10"/>
    </row>
    <row r="718" spans="13:18" x14ac:dyDescent="0.3">
      <c r="M718" s="10"/>
      <c r="N718" s="10"/>
      <c r="O718" s="10"/>
      <c r="P718" s="10"/>
      <c r="Q718" s="10"/>
      <c r="R718" s="10"/>
    </row>
    <row r="719" spans="13:18" x14ac:dyDescent="0.3">
      <c r="M719" s="10"/>
      <c r="N719" s="10"/>
      <c r="O719" s="10"/>
      <c r="P719" s="10"/>
      <c r="Q719" s="10"/>
      <c r="R719" s="10"/>
    </row>
    <row r="720" spans="13:18" x14ac:dyDescent="0.3">
      <c r="M720" s="10"/>
      <c r="N720" s="10"/>
      <c r="O720" s="10"/>
      <c r="P720" s="10"/>
      <c r="Q720" s="10"/>
      <c r="R720" s="10"/>
    </row>
    <row r="721" spans="13:18" x14ac:dyDescent="0.3">
      <c r="M721" s="10"/>
      <c r="N721" s="10"/>
      <c r="O721" s="10"/>
      <c r="P721" s="10"/>
      <c r="Q721" s="10"/>
      <c r="R721" s="10"/>
    </row>
    <row r="722" spans="13:18" x14ac:dyDescent="0.3">
      <c r="M722" s="10"/>
      <c r="N722" s="10"/>
      <c r="O722" s="10"/>
      <c r="P722" s="10"/>
      <c r="Q722" s="10"/>
      <c r="R722" s="10"/>
    </row>
    <row r="723" spans="13:18" x14ac:dyDescent="0.3">
      <c r="M723" s="10"/>
      <c r="N723" s="10"/>
      <c r="O723" s="10"/>
      <c r="P723" s="10"/>
      <c r="Q723" s="10"/>
      <c r="R723" s="10"/>
    </row>
    <row r="724" spans="13:18" x14ac:dyDescent="0.3">
      <c r="M724" s="10"/>
      <c r="N724" s="10"/>
      <c r="O724" s="10"/>
      <c r="P724" s="10"/>
      <c r="Q724" s="10"/>
      <c r="R724" s="10"/>
    </row>
    <row r="725" spans="13:18" x14ac:dyDescent="0.3">
      <c r="M725" s="10"/>
      <c r="N725" s="10"/>
      <c r="O725" s="10"/>
      <c r="P725" s="10"/>
      <c r="Q725" s="10"/>
      <c r="R725" s="10"/>
    </row>
    <row r="726" spans="13:18" x14ac:dyDescent="0.3">
      <c r="M726" s="10"/>
      <c r="N726" s="10"/>
      <c r="O726" s="10"/>
      <c r="P726" s="10"/>
      <c r="Q726" s="10"/>
      <c r="R726" s="10"/>
    </row>
    <row r="727" spans="13:18" x14ac:dyDescent="0.3">
      <c r="M727" s="10"/>
      <c r="N727" s="10"/>
      <c r="O727" s="10"/>
      <c r="P727" s="10"/>
      <c r="Q727" s="10"/>
      <c r="R727" s="10"/>
    </row>
    <row r="728" spans="13:18" x14ac:dyDescent="0.3">
      <c r="M728" s="10"/>
      <c r="N728" s="10"/>
      <c r="O728" s="10"/>
      <c r="P728" s="10"/>
      <c r="Q728" s="10"/>
      <c r="R728" s="10"/>
    </row>
    <row r="729" spans="13:18" x14ac:dyDescent="0.3">
      <c r="M729" s="10"/>
      <c r="N729" s="10"/>
      <c r="O729" s="10"/>
      <c r="P729" s="10"/>
      <c r="Q729" s="10"/>
      <c r="R729" s="10"/>
    </row>
    <row r="730" spans="13:18" x14ac:dyDescent="0.3">
      <c r="M730" s="10"/>
      <c r="N730" s="10"/>
      <c r="O730" s="10"/>
      <c r="P730" s="10"/>
      <c r="Q730" s="10"/>
      <c r="R730" s="10"/>
    </row>
    <row r="731" spans="13:18" x14ac:dyDescent="0.3">
      <c r="M731" s="10"/>
      <c r="N731" s="10"/>
      <c r="O731" s="10"/>
      <c r="P731" s="10"/>
      <c r="Q731" s="10"/>
      <c r="R731" s="10"/>
    </row>
    <row r="732" spans="13:18" x14ac:dyDescent="0.3">
      <c r="M732" s="10"/>
      <c r="N732" s="10"/>
      <c r="O732" s="10"/>
      <c r="P732" s="10"/>
      <c r="Q732" s="10"/>
      <c r="R732" s="10"/>
    </row>
    <row r="733" spans="13:18" x14ac:dyDescent="0.3">
      <c r="M733" s="10"/>
      <c r="N733" s="10"/>
      <c r="O733" s="10"/>
      <c r="P733" s="10"/>
      <c r="Q733" s="10"/>
      <c r="R733" s="10"/>
    </row>
    <row r="734" spans="13:18" x14ac:dyDescent="0.3">
      <c r="M734" s="10"/>
      <c r="N734" s="10"/>
      <c r="O734" s="10"/>
      <c r="P734" s="10"/>
      <c r="Q734" s="10"/>
      <c r="R734" s="10"/>
    </row>
    <row r="735" spans="13:18" x14ac:dyDescent="0.3">
      <c r="M735" s="10"/>
      <c r="N735" s="10"/>
      <c r="O735" s="10"/>
      <c r="P735" s="10"/>
      <c r="Q735" s="10"/>
      <c r="R735" s="10"/>
    </row>
    <row r="736" spans="13:18" x14ac:dyDescent="0.3">
      <c r="M736" s="10"/>
      <c r="N736" s="10"/>
      <c r="O736" s="10"/>
      <c r="P736" s="10"/>
      <c r="Q736" s="10"/>
      <c r="R736" s="10"/>
    </row>
    <row r="737" spans="13:18" x14ac:dyDescent="0.3">
      <c r="M737" s="10"/>
      <c r="N737" s="10"/>
      <c r="O737" s="10"/>
      <c r="P737" s="10"/>
      <c r="Q737" s="10"/>
      <c r="R737" s="10"/>
    </row>
    <row r="738" spans="13:18" x14ac:dyDescent="0.3">
      <c r="M738" s="10"/>
      <c r="N738" s="10"/>
      <c r="O738" s="10"/>
      <c r="P738" s="10"/>
      <c r="Q738" s="10"/>
      <c r="R738" s="10"/>
    </row>
    <row r="739" spans="13:18" x14ac:dyDescent="0.3">
      <c r="M739" s="10"/>
      <c r="N739" s="10"/>
      <c r="O739" s="10"/>
      <c r="P739" s="10"/>
      <c r="Q739" s="10"/>
      <c r="R739" s="10"/>
    </row>
    <row r="740" spans="13:18" x14ac:dyDescent="0.3">
      <c r="M740" s="10"/>
      <c r="N740" s="10"/>
      <c r="O740" s="10"/>
      <c r="P740" s="10"/>
      <c r="Q740" s="10"/>
      <c r="R740" s="10"/>
    </row>
    <row r="741" spans="13:18" x14ac:dyDescent="0.3">
      <c r="M741" s="10"/>
      <c r="N741" s="10"/>
      <c r="O741" s="10"/>
      <c r="P741" s="10"/>
      <c r="Q741" s="10"/>
      <c r="R741" s="10"/>
    </row>
    <row r="742" spans="13:18" x14ac:dyDescent="0.3">
      <c r="M742" s="10"/>
      <c r="N742" s="10"/>
      <c r="O742" s="10"/>
      <c r="P742" s="10"/>
      <c r="Q742" s="10"/>
      <c r="R742" s="10"/>
    </row>
    <row r="743" spans="13:18" x14ac:dyDescent="0.3">
      <c r="M743" s="10"/>
      <c r="N743" s="10"/>
      <c r="O743" s="10"/>
      <c r="P743" s="10"/>
      <c r="Q743" s="10"/>
      <c r="R743" s="10"/>
    </row>
    <row r="744" spans="13:18" x14ac:dyDescent="0.3">
      <c r="M744" s="10"/>
      <c r="N744" s="10"/>
      <c r="O744" s="10"/>
      <c r="P744" s="10"/>
      <c r="Q744" s="10"/>
      <c r="R744" s="10"/>
    </row>
    <row r="745" spans="13:18" x14ac:dyDescent="0.3">
      <c r="M745" s="10"/>
      <c r="N745" s="10"/>
      <c r="O745" s="10"/>
      <c r="P745" s="10"/>
      <c r="Q745" s="10"/>
      <c r="R745" s="10"/>
    </row>
    <row r="746" spans="13:18" x14ac:dyDescent="0.3">
      <c r="M746" s="10"/>
      <c r="N746" s="10"/>
      <c r="O746" s="10"/>
      <c r="P746" s="10"/>
      <c r="Q746" s="10"/>
      <c r="R746" s="10"/>
    </row>
    <row r="747" spans="13:18" x14ac:dyDescent="0.3">
      <c r="M747" s="10"/>
      <c r="N747" s="10"/>
      <c r="O747" s="10"/>
      <c r="P747" s="10"/>
      <c r="Q747" s="10"/>
      <c r="R747" s="10"/>
    </row>
    <row r="748" spans="13:18" x14ac:dyDescent="0.3">
      <c r="M748" s="10"/>
      <c r="N748" s="10"/>
      <c r="O748" s="10"/>
      <c r="P748" s="10"/>
      <c r="Q748" s="10"/>
      <c r="R748" s="10"/>
    </row>
    <row r="749" spans="13:18" x14ac:dyDescent="0.3">
      <c r="M749" s="10"/>
      <c r="N749" s="10"/>
      <c r="O749" s="10"/>
      <c r="P749" s="10"/>
      <c r="Q749" s="10"/>
      <c r="R749" s="10"/>
    </row>
    <row r="750" spans="13:18" x14ac:dyDescent="0.3">
      <c r="M750" s="10"/>
      <c r="N750" s="10"/>
      <c r="O750" s="10"/>
      <c r="P750" s="10"/>
      <c r="Q750" s="10"/>
      <c r="R750" s="10"/>
    </row>
    <row r="751" spans="13:18" x14ac:dyDescent="0.3">
      <c r="M751" s="10"/>
      <c r="N751" s="10"/>
      <c r="O751" s="10"/>
      <c r="P751" s="10"/>
      <c r="Q751" s="10"/>
      <c r="R751" s="10"/>
    </row>
    <row r="752" spans="13:18" x14ac:dyDescent="0.3">
      <c r="M752" s="10"/>
      <c r="N752" s="10"/>
      <c r="O752" s="10"/>
      <c r="P752" s="10"/>
      <c r="Q752" s="10"/>
      <c r="R752" s="10"/>
    </row>
    <row r="753" spans="13:18" x14ac:dyDescent="0.3">
      <c r="M753" s="10"/>
      <c r="N753" s="10"/>
      <c r="O753" s="10"/>
      <c r="P753" s="10"/>
      <c r="Q753" s="10"/>
      <c r="R753" s="10"/>
    </row>
    <row r="754" spans="13:18" x14ac:dyDescent="0.3">
      <c r="M754" s="10"/>
      <c r="N754" s="10"/>
      <c r="O754" s="10"/>
      <c r="P754" s="10"/>
      <c r="Q754" s="10"/>
      <c r="R754" s="10"/>
    </row>
    <row r="755" spans="13:18" x14ac:dyDescent="0.3">
      <c r="M755" s="10"/>
      <c r="N755" s="10"/>
      <c r="O755" s="10"/>
      <c r="P755" s="10"/>
      <c r="Q755" s="10"/>
      <c r="R755" s="10"/>
    </row>
    <row r="756" spans="13:18" x14ac:dyDescent="0.3">
      <c r="M756" s="10"/>
      <c r="N756" s="10"/>
      <c r="O756" s="10"/>
      <c r="P756" s="10"/>
      <c r="Q756" s="10"/>
      <c r="R756" s="10"/>
    </row>
    <row r="757" spans="13:18" x14ac:dyDescent="0.3">
      <c r="M757" s="10"/>
      <c r="N757" s="10"/>
      <c r="O757" s="10"/>
      <c r="P757" s="10"/>
      <c r="Q757" s="10"/>
      <c r="R757" s="10"/>
    </row>
    <row r="758" spans="13:18" x14ac:dyDescent="0.3">
      <c r="M758" s="10"/>
      <c r="N758" s="10"/>
      <c r="O758" s="10"/>
      <c r="P758" s="10"/>
      <c r="Q758" s="10"/>
      <c r="R758" s="10"/>
    </row>
    <row r="759" spans="13:18" x14ac:dyDescent="0.3">
      <c r="M759" s="10"/>
      <c r="N759" s="10"/>
      <c r="O759" s="10"/>
      <c r="P759" s="10"/>
      <c r="Q759" s="10"/>
      <c r="R759" s="10"/>
    </row>
    <row r="760" spans="13:18" x14ac:dyDescent="0.3">
      <c r="M760" s="10"/>
      <c r="N760" s="10"/>
      <c r="O760" s="10"/>
      <c r="P760" s="10"/>
      <c r="Q760" s="10"/>
      <c r="R760" s="10"/>
    </row>
    <row r="761" spans="13:18" x14ac:dyDescent="0.3">
      <c r="M761" s="10"/>
      <c r="N761" s="10"/>
      <c r="O761" s="10"/>
      <c r="P761" s="10"/>
      <c r="Q761" s="10"/>
      <c r="R761" s="10"/>
    </row>
    <row r="762" spans="13:18" x14ac:dyDescent="0.3">
      <c r="M762" s="10"/>
      <c r="N762" s="10"/>
      <c r="O762" s="10"/>
      <c r="P762" s="10"/>
      <c r="Q762" s="10"/>
      <c r="R762" s="10"/>
    </row>
    <row r="763" spans="13:18" x14ac:dyDescent="0.3">
      <c r="M763" s="10"/>
      <c r="N763" s="10"/>
      <c r="O763" s="10"/>
      <c r="P763" s="10"/>
      <c r="Q763" s="10"/>
      <c r="R763" s="10"/>
    </row>
    <row r="764" spans="13:18" x14ac:dyDescent="0.3">
      <c r="M764" s="10"/>
      <c r="N764" s="10"/>
      <c r="O764" s="10"/>
      <c r="P764" s="10"/>
      <c r="Q764" s="10"/>
      <c r="R764" s="10"/>
    </row>
    <row r="765" spans="13:18" x14ac:dyDescent="0.3">
      <c r="M765" s="10"/>
      <c r="N765" s="10"/>
      <c r="O765" s="10"/>
      <c r="P765" s="10"/>
      <c r="Q765" s="10"/>
      <c r="R765" s="10"/>
    </row>
    <row r="766" spans="13:18" x14ac:dyDescent="0.3">
      <c r="M766" s="10"/>
      <c r="N766" s="10"/>
      <c r="O766" s="10"/>
      <c r="P766" s="10"/>
      <c r="Q766" s="10"/>
      <c r="R766" s="10"/>
    </row>
    <row r="767" spans="13:18" x14ac:dyDescent="0.3">
      <c r="M767" s="10"/>
      <c r="N767" s="10"/>
      <c r="O767" s="10"/>
      <c r="P767" s="10"/>
      <c r="Q767" s="10"/>
      <c r="R767" s="10"/>
    </row>
    <row r="768" spans="13:18" x14ac:dyDescent="0.3">
      <c r="M768" s="10"/>
      <c r="N768" s="10"/>
      <c r="O768" s="10"/>
      <c r="P768" s="10"/>
      <c r="Q768" s="10"/>
      <c r="R768" s="10"/>
    </row>
    <row r="769" spans="13:18" x14ac:dyDescent="0.3">
      <c r="M769" s="10"/>
      <c r="N769" s="10"/>
      <c r="O769" s="10"/>
      <c r="P769" s="10"/>
      <c r="Q769" s="10"/>
      <c r="R769" s="10"/>
    </row>
    <row r="770" spans="13:18" x14ac:dyDescent="0.3">
      <c r="M770" s="10"/>
      <c r="N770" s="10"/>
      <c r="O770" s="10"/>
      <c r="P770" s="10"/>
      <c r="Q770" s="10"/>
      <c r="R770" s="10"/>
    </row>
    <row r="771" spans="13:18" x14ac:dyDescent="0.3">
      <c r="M771" s="10"/>
      <c r="N771" s="10"/>
      <c r="O771" s="10"/>
      <c r="P771" s="10"/>
      <c r="Q771" s="10"/>
      <c r="R771" s="10"/>
    </row>
    <row r="772" spans="13:18" x14ac:dyDescent="0.3">
      <c r="M772" s="10"/>
      <c r="N772" s="10"/>
      <c r="O772" s="10"/>
      <c r="P772" s="10"/>
      <c r="Q772" s="10"/>
      <c r="R772" s="10"/>
    </row>
    <row r="773" spans="13:18" x14ac:dyDescent="0.3">
      <c r="M773" s="10"/>
      <c r="N773" s="10"/>
      <c r="O773" s="10"/>
      <c r="P773" s="10"/>
      <c r="Q773" s="10"/>
      <c r="R773" s="10"/>
    </row>
    <row r="774" spans="13:18" x14ac:dyDescent="0.3">
      <c r="M774" s="10"/>
      <c r="N774" s="10"/>
      <c r="O774" s="10"/>
      <c r="P774" s="10"/>
      <c r="Q774" s="10"/>
      <c r="R774" s="10"/>
    </row>
    <row r="775" spans="13:18" x14ac:dyDescent="0.3">
      <c r="M775" s="10"/>
      <c r="N775" s="10"/>
      <c r="O775" s="10"/>
      <c r="P775" s="10"/>
      <c r="Q775" s="10"/>
      <c r="R775" s="10"/>
    </row>
    <row r="776" spans="13:18" x14ac:dyDescent="0.3">
      <c r="M776" s="10"/>
      <c r="N776" s="10"/>
      <c r="O776" s="10"/>
      <c r="P776" s="10"/>
      <c r="Q776" s="10"/>
      <c r="R776" s="10"/>
    </row>
    <row r="777" spans="13:18" x14ac:dyDescent="0.3">
      <c r="M777" s="10"/>
      <c r="N777" s="10"/>
      <c r="O777" s="10"/>
      <c r="P777" s="10"/>
      <c r="Q777" s="10"/>
      <c r="R777" s="10"/>
    </row>
    <row r="778" spans="13:18" x14ac:dyDescent="0.3">
      <c r="M778" s="10"/>
      <c r="N778" s="10"/>
      <c r="O778" s="10"/>
      <c r="P778" s="10"/>
      <c r="Q778" s="10"/>
      <c r="R778" s="10"/>
    </row>
    <row r="779" spans="13:18" x14ac:dyDescent="0.3">
      <c r="M779" s="10"/>
      <c r="N779" s="10"/>
      <c r="O779" s="10"/>
      <c r="P779" s="10"/>
      <c r="Q779" s="10"/>
      <c r="R779" s="10"/>
    </row>
    <row r="780" spans="13:18" x14ac:dyDescent="0.3">
      <c r="M780" s="10"/>
      <c r="N780" s="10"/>
      <c r="O780" s="10"/>
      <c r="P780" s="10"/>
      <c r="Q780" s="10"/>
      <c r="R780" s="10"/>
    </row>
    <row r="781" spans="13:18" x14ac:dyDescent="0.3">
      <c r="M781" s="10"/>
      <c r="N781" s="10"/>
      <c r="O781" s="10"/>
      <c r="P781" s="10"/>
      <c r="Q781" s="10"/>
      <c r="R781" s="10"/>
    </row>
    <row r="782" spans="13:18" x14ac:dyDescent="0.3">
      <c r="M782" s="10"/>
      <c r="N782" s="10"/>
      <c r="O782" s="10"/>
      <c r="P782" s="10"/>
      <c r="Q782" s="10"/>
      <c r="R782" s="10"/>
    </row>
    <row r="783" spans="13:18" x14ac:dyDescent="0.3">
      <c r="M783" s="10"/>
      <c r="N783" s="10"/>
      <c r="O783" s="10"/>
      <c r="P783" s="10"/>
      <c r="Q783" s="10"/>
      <c r="R783" s="10"/>
    </row>
    <row r="784" spans="13:18" x14ac:dyDescent="0.3">
      <c r="M784" s="10"/>
      <c r="N784" s="10"/>
      <c r="O784" s="10"/>
      <c r="P784" s="10"/>
      <c r="Q784" s="10"/>
      <c r="R784" s="10"/>
    </row>
    <row r="785" spans="13:18" x14ac:dyDescent="0.3">
      <c r="M785" s="10"/>
      <c r="N785" s="10"/>
      <c r="O785" s="10"/>
      <c r="P785" s="10"/>
      <c r="Q785" s="10"/>
      <c r="R785" s="10"/>
    </row>
    <row r="786" spans="13:18" x14ac:dyDescent="0.3">
      <c r="M786" s="10"/>
      <c r="N786" s="10"/>
      <c r="O786" s="10"/>
      <c r="P786" s="10"/>
      <c r="Q786" s="10"/>
      <c r="R786" s="10"/>
    </row>
    <row r="787" spans="13:18" x14ac:dyDescent="0.3">
      <c r="M787" s="10"/>
      <c r="N787" s="10"/>
      <c r="O787" s="10"/>
      <c r="P787" s="10"/>
      <c r="Q787" s="10"/>
      <c r="R787" s="10"/>
    </row>
    <row r="788" spans="13:18" x14ac:dyDescent="0.3">
      <c r="M788" s="10"/>
      <c r="N788" s="10"/>
      <c r="O788" s="10"/>
      <c r="P788" s="10"/>
      <c r="Q788" s="10"/>
      <c r="R788" s="10"/>
    </row>
    <row r="789" spans="13:18" x14ac:dyDescent="0.3">
      <c r="M789" s="10"/>
      <c r="N789" s="10"/>
      <c r="O789" s="10"/>
      <c r="P789" s="10"/>
      <c r="Q789" s="10"/>
      <c r="R789" s="10"/>
    </row>
    <row r="790" spans="13:18" x14ac:dyDescent="0.3">
      <c r="M790" s="10"/>
      <c r="N790" s="10"/>
      <c r="O790" s="10"/>
      <c r="P790" s="10"/>
      <c r="Q790" s="10"/>
      <c r="R790" s="10"/>
    </row>
    <row r="791" spans="13:18" x14ac:dyDescent="0.3">
      <c r="M791" s="10"/>
      <c r="N791" s="10"/>
      <c r="O791" s="10"/>
      <c r="P791" s="10"/>
      <c r="Q791" s="10"/>
      <c r="R791" s="10"/>
    </row>
    <row r="792" spans="13:18" x14ac:dyDescent="0.3">
      <c r="M792" s="10"/>
      <c r="N792" s="10"/>
      <c r="O792" s="10"/>
      <c r="P792" s="10"/>
      <c r="Q792" s="10"/>
      <c r="R792" s="10"/>
    </row>
    <row r="793" spans="13:18" x14ac:dyDescent="0.3">
      <c r="M793" s="10"/>
      <c r="N793" s="10"/>
      <c r="O793" s="10"/>
      <c r="P793" s="10"/>
      <c r="Q793" s="10"/>
      <c r="R793" s="10"/>
    </row>
    <row r="794" spans="13:18" x14ac:dyDescent="0.3">
      <c r="M794" s="10"/>
      <c r="N794" s="10"/>
      <c r="O794" s="10"/>
      <c r="P794" s="10"/>
      <c r="Q794" s="10"/>
      <c r="R794" s="10"/>
    </row>
    <row r="795" spans="13:18" x14ac:dyDescent="0.3">
      <c r="M795" s="10"/>
      <c r="N795" s="10"/>
      <c r="O795" s="10"/>
      <c r="P795" s="10"/>
      <c r="Q795" s="10"/>
      <c r="R795" s="10"/>
    </row>
    <row r="796" spans="13:18" x14ac:dyDescent="0.3">
      <c r="M796" s="10"/>
      <c r="N796" s="10"/>
      <c r="O796" s="10"/>
      <c r="P796" s="10"/>
      <c r="Q796" s="10"/>
      <c r="R796" s="10"/>
    </row>
    <row r="797" spans="13:18" x14ac:dyDescent="0.3">
      <c r="M797" s="10"/>
      <c r="N797" s="10"/>
      <c r="O797" s="10"/>
      <c r="P797" s="10"/>
      <c r="Q797" s="10"/>
      <c r="R797" s="10"/>
    </row>
    <row r="798" spans="13:18" x14ac:dyDescent="0.3">
      <c r="M798" s="10"/>
      <c r="N798" s="10"/>
      <c r="O798" s="10"/>
      <c r="P798" s="10"/>
      <c r="Q798" s="10"/>
      <c r="R798" s="10"/>
    </row>
    <row r="799" spans="13:18" x14ac:dyDescent="0.3">
      <c r="M799" s="10"/>
      <c r="N799" s="10"/>
      <c r="O799" s="10"/>
      <c r="P799" s="10"/>
      <c r="Q799" s="10"/>
      <c r="R799" s="10"/>
    </row>
    <row r="800" spans="13:18" x14ac:dyDescent="0.3">
      <c r="M800" s="10"/>
      <c r="N800" s="10"/>
      <c r="O800" s="10"/>
      <c r="P800" s="10"/>
      <c r="Q800" s="10"/>
      <c r="R800" s="10"/>
    </row>
    <row r="801" spans="13:18" x14ac:dyDescent="0.3">
      <c r="M801" s="10"/>
      <c r="N801" s="10"/>
      <c r="O801" s="10"/>
      <c r="P801" s="10"/>
      <c r="Q801" s="10"/>
      <c r="R801" s="10"/>
    </row>
    <row r="802" spans="13:18" x14ac:dyDescent="0.3">
      <c r="M802" s="10"/>
      <c r="N802" s="10"/>
      <c r="O802" s="10"/>
      <c r="P802" s="10"/>
      <c r="Q802" s="10"/>
      <c r="R802" s="10"/>
    </row>
    <row r="803" spans="13:18" x14ac:dyDescent="0.3">
      <c r="M803" s="10"/>
      <c r="N803" s="10"/>
      <c r="O803" s="10"/>
      <c r="P803" s="10"/>
      <c r="Q803" s="10"/>
      <c r="R803" s="10"/>
    </row>
    <row r="804" spans="13:18" x14ac:dyDescent="0.3">
      <c r="M804" s="10"/>
      <c r="N804" s="10"/>
      <c r="O804" s="10"/>
      <c r="P804" s="10"/>
      <c r="Q804" s="10"/>
      <c r="R804" s="10"/>
    </row>
    <row r="805" spans="13:18" x14ac:dyDescent="0.3">
      <c r="M805" s="10"/>
      <c r="N805" s="10"/>
      <c r="O805" s="10"/>
      <c r="P805" s="10"/>
      <c r="Q805" s="10"/>
      <c r="R805" s="10"/>
    </row>
    <row r="806" spans="13:18" x14ac:dyDescent="0.3">
      <c r="M806" s="10"/>
      <c r="N806" s="10"/>
      <c r="O806" s="10"/>
      <c r="P806" s="10"/>
      <c r="Q806" s="10"/>
      <c r="R806" s="10"/>
    </row>
    <row r="807" spans="13:18" x14ac:dyDescent="0.3">
      <c r="M807" s="10"/>
      <c r="N807" s="10"/>
      <c r="O807" s="10"/>
      <c r="P807" s="10"/>
      <c r="Q807" s="10"/>
      <c r="R807" s="10"/>
    </row>
    <row r="808" spans="13:18" x14ac:dyDescent="0.3">
      <c r="M808" s="10"/>
      <c r="N808" s="10"/>
      <c r="O808" s="10"/>
      <c r="P808" s="10"/>
      <c r="Q808" s="10"/>
      <c r="R808" s="10"/>
    </row>
    <row r="809" spans="13:18" x14ac:dyDescent="0.3">
      <c r="M809" s="10"/>
      <c r="N809" s="10"/>
      <c r="O809" s="10"/>
      <c r="P809" s="10"/>
      <c r="Q809" s="10"/>
      <c r="R809" s="10"/>
    </row>
    <row r="810" spans="13:18" x14ac:dyDescent="0.3">
      <c r="M810" s="10"/>
      <c r="N810" s="10"/>
      <c r="O810" s="10"/>
      <c r="P810" s="10"/>
      <c r="Q810" s="10"/>
      <c r="R810" s="10"/>
    </row>
    <row r="811" spans="13:18" x14ac:dyDescent="0.3">
      <c r="M811" s="10"/>
      <c r="N811" s="10"/>
      <c r="O811" s="10"/>
      <c r="P811" s="10"/>
      <c r="Q811" s="10"/>
      <c r="R811" s="10"/>
    </row>
    <row r="812" spans="13:18" x14ac:dyDescent="0.3">
      <c r="M812" s="10"/>
      <c r="N812" s="10"/>
      <c r="O812" s="10"/>
      <c r="P812" s="10"/>
      <c r="Q812" s="10"/>
      <c r="R812" s="10"/>
    </row>
    <row r="813" spans="13:18" x14ac:dyDescent="0.3">
      <c r="M813" s="10"/>
      <c r="N813" s="10"/>
      <c r="O813" s="10"/>
      <c r="P813" s="10"/>
      <c r="Q813" s="10"/>
      <c r="R813" s="10"/>
    </row>
    <row r="814" spans="13:18" x14ac:dyDescent="0.3">
      <c r="M814" s="10"/>
      <c r="N814" s="10"/>
      <c r="O814" s="10"/>
      <c r="P814" s="10"/>
      <c r="Q814" s="10"/>
      <c r="R814" s="10"/>
    </row>
    <row r="815" spans="13:18" x14ac:dyDescent="0.3">
      <c r="M815" s="10"/>
      <c r="N815" s="10"/>
      <c r="O815" s="10"/>
      <c r="P815" s="10"/>
      <c r="Q815" s="10"/>
      <c r="R815" s="10"/>
    </row>
    <row r="816" spans="13:18" x14ac:dyDescent="0.3">
      <c r="M816" s="10"/>
      <c r="N816" s="10"/>
      <c r="O816" s="10"/>
      <c r="P816" s="10"/>
      <c r="Q816" s="10"/>
      <c r="R816" s="10"/>
    </row>
    <row r="817" spans="13:18" x14ac:dyDescent="0.3">
      <c r="M817" s="10"/>
      <c r="N817" s="10"/>
      <c r="O817" s="10"/>
      <c r="P817" s="10"/>
      <c r="Q817" s="10"/>
      <c r="R817" s="10"/>
    </row>
    <row r="818" spans="13:18" x14ac:dyDescent="0.3">
      <c r="M818" s="10"/>
      <c r="N818" s="10"/>
      <c r="O818" s="10"/>
      <c r="P818" s="10"/>
      <c r="Q818" s="10"/>
      <c r="R818" s="10"/>
    </row>
    <row r="819" spans="13:18" x14ac:dyDescent="0.3">
      <c r="M819" s="10"/>
      <c r="N819" s="10"/>
      <c r="O819" s="10"/>
      <c r="P819" s="10"/>
      <c r="Q819" s="10"/>
      <c r="R819" s="10"/>
    </row>
    <row r="820" spans="13:18" x14ac:dyDescent="0.3">
      <c r="M820" s="10"/>
      <c r="N820" s="10"/>
      <c r="O820" s="10"/>
      <c r="P820" s="10"/>
      <c r="Q820" s="10"/>
      <c r="R820" s="10"/>
    </row>
    <row r="821" spans="13:18" x14ac:dyDescent="0.3">
      <c r="M821" s="10"/>
      <c r="N821" s="10"/>
      <c r="O821" s="10"/>
      <c r="P821" s="10"/>
      <c r="Q821" s="10"/>
      <c r="R821" s="10"/>
    </row>
    <row r="822" spans="13:18" x14ac:dyDescent="0.3">
      <c r="M822" s="10"/>
      <c r="N822" s="10"/>
      <c r="O822" s="10"/>
      <c r="P822" s="10"/>
      <c r="Q822" s="10"/>
      <c r="R822" s="10"/>
    </row>
    <row r="823" spans="13:18" x14ac:dyDescent="0.3">
      <c r="M823" s="10"/>
      <c r="N823" s="10"/>
      <c r="O823" s="10"/>
      <c r="P823" s="10"/>
      <c r="Q823" s="10"/>
      <c r="R823" s="10"/>
    </row>
    <row r="824" spans="13:18" x14ac:dyDescent="0.3">
      <c r="M824" s="10"/>
      <c r="N824" s="10"/>
      <c r="O824" s="10"/>
      <c r="P824" s="10"/>
      <c r="Q824" s="10"/>
      <c r="R824" s="10"/>
    </row>
    <row r="825" spans="13:18" x14ac:dyDescent="0.3">
      <c r="M825" s="10"/>
      <c r="N825" s="10"/>
      <c r="O825" s="10"/>
      <c r="P825" s="10"/>
      <c r="Q825" s="10"/>
      <c r="R825" s="10"/>
    </row>
    <row r="826" spans="13:18" x14ac:dyDescent="0.3">
      <c r="M826" s="10"/>
      <c r="N826" s="10"/>
      <c r="O826" s="10"/>
      <c r="P826" s="10"/>
      <c r="Q826" s="10"/>
      <c r="R826" s="10"/>
    </row>
    <row r="827" spans="13:18" x14ac:dyDescent="0.3">
      <c r="M827" s="10"/>
      <c r="N827" s="10"/>
      <c r="O827" s="10"/>
      <c r="P827" s="10"/>
      <c r="Q827" s="10"/>
      <c r="R827" s="10"/>
    </row>
    <row r="828" spans="13:18" x14ac:dyDescent="0.3">
      <c r="M828" s="10"/>
      <c r="N828" s="10"/>
      <c r="O828" s="10"/>
      <c r="P828" s="10"/>
      <c r="Q828" s="10"/>
      <c r="R828" s="10"/>
    </row>
    <row r="829" spans="13:18" x14ac:dyDescent="0.3">
      <c r="M829" s="10"/>
      <c r="N829" s="10"/>
      <c r="O829" s="10"/>
      <c r="P829" s="10"/>
      <c r="Q829" s="10"/>
      <c r="R829" s="10"/>
    </row>
    <row r="830" spans="13:18" x14ac:dyDescent="0.3">
      <c r="M830" s="10"/>
      <c r="N830" s="10"/>
      <c r="O830" s="10"/>
      <c r="P830" s="10"/>
      <c r="Q830" s="10"/>
      <c r="R830" s="10"/>
    </row>
    <row r="831" spans="13:18" x14ac:dyDescent="0.3">
      <c r="M831" s="10"/>
      <c r="N831" s="10"/>
      <c r="O831" s="10"/>
      <c r="P831" s="10"/>
      <c r="Q831" s="10"/>
      <c r="R831" s="10"/>
    </row>
    <row r="832" spans="13:18" x14ac:dyDescent="0.3">
      <c r="M832" s="10"/>
      <c r="N832" s="10"/>
      <c r="O832" s="10"/>
      <c r="P832" s="10"/>
      <c r="Q832" s="10"/>
      <c r="R832" s="10"/>
    </row>
    <row r="833" spans="13:18" x14ac:dyDescent="0.3">
      <c r="M833" s="10"/>
      <c r="N833" s="10"/>
      <c r="O833" s="10"/>
      <c r="P833" s="10"/>
      <c r="Q833" s="10"/>
      <c r="R833" s="10"/>
    </row>
    <row r="834" spans="13:18" x14ac:dyDescent="0.3">
      <c r="M834" s="10"/>
      <c r="N834" s="10"/>
      <c r="O834" s="10"/>
      <c r="P834" s="10"/>
      <c r="Q834" s="10"/>
      <c r="R834" s="10"/>
    </row>
    <row r="835" spans="13:18" x14ac:dyDescent="0.3">
      <c r="M835" s="10"/>
      <c r="N835" s="10"/>
      <c r="O835" s="10"/>
      <c r="P835" s="10"/>
      <c r="Q835" s="10"/>
      <c r="R835" s="10"/>
    </row>
    <row r="836" spans="13:18" x14ac:dyDescent="0.3">
      <c r="M836" s="10"/>
      <c r="N836" s="10"/>
      <c r="O836" s="10"/>
      <c r="P836" s="10"/>
      <c r="Q836" s="10"/>
      <c r="R836" s="10"/>
    </row>
    <row r="837" spans="13:18" x14ac:dyDescent="0.3">
      <c r="M837" s="10"/>
      <c r="N837" s="10"/>
      <c r="O837" s="10"/>
      <c r="P837" s="10"/>
      <c r="Q837" s="10"/>
      <c r="R837" s="10"/>
    </row>
    <row r="838" spans="13:18" x14ac:dyDescent="0.3">
      <c r="M838" s="10"/>
      <c r="N838" s="10"/>
      <c r="O838" s="10"/>
      <c r="P838" s="10"/>
      <c r="Q838" s="10"/>
      <c r="R838" s="10"/>
    </row>
    <row r="839" spans="13:18" x14ac:dyDescent="0.3">
      <c r="M839" s="10"/>
      <c r="N839" s="10"/>
      <c r="O839" s="10"/>
      <c r="P839" s="10"/>
      <c r="Q839" s="10"/>
      <c r="R839" s="10"/>
    </row>
    <row r="840" spans="13:18" x14ac:dyDescent="0.3">
      <c r="M840" s="10"/>
      <c r="N840" s="10"/>
      <c r="O840" s="10"/>
      <c r="P840" s="10"/>
      <c r="Q840" s="10"/>
      <c r="R840" s="10"/>
    </row>
    <row r="841" spans="13:18" x14ac:dyDescent="0.3">
      <c r="M841" s="10"/>
      <c r="N841" s="10"/>
      <c r="O841" s="10"/>
      <c r="P841" s="10"/>
      <c r="Q841" s="10"/>
      <c r="R841" s="10"/>
    </row>
    <row r="842" spans="13:18" x14ac:dyDescent="0.3">
      <c r="M842" s="10"/>
      <c r="N842" s="10"/>
      <c r="O842" s="10"/>
      <c r="P842" s="10"/>
      <c r="Q842" s="10"/>
      <c r="R842" s="10"/>
    </row>
    <row r="843" spans="13:18" x14ac:dyDescent="0.3">
      <c r="M843" s="10"/>
      <c r="N843" s="10"/>
      <c r="O843" s="10"/>
      <c r="P843" s="10"/>
      <c r="Q843" s="10"/>
      <c r="R843" s="10"/>
    </row>
    <row r="844" spans="13:18" x14ac:dyDescent="0.3">
      <c r="M844" s="10"/>
      <c r="N844" s="10"/>
      <c r="O844" s="10"/>
      <c r="P844" s="10"/>
      <c r="Q844" s="10"/>
      <c r="R844" s="10"/>
    </row>
    <row r="845" spans="13:18" x14ac:dyDescent="0.3">
      <c r="M845" s="10"/>
      <c r="N845" s="10"/>
      <c r="O845" s="10"/>
      <c r="P845" s="10"/>
      <c r="Q845" s="10"/>
      <c r="R845" s="10"/>
    </row>
    <row r="846" spans="13:18" x14ac:dyDescent="0.3">
      <c r="M846" s="10"/>
      <c r="N846" s="10"/>
      <c r="O846" s="10"/>
      <c r="P846" s="10"/>
      <c r="Q846" s="10"/>
      <c r="R846" s="10"/>
    </row>
    <row r="847" spans="13:18" x14ac:dyDescent="0.3">
      <c r="M847" s="10"/>
      <c r="N847" s="10"/>
      <c r="O847" s="10"/>
      <c r="P847" s="10"/>
      <c r="Q847" s="10"/>
      <c r="R847" s="10"/>
    </row>
    <row r="848" spans="13:18" x14ac:dyDescent="0.3">
      <c r="M848" s="10"/>
      <c r="N848" s="10"/>
      <c r="O848" s="10"/>
      <c r="P848" s="10"/>
      <c r="Q848" s="10"/>
      <c r="R848" s="10"/>
    </row>
    <row r="849" spans="13:18" x14ac:dyDescent="0.3">
      <c r="M849" s="10"/>
      <c r="N849" s="10"/>
      <c r="O849" s="10"/>
      <c r="P849" s="10"/>
      <c r="Q849" s="10"/>
      <c r="R849" s="10"/>
    </row>
    <row r="850" spans="13:18" x14ac:dyDescent="0.3">
      <c r="M850" s="10"/>
      <c r="N850" s="10"/>
      <c r="O850" s="10"/>
      <c r="P850" s="10"/>
      <c r="Q850" s="10"/>
      <c r="R850" s="10"/>
    </row>
    <row r="851" spans="13:18" x14ac:dyDescent="0.3">
      <c r="M851" s="10"/>
      <c r="N851" s="10"/>
      <c r="O851" s="10"/>
      <c r="P851" s="10"/>
      <c r="Q851" s="10"/>
      <c r="R851" s="10"/>
    </row>
    <row r="852" spans="13:18" x14ac:dyDescent="0.3">
      <c r="M852" s="10"/>
      <c r="N852" s="10"/>
      <c r="O852" s="10"/>
      <c r="P852" s="10"/>
      <c r="Q852" s="10"/>
      <c r="R852" s="10"/>
    </row>
    <row r="853" spans="13:18" x14ac:dyDescent="0.3">
      <c r="M853" s="10"/>
      <c r="N853" s="10"/>
      <c r="O853" s="10"/>
      <c r="P853" s="10"/>
      <c r="Q853" s="10"/>
      <c r="R853" s="10"/>
    </row>
    <row r="854" spans="13:18" x14ac:dyDescent="0.3">
      <c r="M854" s="10"/>
      <c r="N854" s="10"/>
      <c r="O854" s="10"/>
      <c r="P854" s="10"/>
      <c r="Q854" s="10"/>
      <c r="R854" s="10"/>
    </row>
    <row r="855" spans="13:18" x14ac:dyDescent="0.3">
      <c r="M855" s="10"/>
      <c r="N855" s="10"/>
      <c r="O855" s="10"/>
      <c r="P855" s="10"/>
      <c r="Q855" s="10"/>
      <c r="R855" s="10"/>
    </row>
    <row r="856" spans="13:18" x14ac:dyDescent="0.3">
      <c r="M856" s="10"/>
      <c r="N856" s="10"/>
      <c r="O856" s="10"/>
      <c r="P856" s="10"/>
      <c r="Q856" s="10"/>
      <c r="R856" s="10"/>
    </row>
    <row r="857" spans="13:18" x14ac:dyDescent="0.3">
      <c r="M857" s="10"/>
      <c r="N857" s="10"/>
      <c r="O857" s="10"/>
      <c r="P857" s="10"/>
      <c r="Q857" s="10"/>
      <c r="R857" s="10"/>
    </row>
    <row r="858" spans="13:18" x14ac:dyDescent="0.3">
      <c r="M858" s="10"/>
      <c r="N858" s="10"/>
      <c r="O858" s="10"/>
      <c r="P858" s="10"/>
      <c r="Q858" s="10"/>
      <c r="R858" s="10"/>
    </row>
    <row r="859" spans="13:18" x14ac:dyDescent="0.3">
      <c r="M859" s="10"/>
      <c r="N859" s="10"/>
      <c r="O859" s="10"/>
      <c r="P859" s="10"/>
      <c r="Q859" s="10"/>
      <c r="R859" s="10"/>
    </row>
    <row r="860" spans="13:18" x14ac:dyDescent="0.3">
      <c r="M860" s="10"/>
      <c r="N860" s="10"/>
      <c r="O860" s="10"/>
      <c r="P860" s="10"/>
      <c r="Q860" s="10"/>
      <c r="R860" s="10"/>
    </row>
    <row r="861" spans="13:18" x14ac:dyDescent="0.3">
      <c r="M861" s="10"/>
      <c r="N861" s="10"/>
      <c r="O861" s="10"/>
      <c r="P861" s="10"/>
      <c r="Q861" s="10"/>
      <c r="R861" s="10"/>
    </row>
    <row r="862" spans="13:18" x14ac:dyDescent="0.3">
      <c r="M862" s="10"/>
      <c r="N862" s="10"/>
      <c r="O862" s="10"/>
      <c r="P862" s="10"/>
      <c r="Q862" s="10"/>
      <c r="R862" s="10"/>
    </row>
    <row r="863" spans="13:18" x14ac:dyDescent="0.3">
      <c r="M863" s="10"/>
      <c r="N863" s="10"/>
      <c r="O863" s="10"/>
      <c r="P863" s="10"/>
      <c r="Q863" s="10"/>
      <c r="R863" s="10"/>
    </row>
    <row r="864" spans="13:18" x14ac:dyDescent="0.3">
      <c r="M864" s="10"/>
      <c r="N864" s="10"/>
      <c r="O864" s="10"/>
      <c r="P864" s="10"/>
      <c r="Q864" s="10"/>
      <c r="R864" s="10"/>
    </row>
    <row r="865" spans="13:18" x14ac:dyDescent="0.3">
      <c r="M865" s="10"/>
      <c r="N865" s="10"/>
      <c r="O865" s="10"/>
      <c r="P865" s="10"/>
      <c r="Q865" s="10"/>
      <c r="R865" s="10"/>
    </row>
    <row r="866" spans="13:18" x14ac:dyDescent="0.3">
      <c r="M866" s="10"/>
      <c r="N866" s="10"/>
      <c r="O866" s="10"/>
      <c r="P866" s="10"/>
      <c r="Q866" s="10"/>
      <c r="R866" s="10"/>
    </row>
    <row r="867" spans="13:18" x14ac:dyDescent="0.3">
      <c r="M867" s="10"/>
      <c r="N867" s="10"/>
      <c r="O867" s="10"/>
      <c r="P867" s="10"/>
      <c r="Q867" s="10"/>
      <c r="R867" s="10"/>
    </row>
    <row r="868" spans="13:18" x14ac:dyDescent="0.3">
      <c r="M868" s="10"/>
      <c r="N868" s="10"/>
      <c r="O868" s="10"/>
      <c r="P868" s="10"/>
      <c r="Q868" s="10"/>
      <c r="R868" s="10"/>
    </row>
    <row r="869" spans="13:18" x14ac:dyDescent="0.3">
      <c r="M869" s="10"/>
      <c r="N869" s="10"/>
      <c r="O869" s="10"/>
      <c r="P869" s="10"/>
      <c r="Q869" s="10"/>
      <c r="R869" s="10"/>
    </row>
    <row r="870" spans="13:18" x14ac:dyDescent="0.3">
      <c r="M870" s="10"/>
      <c r="N870" s="10"/>
      <c r="O870" s="10"/>
      <c r="P870" s="10"/>
      <c r="Q870" s="10"/>
      <c r="R870" s="10"/>
    </row>
    <row r="871" spans="13:18" x14ac:dyDescent="0.3">
      <c r="M871" s="10"/>
      <c r="N871" s="10"/>
      <c r="O871" s="10"/>
      <c r="P871" s="10"/>
      <c r="Q871" s="10"/>
      <c r="R871" s="10"/>
    </row>
    <row r="872" spans="13:18" x14ac:dyDescent="0.3">
      <c r="M872" s="10"/>
      <c r="N872" s="10"/>
      <c r="O872" s="10"/>
      <c r="P872" s="10"/>
      <c r="Q872" s="10"/>
      <c r="R872" s="10"/>
    </row>
    <row r="873" spans="13:18" x14ac:dyDescent="0.3">
      <c r="M873" s="10"/>
      <c r="N873" s="10"/>
      <c r="O873" s="10"/>
      <c r="P873" s="10"/>
      <c r="Q873" s="10"/>
      <c r="R873" s="10"/>
    </row>
    <row r="874" spans="13:18" x14ac:dyDescent="0.3">
      <c r="M874" s="10"/>
      <c r="N874" s="10"/>
      <c r="O874" s="10"/>
      <c r="P874" s="10"/>
      <c r="Q874" s="10"/>
      <c r="R874" s="10"/>
    </row>
    <row r="875" spans="13:18" x14ac:dyDescent="0.3">
      <c r="M875" s="10"/>
      <c r="N875" s="10"/>
      <c r="O875" s="10"/>
      <c r="P875" s="10"/>
      <c r="Q875" s="10"/>
      <c r="R875" s="10"/>
    </row>
    <row r="876" spans="13:18" x14ac:dyDescent="0.3">
      <c r="M876" s="10"/>
      <c r="N876" s="10"/>
      <c r="O876" s="10"/>
      <c r="P876" s="10"/>
      <c r="Q876" s="10"/>
      <c r="R876" s="10"/>
    </row>
    <row r="877" spans="13:18" x14ac:dyDescent="0.3">
      <c r="M877" s="10"/>
      <c r="N877" s="10"/>
      <c r="O877" s="10"/>
      <c r="P877" s="10"/>
      <c r="Q877" s="10"/>
      <c r="R877" s="10"/>
    </row>
    <row r="878" spans="13:18" x14ac:dyDescent="0.3">
      <c r="M878" s="10"/>
      <c r="N878" s="10"/>
      <c r="O878" s="10"/>
      <c r="P878" s="10"/>
      <c r="Q878" s="10"/>
      <c r="R878" s="10"/>
    </row>
    <row r="879" spans="13:18" x14ac:dyDescent="0.3">
      <c r="M879" s="10"/>
      <c r="N879" s="10"/>
      <c r="O879" s="10"/>
      <c r="P879" s="10"/>
      <c r="Q879" s="10"/>
      <c r="R879" s="10"/>
    </row>
    <row r="880" spans="13:18" x14ac:dyDescent="0.3">
      <c r="M880" s="10"/>
      <c r="N880" s="10"/>
      <c r="O880" s="10"/>
      <c r="P880" s="10"/>
      <c r="Q880" s="10"/>
      <c r="R880" s="10"/>
    </row>
    <row r="881" spans="13:18" x14ac:dyDescent="0.3">
      <c r="M881" s="10"/>
      <c r="N881" s="10"/>
      <c r="O881" s="10"/>
      <c r="P881" s="10"/>
      <c r="Q881" s="10"/>
      <c r="R881" s="10"/>
    </row>
    <row r="882" spans="13:18" x14ac:dyDescent="0.3">
      <c r="M882" s="10"/>
      <c r="N882" s="10"/>
      <c r="O882" s="10"/>
      <c r="P882" s="10"/>
      <c r="Q882" s="10"/>
      <c r="R882" s="10"/>
    </row>
    <row r="883" spans="13:18" x14ac:dyDescent="0.3">
      <c r="M883" s="10"/>
      <c r="N883" s="10"/>
      <c r="O883" s="10"/>
      <c r="P883" s="10"/>
      <c r="Q883" s="10"/>
      <c r="R883" s="10"/>
    </row>
    <row r="884" spans="13:18" x14ac:dyDescent="0.3">
      <c r="M884" s="10"/>
      <c r="N884" s="10"/>
      <c r="O884" s="10"/>
      <c r="P884" s="10"/>
      <c r="Q884" s="10"/>
      <c r="R884" s="10"/>
    </row>
    <row r="885" spans="13:18" x14ac:dyDescent="0.3">
      <c r="M885" s="10"/>
      <c r="N885" s="10"/>
      <c r="O885" s="10"/>
      <c r="P885" s="10"/>
      <c r="Q885" s="10"/>
      <c r="R885" s="10"/>
    </row>
    <row r="886" spans="13:18" x14ac:dyDescent="0.3">
      <c r="M886" s="10"/>
      <c r="N886" s="10"/>
      <c r="O886" s="10"/>
      <c r="P886" s="10"/>
      <c r="Q886" s="10"/>
      <c r="R886" s="10"/>
    </row>
    <row r="887" spans="13:18" x14ac:dyDescent="0.3">
      <c r="M887" s="10"/>
      <c r="N887" s="10"/>
      <c r="O887" s="10"/>
      <c r="P887" s="10"/>
      <c r="Q887" s="10"/>
      <c r="R887" s="10"/>
    </row>
    <row r="888" spans="13:18" x14ac:dyDescent="0.3">
      <c r="M888" s="10"/>
      <c r="N888" s="10"/>
      <c r="O888" s="10"/>
      <c r="P888" s="10"/>
      <c r="Q888" s="10"/>
      <c r="R888" s="10"/>
    </row>
    <row r="889" spans="13:18" x14ac:dyDescent="0.3">
      <c r="M889" s="10"/>
      <c r="N889" s="10"/>
      <c r="O889" s="10"/>
      <c r="P889" s="10"/>
      <c r="Q889" s="10"/>
      <c r="R889" s="10"/>
    </row>
    <row r="890" spans="13:18" x14ac:dyDescent="0.3">
      <c r="M890" s="10"/>
      <c r="N890" s="10"/>
      <c r="O890" s="10"/>
      <c r="P890" s="10"/>
      <c r="Q890" s="10"/>
      <c r="R890" s="10"/>
    </row>
    <row r="891" spans="13:18" x14ac:dyDescent="0.3">
      <c r="M891" s="10"/>
      <c r="N891" s="10"/>
      <c r="O891" s="10"/>
      <c r="P891" s="10"/>
      <c r="Q891" s="10"/>
      <c r="R891" s="10"/>
    </row>
    <row r="892" spans="13:18" x14ac:dyDescent="0.3">
      <c r="M892" s="10"/>
      <c r="N892" s="10"/>
      <c r="O892" s="10"/>
      <c r="P892" s="10"/>
      <c r="Q892" s="10"/>
      <c r="R892" s="10"/>
    </row>
    <row r="893" spans="13:18" x14ac:dyDescent="0.3">
      <c r="M893" s="10"/>
      <c r="N893" s="10"/>
      <c r="O893" s="10"/>
      <c r="P893" s="10"/>
      <c r="Q893" s="10"/>
      <c r="R893" s="10"/>
    </row>
    <row r="894" spans="13:18" x14ac:dyDescent="0.3">
      <c r="M894" s="10"/>
      <c r="N894" s="10"/>
      <c r="O894" s="10"/>
      <c r="P894" s="10"/>
      <c r="Q894" s="10"/>
      <c r="R894" s="10"/>
    </row>
    <row r="895" spans="13:18" x14ac:dyDescent="0.3">
      <c r="M895" s="10"/>
      <c r="N895" s="10"/>
      <c r="O895" s="10"/>
      <c r="P895" s="10"/>
      <c r="Q895" s="10"/>
      <c r="R895" s="10"/>
    </row>
    <row r="896" spans="13:18" x14ac:dyDescent="0.3">
      <c r="M896" s="10"/>
      <c r="N896" s="10"/>
      <c r="O896" s="10"/>
      <c r="P896" s="10"/>
      <c r="Q896" s="10"/>
      <c r="R896" s="10"/>
    </row>
    <row r="897" spans="13:18" x14ac:dyDescent="0.3">
      <c r="M897" s="10"/>
      <c r="N897" s="10"/>
      <c r="O897" s="10"/>
      <c r="P897" s="10"/>
      <c r="Q897" s="10"/>
      <c r="R897" s="10"/>
    </row>
    <row r="898" spans="13:18" x14ac:dyDescent="0.3">
      <c r="M898" s="10"/>
      <c r="N898" s="10"/>
      <c r="O898" s="10"/>
      <c r="P898" s="10"/>
      <c r="Q898" s="10"/>
      <c r="R898" s="10"/>
    </row>
    <row r="899" spans="13:18" x14ac:dyDescent="0.3">
      <c r="M899" s="10"/>
      <c r="N899" s="10"/>
      <c r="O899" s="10"/>
      <c r="P899" s="10"/>
      <c r="Q899" s="10"/>
      <c r="R899" s="10"/>
    </row>
    <row r="900" spans="13:18" x14ac:dyDescent="0.3">
      <c r="M900" s="10"/>
      <c r="N900" s="10"/>
      <c r="O900" s="10"/>
      <c r="P900" s="10"/>
      <c r="Q900" s="10"/>
      <c r="R900" s="10"/>
    </row>
    <row r="901" spans="13:18" x14ac:dyDescent="0.3">
      <c r="M901" s="10"/>
      <c r="N901" s="10"/>
      <c r="O901" s="10"/>
      <c r="P901" s="10"/>
      <c r="Q901" s="10"/>
      <c r="R901" s="10"/>
    </row>
    <row r="902" spans="13:18" x14ac:dyDescent="0.3">
      <c r="M902" s="10"/>
      <c r="N902" s="10"/>
      <c r="O902" s="10"/>
      <c r="P902" s="10"/>
      <c r="Q902" s="10"/>
      <c r="R902" s="10"/>
    </row>
    <row r="903" spans="13:18" x14ac:dyDescent="0.3">
      <c r="M903" s="10"/>
      <c r="N903" s="10"/>
      <c r="O903" s="10"/>
      <c r="P903" s="10"/>
      <c r="Q903" s="10"/>
      <c r="R903" s="10"/>
    </row>
    <row r="904" spans="13:18" x14ac:dyDescent="0.3">
      <c r="M904" s="10"/>
      <c r="N904" s="10"/>
      <c r="O904" s="10"/>
      <c r="P904" s="10"/>
      <c r="Q904" s="10"/>
      <c r="R904" s="10"/>
    </row>
    <row r="905" spans="13:18" x14ac:dyDescent="0.3">
      <c r="M905" s="10"/>
      <c r="N905" s="10"/>
      <c r="O905" s="10"/>
      <c r="P905" s="10"/>
      <c r="Q905" s="10"/>
      <c r="R905" s="10"/>
    </row>
    <row r="906" spans="13:18" x14ac:dyDescent="0.3">
      <c r="M906" s="10"/>
      <c r="N906" s="10"/>
      <c r="O906" s="10"/>
      <c r="P906" s="10"/>
      <c r="Q906" s="10"/>
      <c r="R906" s="10"/>
    </row>
    <row r="907" spans="13:18" x14ac:dyDescent="0.3">
      <c r="M907" s="10"/>
      <c r="N907" s="10"/>
      <c r="O907" s="10"/>
      <c r="P907" s="10"/>
      <c r="Q907" s="10"/>
      <c r="R907" s="10"/>
    </row>
    <row r="908" spans="13:18" x14ac:dyDescent="0.3">
      <c r="M908" s="10"/>
      <c r="N908" s="10"/>
      <c r="O908" s="10"/>
      <c r="P908" s="10"/>
      <c r="Q908" s="10"/>
      <c r="R908" s="10"/>
    </row>
    <row r="909" spans="13:18" x14ac:dyDescent="0.3">
      <c r="M909" s="10"/>
      <c r="N909" s="10"/>
      <c r="O909" s="10"/>
      <c r="P909" s="10"/>
      <c r="Q909" s="10"/>
      <c r="R909" s="10"/>
    </row>
    <row r="910" spans="13:18" x14ac:dyDescent="0.3">
      <c r="M910" s="10"/>
      <c r="N910" s="10"/>
      <c r="O910" s="10"/>
      <c r="P910" s="10"/>
      <c r="Q910" s="10"/>
      <c r="R910" s="10"/>
    </row>
    <row r="911" spans="13:18" x14ac:dyDescent="0.3">
      <c r="M911" s="10"/>
      <c r="N911" s="10"/>
      <c r="O911" s="10"/>
      <c r="P911" s="10"/>
      <c r="Q911" s="10"/>
      <c r="R911" s="10"/>
    </row>
    <row r="912" spans="13:18" x14ac:dyDescent="0.3">
      <c r="M912" s="10"/>
      <c r="N912" s="10"/>
      <c r="O912" s="10"/>
      <c r="P912" s="10"/>
      <c r="Q912" s="10"/>
      <c r="R912" s="10"/>
    </row>
    <row r="913" spans="13:18" x14ac:dyDescent="0.3">
      <c r="M913" s="10"/>
      <c r="N913" s="10"/>
      <c r="O913" s="10"/>
      <c r="P913" s="10"/>
      <c r="Q913" s="10"/>
      <c r="R913" s="10"/>
    </row>
    <row r="914" spans="13:18" x14ac:dyDescent="0.3">
      <c r="M914" s="10"/>
      <c r="N914" s="10"/>
      <c r="O914" s="10"/>
      <c r="P914" s="10"/>
      <c r="Q914" s="10"/>
      <c r="R914" s="10"/>
    </row>
    <row r="915" spans="13:18" x14ac:dyDescent="0.3">
      <c r="M915" s="10"/>
      <c r="N915" s="10"/>
      <c r="O915" s="10"/>
      <c r="P915" s="10"/>
      <c r="Q915" s="10"/>
      <c r="R915" s="10"/>
    </row>
    <row r="916" spans="13:18" x14ac:dyDescent="0.3">
      <c r="M916" s="10"/>
      <c r="N916" s="10"/>
      <c r="O916" s="10"/>
      <c r="P916" s="10"/>
      <c r="Q916" s="10"/>
      <c r="R916" s="10"/>
    </row>
    <row r="917" spans="13:18" x14ac:dyDescent="0.3">
      <c r="M917" s="10"/>
      <c r="N917" s="10"/>
      <c r="O917" s="10"/>
      <c r="P917" s="10"/>
      <c r="Q917" s="10"/>
      <c r="R917" s="10"/>
    </row>
    <row r="918" spans="13:18" x14ac:dyDescent="0.3">
      <c r="M918" s="10"/>
      <c r="N918" s="10"/>
      <c r="O918" s="10"/>
      <c r="P918" s="10"/>
      <c r="Q918" s="10"/>
      <c r="R918" s="10"/>
    </row>
    <row r="919" spans="13:18" x14ac:dyDescent="0.3">
      <c r="M919" s="10"/>
      <c r="N919" s="10"/>
      <c r="O919" s="10"/>
      <c r="P919" s="10"/>
      <c r="Q919" s="10"/>
      <c r="R919" s="10"/>
    </row>
    <row r="920" spans="13:18" x14ac:dyDescent="0.3">
      <c r="M920" s="10"/>
      <c r="N920" s="10"/>
      <c r="O920" s="10"/>
      <c r="P920" s="10"/>
      <c r="Q920" s="10"/>
      <c r="R920" s="10"/>
    </row>
    <row r="921" spans="13:18" x14ac:dyDescent="0.3">
      <c r="M921" s="10"/>
      <c r="N921" s="10"/>
      <c r="O921" s="10"/>
      <c r="P921" s="10"/>
      <c r="Q921" s="10"/>
      <c r="R921" s="10"/>
    </row>
    <row r="922" spans="13:18" x14ac:dyDescent="0.3">
      <c r="M922" s="10"/>
      <c r="N922" s="10"/>
      <c r="O922" s="10"/>
      <c r="P922" s="10"/>
      <c r="Q922" s="10"/>
      <c r="R922" s="10"/>
    </row>
    <row r="923" spans="13:18" x14ac:dyDescent="0.3">
      <c r="M923" s="10"/>
      <c r="N923" s="10"/>
      <c r="O923" s="10"/>
      <c r="P923" s="10"/>
      <c r="Q923" s="10"/>
      <c r="R923" s="10"/>
    </row>
    <row r="924" spans="13:18" x14ac:dyDescent="0.3">
      <c r="M924" s="10"/>
      <c r="N924" s="10"/>
      <c r="O924" s="10"/>
      <c r="P924" s="10"/>
      <c r="Q924" s="10"/>
      <c r="R924" s="10"/>
    </row>
    <row r="925" spans="13:18" x14ac:dyDescent="0.3">
      <c r="M925" s="10"/>
      <c r="N925" s="10"/>
      <c r="O925" s="10"/>
      <c r="P925" s="10"/>
      <c r="Q925" s="10"/>
      <c r="R925" s="10"/>
    </row>
    <row r="926" spans="13:18" x14ac:dyDescent="0.3">
      <c r="M926" s="10"/>
      <c r="N926" s="10"/>
      <c r="O926" s="10"/>
      <c r="P926" s="10"/>
      <c r="Q926" s="10"/>
      <c r="R926" s="10"/>
    </row>
    <row r="927" spans="13:18" x14ac:dyDescent="0.3">
      <c r="M927" s="10"/>
      <c r="N927" s="10"/>
      <c r="O927" s="10"/>
      <c r="P927" s="10"/>
      <c r="Q927" s="10"/>
      <c r="R927" s="10"/>
    </row>
    <row r="928" spans="13:18" x14ac:dyDescent="0.3">
      <c r="M928" s="10"/>
      <c r="N928" s="10"/>
      <c r="O928" s="10"/>
      <c r="P928" s="10"/>
      <c r="Q928" s="10"/>
      <c r="R928" s="10"/>
    </row>
    <row r="929" spans="13:18" x14ac:dyDescent="0.3">
      <c r="M929" s="10"/>
      <c r="N929" s="10"/>
      <c r="O929" s="10"/>
      <c r="P929" s="10"/>
      <c r="Q929" s="10"/>
      <c r="R929" s="10"/>
    </row>
    <row r="930" spans="13:18" x14ac:dyDescent="0.3">
      <c r="M930" s="10"/>
      <c r="N930" s="10"/>
      <c r="O930" s="10"/>
      <c r="P930" s="10"/>
      <c r="Q930" s="10"/>
      <c r="R930" s="10"/>
    </row>
    <row r="931" spans="13:18" x14ac:dyDescent="0.3">
      <c r="M931" s="10"/>
      <c r="N931" s="10"/>
      <c r="O931" s="10"/>
      <c r="P931" s="10"/>
      <c r="Q931" s="10"/>
      <c r="R931" s="10"/>
    </row>
    <row r="932" spans="13:18" x14ac:dyDescent="0.3">
      <c r="M932" s="10"/>
      <c r="N932" s="10"/>
      <c r="O932" s="10"/>
      <c r="P932" s="10"/>
      <c r="Q932" s="10"/>
      <c r="R932" s="10"/>
    </row>
    <row r="933" spans="13:18" x14ac:dyDescent="0.3">
      <c r="M933" s="10"/>
      <c r="N933" s="10"/>
      <c r="O933" s="10"/>
      <c r="P933" s="10"/>
      <c r="Q933" s="10"/>
      <c r="R933" s="10"/>
    </row>
    <row r="934" spans="13:18" x14ac:dyDescent="0.3">
      <c r="M934" s="10"/>
      <c r="N934" s="10"/>
      <c r="O934" s="10"/>
      <c r="P934" s="10"/>
      <c r="Q934" s="10"/>
      <c r="R934" s="10"/>
    </row>
    <row r="935" spans="13:18" x14ac:dyDescent="0.3">
      <c r="M935" s="10"/>
      <c r="N935" s="10"/>
      <c r="O935" s="10"/>
      <c r="P935" s="10"/>
      <c r="Q935" s="10"/>
      <c r="R935" s="10"/>
    </row>
    <row r="936" spans="13:18" x14ac:dyDescent="0.3">
      <c r="M936" s="10"/>
      <c r="N936" s="10"/>
      <c r="O936" s="10"/>
      <c r="P936" s="10"/>
      <c r="Q936" s="10"/>
      <c r="R936" s="10"/>
    </row>
    <row r="937" spans="13:18" x14ac:dyDescent="0.3">
      <c r="M937" s="10"/>
      <c r="N937" s="10"/>
      <c r="O937" s="10"/>
      <c r="P937" s="10"/>
      <c r="Q937" s="10"/>
      <c r="R937" s="10"/>
    </row>
    <row r="938" spans="13:18" x14ac:dyDescent="0.3">
      <c r="M938" s="10"/>
      <c r="N938" s="10"/>
      <c r="O938" s="10"/>
      <c r="P938" s="10"/>
      <c r="Q938" s="10"/>
      <c r="R938" s="10"/>
    </row>
    <row r="939" spans="13:18" x14ac:dyDescent="0.3">
      <c r="M939" s="10"/>
      <c r="N939" s="10"/>
      <c r="O939" s="10"/>
      <c r="P939" s="10"/>
      <c r="Q939" s="10"/>
      <c r="R939" s="10"/>
    </row>
    <row r="940" spans="13:18" x14ac:dyDescent="0.3">
      <c r="M940" s="10"/>
      <c r="N940" s="10"/>
      <c r="O940" s="10"/>
      <c r="P940" s="10"/>
      <c r="Q940" s="10"/>
      <c r="R940" s="10"/>
    </row>
    <row r="941" spans="13:18" x14ac:dyDescent="0.3">
      <c r="M941" s="10"/>
      <c r="N941" s="10"/>
      <c r="O941" s="10"/>
      <c r="P941" s="10"/>
      <c r="Q941" s="10"/>
      <c r="R941" s="10"/>
    </row>
    <row r="942" spans="13:18" x14ac:dyDescent="0.3">
      <c r="M942" s="10"/>
      <c r="N942" s="10"/>
      <c r="O942" s="10"/>
      <c r="P942" s="10"/>
      <c r="Q942" s="10"/>
      <c r="R942" s="10"/>
    </row>
    <row r="943" spans="13:18" x14ac:dyDescent="0.3">
      <c r="M943" s="10"/>
      <c r="N943" s="10"/>
      <c r="O943" s="10"/>
      <c r="P943" s="10"/>
      <c r="Q943" s="10"/>
      <c r="R943" s="10"/>
    </row>
    <row r="944" spans="13:18" x14ac:dyDescent="0.3">
      <c r="M944" s="10"/>
      <c r="N944" s="10"/>
      <c r="O944" s="10"/>
      <c r="P944" s="10"/>
      <c r="Q944" s="10"/>
      <c r="R944" s="10"/>
    </row>
    <row r="945" spans="13:18" x14ac:dyDescent="0.3">
      <c r="M945" s="10"/>
      <c r="N945" s="10"/>
      <c r="O945" s="10"/>
      <c r="P945" s="10"/>
      <c r="Q945" s="10"/>
      <c r="R945" s="10"/>
    </row>
    <row r="946" spans="13:18" x14ac:dyDescent="0.3">
      <c r="M946" s="10"/>
      <c r="N946" s="10"/>
      <c r="O946" s="10"/>
      <c r="P946" s="10"/>
      <c r="Q946" s="10"/>
      <c r="R946" s="10"/>
    </row>
    <row r="947" spans="13:18" x14ac:dyDescent="0.3">
      <c r="M947" s="10"/>
      <c r="N947" s="10"/>
      <c r="O947" s="10"/>
      <c r="P947" s="10"/>
      <c r="Q947" s="10"/>
      <c r="R947" s="10"/>
    </row>
    <row r="948" spans="13:18" x14ac:dyDescent="0.3">
      <c r="M948" s="10"/>
      <c r="N948" s="10"/>
      <c r="O948" s="10"/>
      <c r="P948" s="10"/>
      <c r="Q948" s="10"/>
      <c r="R948" s="10"/>
    </row>
    <row r="949" spans="13:18" x14ac:dyDescent="0.3">
      <c r="M949" s="10"/>
      <c r="N949" s="10"/>
      <c r="O949" s="10"/>
      <c r="P949" s="10"/>
      <c r="Q949" s="10"/>
      <c r="R949" s="10"/>
    </row>
    <row r="950" spans="13:18" x14ac:dyDescent="0.3">
      <c r="M950" s="10"/>
      <c r="N950" s="10"/>
      <c r="O950" s="10"/>
      <c r="P950" s="10"/>
      <c r="Q950" s="10"/>
      <c r="R950" s="10"/>
    </row>
    <row r="951" spans="13:18" x14ac:dyDescent="0.3">
      <c r="M951" s="10"/>
      <c r="N951" s="10"/>
      <c r="O951" s="10"/>
      <c r="P951" s="10"/>
      <c r="Q951" s="10"/>
      <c r="R951" s="10"/>
    </row>
    <row r="952" spans="13:18" x14ac:dyDescent="0.3">
      <c r="M952" s="10"/>
      <c r="N952" s="10"/>
      <c r="O952" s="10"/>
      <c r="P952" s="10"/>
      <c r="Q952" s="10"/>
      <c r="R952" s="10"/>
    </row>
    <row r="953" spans="13:18" x14ac:dyDescent="0.3">
      <c r="M953" s="10"/>
      <c r="N953" s="10"/>
      <c r="O953" s="10"/>
      <c r="P953" s="10"/>
      <c r="Q953" s="10"/>
      <c r="R953" s="10"/>
    </row>
    <row r="954" spans="13:18" x14ac:dyDescent="0.3">
      <c r="M954" s="10"/>
      <c r="N954" s="10"/>
      <c r="O954" s="10"/>
      <c r="P954" s="10"/>
      <c r="Q954" s="10"/>
      <c r="R954" s="10"/>
    </row>
    <row r="955" spans="13:18" x14ac:dyDescent="0.3">
      <c r="M955" s="10"/>
      <c r="N955" s="10"/>
      <c r="O955" s="10"/>
      <c r="P955" s="10"/>
      <c r="Q955" s="10"/>
      <c r="R955" s="10"/>
    </row>
    <row r="956" spans="13:18" x14ac:dyDescent="0.3">
      <c r="M956" s="10"/>
      <c r="N956" s="10"/>
      <c r="O956" s="10"/>
      <c r="P956" s="10"/>
      <c r="Q956" s="10"/>
      <c r="R956" s="10"/>
    </row>
    <row r="957" spans="13:18" x14ac:dyDescent="0.3">
      <c r="M957" s="10"/>
      <c r="N957" s="10"/>
      <c r="O957" s="10"/>
      <c r="P957" s="10"/>
      <c r="Q957" s="10"/>
      <c r="R957" s="10"/>
    </row>
    <row r="958" spans="13:18" x14ac:dyDescent="0.3">
      <c r="M958" s="10"/>
      <c r="N958" s="10"/>
      <c r="O958" s="10"/>
      <c r="P958" s="10"/>
      <c r="Q958" s="10"/>
      <c r="R958" s="10"/>
    </row>
    <row r="959" spans="13:18" x14ac:dyDescent="0.3">
      <c r="M959" s="10"/>
      <c r="N959" s="10"/>
      <c r="O959" s="10"/>
      <c r="P959" s="10"/>
      <c r="Q959" s="10"/>
      <c r="R959" s="10"/>
    </row>
    <row r="960" spans="13:18" x14ac:dyDescent="0.3">
      <c r="M960" s="10"/>
      <c r="N960" s="10"/>
      <c r="O960" s="10"/>
      <c r="P960" s="10"/>
      <c r="Q960" s="10"/>
      <c r="R960" s="10"/>
    </row>
    <row r="961" spans="13:18" x14ac:dyDescent="0.3">
      <c r="M961" s="10"/>
      <c r="N961" s="10"/>
      <c r="O961" s="10"/>
      <c r="P961" s="10"/>
      <c r="Q961" s="10"/>
      <c r="R961" s="10"/>
    </row>
    <row r="962" spans="13:18" x14ac:dyDescent="0.3">
      <c r="M962" s="10"/>
      <c r="N962" s="10"/>
      <c r="O962" s="10"/>
      <c r="P962" s="10"/>
      <c r="Q962" s="10"/>
      <c r="R962" s="10"/>
    </row>
    <row r="963" spans="13:18" x14ac:dyDescent="0.3">
      <c r="M963" s="10"/>
      <c r="N963" s="10"/>
      <c r="O963" s="10"/>
      <c r="P963" s="10"/>
      <c r="Q963" s="10"/>
      <c r="R963" s="10"/>
    </row>
    <row r="964" spans="13:18" x14ac:dyDescent="0.3">
      <c r="M964" s="10"/>
      <c r="N964" s="10"/>
      <c r="O964" s="10"/>
      <c r="P964" s="10"/>
      <c r="Q964" s="10"/>
      <c r="R964" s="10"/>
    </row>
    <row r="965" spans="13:18" x14ac:dyDescent="0.3">
      <c r="M965" s="10"/>
      <c r="N965" s="10"/>
      <c r="O965" s="10"/>
      <c r="P965" s="10"/>
      <c r="Q965" s="10"/>
      <c r="R965" s="10"/>
    </row>
    <row r="966" spans="13:18" x14ac:dyDescent="0.3">
      <c r="M966" s="10"/>
      <c r="N966" s="10"/>
      <c r="O966" s="10"/>
      <c r="P966" s="10"/>
      <c r="Q966" s="10"/>
      <c r="R966" s="10"/>
    </row>
    <row r="967" spans="13:18" x14ac:dyDescent="0.3">
      <c r="M967" s="10"/>
      <c r="N967" s="10"/>
      <c r="O967" s="10"/>
      <c r="P967" s="10"/>
      <c r="Q967" s="10"/>
      <c r="R967" s="10"/>
    </row>
    <row r="968" spans="13:18" x14ac:dyDescent="0.3">
      <c r="M968" s="10"/>
      <c r="N968" s="10"/>
      <c r="O968" s="10"/>
      <c r="P968" s="10"/>
      <c r="Q968" s="10"/>
      <c r="R968" s="10"/>
    </row>
    <row r="969" spans="13:18" x14ac:dyDescent="0.3">
      <c r="M969" s="10"/>
      <c r="N969" s="10"/>
      <c r="O969" s="10"/>
      <c r="P969" s="10"/>
      <c r="Q969" s="10"/>
      <c r="R969" s="10"/>
    </row>
    <row r="970" spans="13:18" x14ac:dyDescent="0.3">
      <c r="M970" s="10"/>
      <c r="N970" s="10"/>
      <c r="O970" s="10"/>
      <c r="P970" s="10"/>
      <c r="Q970" s="10"/>
      <c r="R970" s="10"/>
    </row>
    <row r="971" spans="13:18" x14ac:dyDescent="0.3">
      <c r="M971" s="10"/>
      <c r="N971" s="10"/>
      <c r="O971" s="10"/>
      <c r="P971" s="10"/>
      <c r="Q971" s="10"/>
      <c r="R971" s="10"/>
    </row>
    <row r="972" spans="13:18" x14ac:dyDescent="0.3">
      <c r="M972" s="10"/>
      <c r="N972" s="10"/>
      <c r="O972" s="10"/>
      <c r="P972" s="10"/>
      <c r="Q972" s="10"/>
      <c r="R972" s="10"/>
    </row>
    <row r="973" spans="13:18" x14ac:dyDescent="0.3">
      <c r="M973" s="10"/>
      <c r="N973" s="10"/>
      <c r="O973" s="10"/>
      <c r="P973" s="10"/>
      <c r="Q973" s="10"/>
      <c r="R973" s="10"/>
    </row>
    <row r="974" spans="13:18" x14ac:dyDescent="0.3">
      <c r="M974" s="10"/>
      <c r="N974" s="10"/>
      <c r="O974" s="10"/>
      <c r="P974" s="10"/>
      <c r="Q974" s="10"/>
      <c r="R974" s="10"/>
    </row>
    <row r="975" spans="13:18" x14ac:dyDescent="0.3">
      <c r="M975" s="10"/>
      <c r="N975" s="10"/>
      <c r="O975" s="10"/>
      <c r="P975" s="10"/>
      <c r="Q975" s="10"/>
      <c r="R975" s="10"/>
    </row>
    <row r="976" spans="13:18" x14ac:dyDescent="0.3">
      <c r="M976" s="10"/>
      <c r="N976" s="10"/>
      <c r="O976" s="10"/>
      <c r="P976" s="10"/>
      <c r="Q976" s="10"/>
      <c r="R976" s="10"/>
    </row>
    <row r="977" spans="13:18" x14ac:dyDescent="0.3">
      <c r="M977" s="10"/>
      <c r="N977" s="10"/>
      <c r="O977" s="10"/>
      <c r="P977" s="10"/>
      <c r="Q977" s="10"/>
      <c r="R977" s="10"/>
    </row>
    <row r="978" spans="13:18" x14ac:dyDescent="0.3">
      <c r="M978" s="10"/>
      <c r="N978" s="10"/>
      <c r="O978" s="10"/>
      <c r="P978" s="10"/>
      <c r="Q978" s="10"/>
      <c r="R978" s="10"/>
    </row>
    <row r="979" spans="13:18" x14ac:dyDescent="0.3">
      <c r="M979" s="10"/>
      <c r="N979" s="10"/>
      <c r="O979" s="10"/>
      <c r="P979" s="10"/>
      <c r="Q979" s="10"/>
      <c r="R979" s="10"/>
    </row>
    <row r="980" spans="13:18" x14ac:dyDescent="0.3">
      <c r="M980" s="10"/>
      <c r="N980" s="10"/>
      <c r="O980" s="10"/>
      <c r="P980" s="10"/>
      <c r="Q980" s="10"/>
      <c r="R980" s="10"/>
    </row>
    <row r="981" spans="13:18" x14ac:dyDescent="0.3">
      <c r="M981" s="10"/>
      <c r="N981" s="10"/>
      <c r="O981" s="10"/>
      <c r="P981" s="10"/>
      <c r="Q981" s="10"/>
      <c r="R981" s="10"/>
    </row>
    <row r="982" spans="13:18" x14ac:dyDescent="0.3">
      <c r="M982" s="10"/>
      <c r="N982" s="10"/>
      <c r="O982" s="10"/>
      <c r="P982" s="10"/>
      <c r="Q982" s="10"/>
      <c r="R982" s="10"/>
    </row>
    <row r="983" spans="13:18" x14ac:dyDescent="0.3">
      <c r="M983" s="10"/>
      <c r="N983" s="10"/>
      <c r="O983" s="10"/>
      <c r="P983" s="10"/>
      <c r="Q983" s="10"/>
      <c r="R983" s="10"/>
    </row>
    <row r="984" spans="13:18" x14ac:dyDescent="0.3">
      <c r="M984" s="10"/>
      <c r="N984" s="10"/>
      <c r="O984" s="10"/>
      <c r="P984" s="10"/>
      <c r="Q984" s="10"/>
      <c r="R984" s="10"/>
    </row>
    <row r="985" spans="13:18" x14ac:dyDescent="0.3">
      <c r="M985" s="10"/>
      <c r="N985" s="10"/>
      <c r="O985" s="10"/>
      <c r="P985" s="10"/>
      <c r="Q985" s="10"/>
      <c r="R985" s="10"/>
    </row>
    <row r="986" spans="13:18" x14ac:dyDescent="0.3">
      <c r="M986" s="10"/>
      <c r="N986" s="10"/>
      <c r="O986" s="10"/>
      <c r="P986" s="10"/>
      <c r="Q986" s="10"/>
      <c r="R986" s="10"/>
    </row>
    <row r="987" spans="13:18" x14ac:dyDescent="0.3">
      <c r="M987" s="10"/>
      <c r="N987" s="10"/>
      <c r="O987" s="10"/>
      <c r="P987" s="10"/>
      <c r="Q987" s="10"/>
      <c r="R987" s="10"/>
    </row>
    <row r="988" spans="13:18" x14ac:dyDescent="0.3">
      <c r="M988" s="10"/>
      <c r="N988" s="10"/>
      <c r="O988" s="10"/>
      <c r="P988" s="10"/>
      <c r="Q988" s="10"/>
      <c r="R988" s="10"/>
    </row>
    <row r="989" spans="13:18" x14ac:dyDescent="0.3">
      <c r="M989" s="10"/>
      <c r="N989" s="10"/>
      <c r="O989" s="10"/>
      <c r="P989" s="10"/>
      <c r="Q989" s="10"/>
      <c r="R989" s="10"/>
    </row>
    <row r="990" spans="13:18" x14ac:dyDescent="0.3">
      <c r="M990" s="10"/>
      <c r="N990" s="10"/>
      <c r="O990" s="10"/>
      <c r="P990" s="10"/>
      <c r="Q990" s="10"/>
      <c r="R990" s="10"/>
    </row>
    <row r="991" spans="13:18" x14ac:dyDescent="0.3">
      <c r="M991" s="10"/>
      <c r="N991" s="10"/>
      <c r="O991" s="10"/>
      <c r="P991" s="10"/>
      <c r="Q991" s="10"/>
      <c r="R991" s="10"/>
    </row>
    <row r="992" spans="13:18" x14ac:dyDescent="0.3">
      <c r="M992" s="10"/>
      <c r="N992" s="10"/>
      <c r="O992" s="10"/>
      <c r="P992" s="10"/>
      <c r="Q992" s="10"/>
      <c r="R992" s="10"/>
    </row>
    <row r="993" spans="13:18" x14ac:dyDescent="0.3">
      <c r="M993" s="10"/>
      <c r="N993" s="10"/>
      <c r="O993" s="10"/>
      <c r="P993" s="10"/>
      <c r="Q993" s="10"/>
      <c r="R993" s="10"/>
    </row>
    <row r="994" spans="13:18" x14ac:dyDescent="0.3">
      <c r="M994" s="10"/>
      <c r="N994" s="10"/>
      <c r="O994" s="10"/>
      <c r="P994" s="10"/>
      <c r="Q994" s="10"/>
      <c r="R994" s="10"/>
    </row>
    <row r="995" spans="13:18" x14ac:dyDescent="0.3">
      <c r="M995" s="10"/>
      <c r="N995" s="10"/>
      <c r="O995" s="10"/>
      <c r="P995" s="10"/>
      <c r="Q995" s="10"/>
      <c r="R995" s="10"/>
    </row>
  </sheetData>
  <mergeCells count="13">
    <mergeCell ref="B34:O34"/>
    <mergeCell ref="T66:V66"/>
    <mergeCell ref="S47:S48"/>
    <mergeCell ref="S50:S51"/>
    <mergeCell ref="S52:S53"/>
    <mergeCell ref="S54:S55"/>
    <mergeCell ref="S56:S57"/>
    <mergeCell ref="S58:S59"/>
    <mergeCell ref="X2:Z2"/>
    <mergeCell ref="M22:N22"/>
    <mergeCell ref="F4:I4"/>
    <mergeCell ref="O22:R22"/>
    <mergeCell ref="B1:Q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ScrollBar4">
          <controlPr defaultSize="0" autoLine="0" linkedCell="'Calculs 3D'!E24" r:id="rId5">
            <anchor moveWithCells="1" sizeWithCells="1">
              <from>
                <xdr:col>11</xdr:col>
                <xdr:colOff>167640</xdr:colOff>
                <xdr:row>28</xdr:row>
                <xdr:rowOff>53340</xdr:rowOff>
              </from>
              <to>
                <xdr:col>17</xdr:col>
                <xdr:colOff>76200</xdr:colOff>
                <xdr:row>29</xdr:row>
                <xdr:rowOff>15240</xdr:rowOff>
              </to>
            </anchor>
          </controlPr>
        </control>
      </mc:Choice>
      <mc:Fallback>
        <control shapeId="1048" r:id="rId4" name="ScrollBar4"/>
      </mc:Fallback>
    </mc:AlternateContent>
    <mc:AlternateContent xmlns:mc="http://schemas.openxmlformats.org/markup-compatibility/2006">
      <mc:Choice Requires="x14">
        <control shapeId="1046" r:id="rId6" name="ScrollBar2">
          <controlPr defaultSize="0" autoLine="0" linkedCell="'Calculs 3D'!E23" r:id="rId7">
            <anchor moveWithCells="1" sizeWithCells="1">
              <from>
                <xdr:col>11</xdr:col>
                <xdr:colOff>22860</xdr:colOff>
                <xdr:row>1</xdr:row>
                <xdr:rowOff>106680</xdr:rowOff>
              </from>
              <to>
                <xdr:col>11</xdr:col>
                <xdr:colOff>167640</xdr:colOff>
                <xdr:row>29</xdr:row>
                <xdr:rowOff>15240</xdr:rowOff>
              </to>
            </anchor>
          </controlPr>
        </control>
      </mc:Choice>
      <mc:Fallback>
        <control shapeId="1046" r:id="rId6" name="ScrollBar2"/>
      </mc:Fallback>
    </mc:AlternateContent>
    <mc:AlternateContent xmlns:mc="http://schemas.openxmlformats.org/markup-compatibility/2006">
      <mc:Choice Requires="x14">
        <control shapeId="1050" r:id="rId8" name="CheckBox122">
          <controlPr locked="0" defaultSize="0" autoLine="0" linkedCell="Lignes" r:id="rId9">
            <anchor moveWithCells="1" sizeWithCells="1">
              <from>
                <xdr:col>6</xdr:col>
                <xdr:colOff>38100</xdr:colOff>
                <xdr:row>9</xdr:row>
                <xdr:rowOff>22860</xdr:rowOff>
              </from>
              <to>
                <xdr:col>6</xdr:col>
                <xdr:colOff>975360</xdr:colOff>
                <xdr:row>10</xdr:row>
                <xdr:rowOff>175260</xdr:rowOff>
              </to>
            </anchor>
          </controlPr>
        </control>
      </mc:Choice>
      <mc:Fallback>
        <control shapeId="1050" r:id="rId8" name="CheckBox122"/>
      </mc:Fallback>
    </mc:AlternateContent>
    <mc:AlternateContent xmlns:mc="http://schemas.openxmlformats.org/markup-compatibility/2006">
      <mc:Choice Requires="x14">
        <control shapeId="1078" r:id="rId10" name="TargetList">
          <controlPr defaultSize="0" autoLine="0" linkedCell="Target" r:id="rId11">
            <anchor moveWithCells="1" sizeWithCells="1">
              <from>
                <xdr:col>15</xdr:col>
                <xdr:colOff>411480</xdr:colOff>
                <xdr:row>3</xdr:row>
                <xdr:rowOff>53340</xdr:rowOff>
              </from>
              <to>
                <xdr:col>16</xdr:col>
                <xdr:colOff>723900</xdr:colOff>
                <xdr:row>4</xdr:row>
                <xdr:rowOff>83820</xdr:rowOff>
              </to>
            </anchor>
          </controlPr>
        </control>
      </mc:Choice>
      <mc:Fallback>
        <control shapeId="1078" r:id="rId10" name="TargetList"/>
      </mc:Fallback>
    </mc:AlternateContent>
    <mc:AlternateContent xmlns:mc="http://schemas.openxmlformats.org/markup-compatibility/2006">
      <mc:Choice Requires="x14">
        <control shapeId="1079" r:id="rId12" name="CheckBox1">
          <controlPr autoLine="0" linkedCell="Body1Actif" r:id="rId13">
            <anchor moveWithCells="1" sizeWithCells="1">
              <from>
                <xdr:col>3</xdr:col>
                <xdr:colOff>99060</xdr:colOff>
                <xdr:row>5</xdr:row>
                <xdr:rowOff>22860</xdr:rowOff>
              </from>
              <to>
                <xdr:col>3</xdr:col>
                <xdr:colOff>1120140</xdr:colOff>
                <xdr:row>6</xdr:row>
                <xdr:rowOff>160020</xdr:rowOff>
              </to>
            </anchor>
          </controlPr>
        </control>
      </mc:Choice>
      <mc:Fallback>
        <control shapeId="1079" r:id="rId12" name="CheckBox1"/>
      </mc:Fallback>
    </mc:AlternateContent>
    <mc:AlternateContent xmlns:mc="http://schemas.openxmlformats.org/markup-compatibility/2006">
      <mc:Choice Requires="x14">
        <control shapeId="1080" r:id="rId14" name="CheckBox2">
          <controlPr autoLine="0" linkedCell="Body2Actif" r:id="rId15">
            <anchor moveWithCells="1" sizeWithCells="1">
              <from>
                <xdr:col>3</xdr:col>
                <xdr:colOff>99060</xdr:colOff>
                <xdr:row>6</xdr:row>
                <xdr:rowOff>152400</xdr:rowOff>
              </from>
              <to>
                <xdr:col>3</xdr:col>
                <xdr:colOff>1120140</xdr:colOff>
                <xdr:row>8</xdr:row>
                <xdr:rowOff>167640</xdr:rowOff>
              </to>
            </anchor>
          </controlPr>
        </control>
      </mc:Choice>
      <mc:Fallback>
        <control shapeId="1080" r:id="rId14" name="CheckBox2"/>
      </mc:Fallback>
    </mc:AlternateContent>
    <mc:AlternateContent xmlns:mc="http://schemas.openxmlformats.org/markup-compatibility/2006">
      <mc:Choice Requires="x14">
        <control shapeId="1081" r:id="rId16" name="CheckBox3">
          <controlPr autoLine="0" linkedCell="Body3Actif" r:id="rId17">
            <anchor moveWithCells="1" sizeWithCells="1">
              <from>
                <xdr:col>3</xdr:col>
                <xdr:colOff>99060</xdr:colOff>
                <xdr:row>8</xdr:row>
                <xdr:rowOff>137160</xdr:rowOff>
              </from>
              <to>
                <xdr:col>3</xdr:col>
                <xdr:colOff>1120140</xdr:colOff>
                <xdr:row>10</xdr:row>
                <xdr:rowOff>91440</xdr:rowOff>
              </to>
            </anchor>
          </controlPr>
        </control>
      </mc:Choice>
      <mc:Fallback>
        <control shapeId="1081" r:id="rId16" name="CheckBox3"/>
      </mc:Fallback>
    </mc:AlternateContent>
    <mc:AlternateContent xmlns:mc="http://schemas.openxmlformats.org/markup-compatibility/2006">
      <mc:Choice Requires="x14">
        <control shapeId="1082" r:id="rId18" name="CheckBox4">
          <controlPr autoLine="0" linkedCell="Body4Actif" r:id="rId19">
            <anchor moveWithCells="1" sizeWithCells="1">
              <from>
                <xdr:col>3</xdr:col>
                <xdr:colOff>99060</xdr:colOff>
                <xdr:row>10</xdr:row>
                <xdr:rowOff>83820</xdr:rowOff>
              </from>
              <to>
                <xdr:col>3</xdr:col>
                <xdr:colOff>1120140</xdr:colOff>
                <xdr:row>11</xdr:row>
                <xdr:rowOff>121920</xdr:rowOff>
              </to>
            </anchor>
          </controlPr>
        </control>
      </mc:Choice>
      <mc:Fallback>
        <control shapeId="1082" r:id="rId18" name="CheckBox4"/>
      </mc:Fallback>
    </mc:AlternateContent>
    <mc:AlternateContent xmlns:mc="http://schemas.openxmlformats.org/markup-compatibility/2006">
      <mc:Choice Requires="x14">
        <control shapeId="1083" r:id="rId20" name="CheckBox5">
          <controlPr autoLine="0" linkedCell="Body5Actif" r:id="rId21">
            <anchor moveWithCells="1" sizeWithCells="1">
              <from>
                <xdr:col>3</xdr:col>
                <xdr:colOff>99060</xdr:colOff>
                <xdr:row>11</xdr:row>
                <xdr:rowOff>106680</xdr:rowOff>
              </from>
              <to>
                <xdr:col>3</xdr:col>
                <xdr:colOff>1120140</xdr:colOff>
                <xdr:row>13</xdr:row>
                <xdr:rowOff>7620</xdr:rowOff>
              </to>
            </anchor>
          </controlPr>
        </control>
      </mc:Choice>
      <mc:Fallback>
        <control shapeId="1083" r:id="rId20" name="CheckBox5"/>
      </mc:Fallback>
    </mc:AlternateContent>
    <mc:AlternateContent xmlns:mc="http://schemas.openxmlformats.org/markup-compatibility/2006">
      <mc:Choice Requires="x14">
        <control shapeId="1084" r:id="rId22" name="CheckBox6">
          <controlPr autoLine="0" linkedCell="Body6Actif" r:id="rId23">
            <anchor moveWithCells="1" sizeWithCells="1">
              <from>
                <xdr:col>3</xdr:col>
                <xdr:colOff>99060</xdr:colOff>
                <xdr:row>13</xdr:row>
                <xdr:rowOff>7620</xdr:rowOff>
              </from>
              <to>
                <xdr:col>3</xdr:col>
                <xdr:colOff>1120140</xdr:colOff>
                <xdr:row>14</xdr:row>
                <xdr:rowOff>76200</xdr:rowOff>
              </to>
            </anchor>
          </controlPr>
        </control>
      </mc:Choice>
      <mc:Fallback>
        <control shapeId="1084" r:id="rId22" name="CheckBox6"/>
      </mc:Fallback>
    </mc:AlternateContent>
    <mc:AlternateContent xmlns:mc="http://schemas.openxmlformats.org/markup-compatibility/2006">
      <mc:Choice Requires="x14">
        <control shapeId="1085" r:id="rId24" name="CheckBox7">
          <controlPr autoLine="0" linkedCell="Body7Actif" r:id="rId25">
            <anchor moveWithCells="1" sizeWithCells="1">
              <from>
                <xdr:col>3</xdr:col>
                <xdr:colOff>99060</xdr:colOff>
                <xdr:row>14</xdr:row>
                <xdr:rowOff>76200</xdr:rowOff>
              </from>
              <to>
                <xdr:col>3</xdr:col>
                <xdr:colOff>1120140</xdr:colOff>
                <xdr:row>15</xdr:row>
                <xdr:rowOff>144780</xdr:rowOff>
              </to>
            </anchor>
          </controlPr>
        </control>
      </mc:Choice>
      <mc:Fallback>
        <control shapeId="1085" r:id="rId24" name="CheckBox7"/>
      </mc:Fallback>
    </mc:AlternateContent>
    <mc:AlternateContent xmlns:mc="http://schemas.openxmlformats.org/markup-compatibility/2006">
      <mc:Choice Requires="x14">
        <control shapeId="1087" r:id="rId26" name="CheckBox8">
          <controlPr autoLine="0" linkedCell="Body8Actif" r:id="rId27">
            <anchor moveWithCells="1" sizeWithCells="1">
              <from>
                <xdr:col>3</xdr:col>
                <xdr:colOff>99060</xdr:colOff>
                <xdr:row>15</xdr:row>
                <xdr:rowOff>144780</xdr:rowOff>
              </from>
              <to>
                <xdr:col>3</xdr:col>
                <xdr:colOff>1120140</xdr:colOff>
                <xdr:row>17</xdr:row>
                <xdr:rowOff>38100</xdr:rowOff>
              </to>
            </anchor>
          </controlPr>
        </control>
      </mc:Choice>
      <mc:Fallback>
        <control shapeId="1087" r:id="rId26" name="CheckBox8"/>
      </mc:Fallback>
    </mc:AlternateContent>
    <mc:AlternateContent xmlns:mc="http://schemas.openxmlformats.org/markup-compatibility/2006">
      <mc:Choice Requires="x14">
        <control shapeId="1088" r:id="rId28" name="CheckBox9">
          <controlPr autoLine="0" linkedCell="Body9Actif" r:id="rId29">
            <anchor moveWithCells="1" sizeWithCells="1">
              <from>
                <xdr:col>3</xdr:col>
                <xdr:colOff>99060</xdr:colOff>
                <xdr:row>17</xdr:row>
                <xdr:rowOff>30480</xdr:rowOff>
              </from>
              <to>
                <xdr:col>3</xdr:col>
                <xdr:colOff>1120140</xdr:colOff>
                <xdr:row>18</xdr:row>
                <xdr:rowOff>106680</xdr:rowOff>
              </to>
            </anchor>
          </controlPr>
        </control>
      </mc:Choice>
      <mc:Fallback>
        <control shapeId="1088" r:id="rId28" name="CheckBox9"/>
      </mc:Fallback>
    </mc:AlternateContent>
    <mc:AlternateContent xmlns:mc="http://schemas.openxmlformats.org/markup-compatibility/2006">
      <mc:Choice Requires="x14">
        <control shapeId="1089" r:id="rId30" name="CheckBox10">
          <controlPr autoLine="0" linkedCell="Body10Actif" r:id="rId31">
            <anchor moveWithCells="1" sizeWithCells="1">
              <from>
                <xdr:col>3</xdr:col>
                <xdr:colOff>99060</xdr:colOff>
                <xdr:row>18</xdr:row>
                <xdr:rowOff>91440</xdr:rowOff>
              </from>
              <to>
                <xdr:col>3</xdr:col>
                <xdr:colOff>1120140</xdr:colOff>
                <xdr:row>19</xdr:row>
                <xdr:rowOff>167640</xdr:rowOff>
              </to>
            </anchor>
          </controlPr>
        </control>
      </mc:Choice>
      <mc:Fallback>
        <control shapeId="1089" r:id="rId30" name="CheckBox10"/>
      </mc:Fallback>
    </mc:AlternateContent>
    <mc:AlternateContent xmlns:mc="http://schemas.openxmlformats.org/markup-compatibility/2006">
      <mc:Choice Requires="x14">
        <control shapeId="1109" r:id="rId32" name="Label1">
          <controlPr autoLine="0" r:id="rId33">
            <anchor moveWithCells="1">
              <from>
                <xdr:col>6</xdr:col>
                <xdr:colOff>0</xdr:colOff>
                <xdr:row>28</xdr:row>
                <xdr:rowOff>22860</xdr:rowOff>
              </from>
              <to>
                <xdr:col>6</xdr:col>
                <xdr:colOff>914400</xdr:colOff>
                <xdr:row>29</xdr:row>
                <xdr:rowOff>7620</xdr:rowOff>
              </to>
            </anchor>
          </controlPr>
        </control>
      </mc:Choice>
      <mc:Fallback>
        <control shapeId="1109" r:id="rId32" name="Label1"/>
      </mc:Fallback>
    </mc:AlternateContent>
    <mc:AlternateContent xmlns:mc="http://schemas.openxmlformats.org/markup-compatibility/2006">
      <mc:Choice Requires="x14">
        <control shapeId="1110" r:id="rId34" name="Label2">
          <controlPr autoLine="0" r:id="rId35">
            <anchor moveWithCells="1">
              <from>
                <xdr:col>6</xdr:col>
                <xdr:colOff>0</xdr:colOff>
                <xdr:row>19</xdr:row>
                <xdr:rowOff>7620</xdr:rowOff>
              </from>
              <to>
                <xdr:col>6</xdr:col>
                <xdr:colOff>914400</xdr:colOff>
                <xdr:row>20</xdr:row>
                <xdr:rowOff>0</xdr:rowOff>
              </to>
            </anchor>
          </controlPr>
        </control>
      </mc:Choice>
      <mc:Fallback>
        <control shapeId="1110" r:id="rId34" name="Label2"/>
      </mc:Fallback>
    </mc:AlternateContent>
    <mc:AlternateContent xmlns:mc="http://schemas.openxmlformats.org/markup-compatibility/2006">
      <mc:Choice Requires="x14">
        <control shapeId="1111" r:id="rId36" name="SituationAleaButton">
          <controlPr autoLine="0" r:id="rId37">
            <anchor moveWithCells="1" sizeWithCells="1">
              <from>
                <xdr:col>2</xdr:col>
                <xdr:colOff>106680</xdr:colOff>
                <xdr:row>27</xdr:row>
                <xdr:rowOff>121920</xdr:rowOff>
              </from>
              <to>
                <xdr:col>4</xdr:col>
                <xdr:colOff>0</xdr:colOff>
                <xdr:row>29</xdr:row>
                <xdr:rowOff>7620</xdr:rowOff>
              </to>
            </anchor>
          </controlPr>
        </control>
      </mc:Choice>
      <mc:Fallback>
        <control shapeId="1111" r:id="rId36" name="SituationAleaButton"/>
      </mc:Fallback>
    </mc:AlternateContent>
    <mc:AlternateContent xmlns:mc="http://schemas.openxmlformats.org/markup-compatibility/2006">
      <mc:Choice Requires="x14">
        <control shapeId="1115" r:id="rId38" name="Situation4Button">
          <controlPr autoLine="0" r:id="rId39">
            <anchor moveWithCells="1" sizeWithCells="1">
              <from>
                <xdr:col>2</xdr:col>
                <xdr:colOff>106680</xdr:colOff>
                <xdr:row>25</xdr:row>
                <xdr:rowOff>152400</xdr:rowOff>
              </from>
              <to>
                <xdr:col>4</xdr:col>
                <xdr:colOff>0</xdr:colOff>
                <xdr:row>27</xdr:row>
                <xdr:rowOff>38100</xdr:rowOff>
              </to>
            </anchor>
          </controlPr>
        </control>
      </mc:Choice>
      <mc:Fallback>
        <control shapeId="1115" r:id="rId38" name="Situation4Button"/>
      </mc:Fallback>
    </mc:AlternateContent>
    <mc:AlternateContent xmlns:mc="http://schemas.openxmlformats.org/markup-compatibility/2006">
      <mc:Choice Requires="x14">
        <control shapeId="1116" r:id="rId40" name="Situation3Button">
          <controlPr autoLine="0" r:id="rId41">
            <anchor moveWithCells="1" sizeWithCells="1">
              <from>
                <xdr:col>2</xdr:col>
                <xdr:colOff>106680</xdr:colOff>
                <xdr:row>24</xdr:row>
                <xdr:rowOff>22860</xdr:rowOff>
              </from>
              <to>
                <xdr:col>4</xdr:col>
                <xdr:colOff>0</xdr:colOff>
                <xdr:row>25</xdr:row>
                <xdr:rowOff>83820</xdr:rowOff>
              </to>
            </anchor>
          </controlPr>
        </control>
      </mc:Choice>
      <mc:Fallback>
        <control shapeId="1116" r:id="rId40" name="Situation3Button"/>
      </mc:Fallback>
    </mc:AlternateContent>
    <mc:AlternateContent xmlns:mc="http://schemas.openxmlformats.org/markup-compatibility/2006">
      <mc:Choice Requires="x14">
        <control shapeId="1117" r:id="rId42" name="Situation2Button">
          <controlPr autoLine="0" r:id="rId43">
            <anchor moveWithCells="1" sizeWithCells="1">
              <from>
                <xdr:col>2</xdr:col>
                <xdr:colOff>106680</xdr:colOff>
                <xdr:row>22</xdr:row>
                <xdr:rowOff>60960</xdr:rowOff>
              </from>
              <to>
                <xdr:col>4</xdr:col>
                <xdr:colOff>0</xdr:colOff>
                <xdr:row>23</xdr:row>
                <xdr:rowOff>137160</xdr:rowOff>
              </to>
            </anchor>
          </controlPr>
        </control>
      </mc:Choice>
      <mc:Fallback>
        <control shapeId="1117" r:id="rId42" name="Situation2Button"/>
      </mc:Fallback>
    </mc:AlternateContent>
    <mc:AlternateContent xmlns:mc="http://schemas.openxmlformats.org/markup-compatibility/2006">
      <mc:Choice Requires="x14">
        <control shapeId="1118" r:id="rId44" name="Situation1Button">
          <controlPr autoLine="0" r:id="rId45">
            <anchor moveWithCells="1" sizeWithCells="1">
              <from>
                <xdr:col>2</xdr:col>
                <xdr:colOff>106680</xdr:colOff>
                <xdr:row>20</xdr:row>
                <xdr:rowOff>106680</xdr:rowOff>
              </from>
              <to>
                <xdr:col>4</xdr:col>
                <xdr:colOff>0</xdr:colOff>
                <xdr:row>21</xdr:row>
                <xdr:rowOff>175260</xdr:rowOff>
              </to>
            </anchor>
          </controlPr>
        </control>
      </mc:Choice>
      <mc:Fallback>
        <control shapeId="1118" r:id="rId44" name="Situation1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2:AI26"/>
  <sheetViews>
    <sheetView zoomScale="50" zoomScaleNormal="50" workbookViewId="0">
      <selection activeCell="J26" sqref="J26"/>
    </sheetView>
  </sheetViews>
  <sheetFormatPr defaultColWidth="11.5546875" defaultRowHeight="14.4" x14ac:dyDescent="0.3"/>
  <cols>
    <col min="15" max="15" width="12" bestFit="1" customWidth="1"/>
    <col min="16" max="16" width="13" bestFit="1" customWidth="1"/>
  </cols>
  <sheetData>
    <row r="2" spans="2:35" ht="15" thickBot="1" x14ac:dyDescent="0.35">
      <c r="B2" s="60" t="s">
        <v>74</v>
      </c>
      <c r="C2" s="60" t="s">
        <v>73</v>
      </c>
      <c r="D2" s="60" t="s">
        <v>76</v>
      </c>
      <c r="E2" s="57" t="s">
        <v>68</v>
      </c>
      <c r="F2" s="57" t="s">
        <v>67</v>
      </c>
      <c r="G2" s="57" t="s">
        <v>91</v>
      </c>
      <c r="H2" s="57" t="s">
        <v>69</v>
      </c>
      <c r="I2" s="57" t="s">
        <v>70</v>
      </c>
      <c r="J2" s="57" t="s">
        <v>92</v>
      </c>
      <c r="K2" s="57" t="s">
        <v>71</v>
      </c>
      <c r="L2" s="57" t="s">
        <v>72</v>
      </c>
      <c r="M2" s="57" t="s">
        <v>93</v>
      </c>
      <c r="N2" s="57" t="s">
        <v>38</v>
      </c>
      <c r="O2" s="57" t="s">
        <v>75</v>
      </c>
      <c r="P2" s="60" t="s">
        <v>39</v>
      </c>
      <c r="Q2" s="60" t="s">
        <v>37</v>
      </c>
      <c r="R2" s="60" t="s">
        <v>77</v>
      </c>
      <c r="T2" s="57" t="s">
        <v>117</v>
      </c>
      <c r="U2" s="16"/>
      <c r="V2" s="16"/>
    </row>
    <row r="3" spans="2:35" x14ac:dyDescent="0.3">
      <c r="B3" s="57">
        <v>1</v>
      </c>
      <c r="C3" s="57" t="s">
        <v>55</v>
      </c>
      <c r="D3" s="79" t="b">
        <v>1</v>
      </c>
      <c r="E3" s="85">
        <v>-19739.913708751279</v>
      </c>
      <c r="F3" s="86">
        <v>61589.833388683801</v>
      </c>
      <c r="G3" s="86">
        <v>85991.657558832609</v>
      </c>
      <c r="H3" s="86">
        <v>292.62858179829414</v>
      </c>
      <c r="I3" s="86">
        <v>1818.5394948091323</v>
      </c>
      <c r="J3" s="86">
        <v>783.97724675065729</v>
      </c>
      <c r="K3" s="86">
        <v>0</v>
      </c>
      <c r="L3" s="86">
        <v>0</v>
      </c>
      <c r="M3" s="86">
        <v>0</v>
      </c>
      <c r="N3" s="87">
        <v>1510.7396337319587</v>
      </c>
      <c r="O3" s="88">
        <v>1</v>
      </c>
      <c r="P3" s="82">
        <f t="shared" ref="P3:P12" si="0">4/3*PI()*N3^3</f>
        <v>14443002222.488197</v>
      </c>
      <c r="Q3" s="54">
        <f t="shared" ref="Q3:Q12" si="1">P3*O3</f>
        <v>14443002222.488197</v>
      </c>
      <c r="R3" s="54">
        <f t="shared" ref="R3:R12" si="2">N3*$D$15</f>
        <v>1510.7396337319587</v>
      </c>
      <c r="T3" s="54" t="s">
        <v>79</v>
      </c>
      <c r="U3" s="26"/>
      <c r="V3" s="26"/>
    </row>
    <row r="4" spans="2:35" x14ac:dyDescent="0.3">
      <c r="B4" s="58">
        <v>2</v>
      </c>
      <c r="C4" s="58" t="s">
        <v>56</v>
      </c>
      <c r="D4" s="80" t="b">
        <v>1</v>
      </c>
      <c r="E4" s="89">
        <v>8311.4248642611055</v>
      </c>
      <c r="F4" s="17">
        <v>5742.2158213895891</v>
      </c>
      <c r="G4" s="17">
        <v>15762.196411267083</v>
      </c>
      <c r="H4" s="17">
        <v>216.20752443205902</v>
      </c>
      <c r="I4" s="17">
        <v>1591.4973912898267</v>
      </c>
      <c r="J4" s="17">
        <v>1393.6911064085352</v>
      </c>
      <c r="K4" s="17">
        <v>0</v>
      </c>
      <c r="L4" s="17">
        <v>0</v>
      </c>
      <c r="M4" s="17">
        <v>0</v>
      </c>
      <c r="N4" s="18">
        <v>5888.6764277936491</v>
      </c>
      <c r="O4" s="90">
        <v>1</v>
      </c>
      <c r="P4" s="83">
        <f t="shared" si="0"/>
        <v>855345713168.03992</v>
      </c>
      <c r="Q4" s="55">
        <f t="shared" si="1"/>
        <v>855345713168.03992</v>
      </c>
      <c r="R4" s="55">
        <f t="shared" si="2"/>
        <v>5888.6764277936491</v>
      </c>
      <c r="T4" s="55" t="str">
        <f>IF(Body1Actif=TRUE,C3,"")</f>
        <v>Body1</v>
      </c>
      <c r="U4" s="26"/>
      <c r="V4" s="26"/>
    </row>
    <row r="5" spans="2:35" x14ac:dyDescent="0.3">
      <c r="B5" s="58">
        <v>3</v>
      </c>
      <c r="C5" s="58" t="s">
        <v>57</v>
      </c>
      <c r="D5" s="80" t="b">
        <v>1</v>
      </c>
      <c r="E5" s="89">
        <v>36162.963789301153</v>
      </c>
      <c r="F5" s="17">
        <v>99028.618103895365</v>
      </c>
      <c r="G5" s="17">
        <v>-86953.224038707995</v>
      </c>
      <c r="H5" s="17">
        <v>312.52532236448792</v>
      </c>
      <c r="I5" s="17">
        <v>-353.52431210841996</v>
      </c>
      <c r="J5" s="17">
        <v>735.20464685849083</v>
      </c>
      <c r="K5" s="17">
        <v>0</v>
      </c>
      <c r="L5" s="17">
        <v>0</v>
      </c>
      <c r="M5" s="17">
        <v>0</v>
      </c>
      <c r="N5" s="18">
        <v>2617.0586134107234</v>
      </c>
      <c r="O5" s="90">
        <v>1</v>
      </c>
      <c r="P5" s="83">
        <f t="shared" si="0"/>
        <v>75080811469.307266</v>
      </c>
      <c r="Q5" s="55">
        <f t="shared" si="1"/>
        <v>75080811469.307266</v>
      </c>
      <c r="R5" s="55">
        <f t="shared" si="2"/>
        <v>2617.0586134107234</v>
      </c>
      <c r="T5" s="55" t="str">
        <f>IF(Body2Actif=TRUE,C4,"")</f>
        <v>Body2</v>
      </c>
      <c r="U5" s="26"/>
      <c r="V5" s="26"/>
    </row>
    <row r="6" spans="2:35" x14ac:dyDescent="0.3">
      <c r="B6" s="58">
        <v>4</v>
      </c>
      <c r="C6" s="58" t="s">
        <v>60</v>
      </c>
      <c r="D6" s="80" t="b">
        <v>1</v>
      </c>
      <c r="E6" s="89">
        <v>-30194.673994137178</v>
      </c>
      <c r="F6" s="17">
        <v>-22767.486374106942</v>
      </c>
      <c r="G6" s="17">
        <v>-86733.25927012894</v>
      </c>
      <c r="H6" s="17">
        <v>1480.544698285938</v>
      </c>
      <c r="I6" s="17">
        <v>-1178.5510571336017</v>
      </c>
      <c r="J6" s="17">
        <v>746.42303591611335</v>
      </c>
      <c r="K6" s="17">
        <v>0</v>
      </c>
      <c r="L6" s="17">
        <v>0</v>
      </c>
      <c r="M6" s="17">
        <v>0</v>
      </c>
      <c r="N6" s="18">
        <v>3402.9419283234629</v>
      </c>
      <c r="O6" s="90">
        <v>1</v>
      </c>
      <c r="P6" s="83">
        <f t="shared" si="0"/>
        <v>165063945924.18472</v>
      </c>
      <c r="Q6" s="55">
        <f t="shared" si="1"/>
        <v>165063945924.18472</v>
      </c>
      <c r="R6" s="55">
        <f t="shared" si="2"/>
        <v>3402.9419283234629</v>
      </c>
      <c r="T6" s="55" t="str">
        <f>IF(Body3Actif=TRUE,C5,"")</f>
        <v>Body3</v>
      </c>
      <c r="U6" s="26"/>
      <c r="V6" s="26"/>
    </row>
    <row r="7" spans="2:35" x14ac:dyDescent="0.3">
      <c r="B7" s="58">
        <v>5</v>
      </c>
      <c r="C7" s="58" t="s">
        <v>61</v>
      </c>
      <c r="D7" s="80" t="b">
        <v>1</v>
      </c>
      <c r="E7" s="89">
        <v>-2937.4020361835283</v>
      </c>
      <c r="F7" s="17">
        <v>4625.3317601333838</v>
      </c>
      <c r="G7" s="17">
        <v>-6788.3019803310017</v>
      </c>
      <c r="H7" s="17">
        <v>1253.5596523874731</v>
      </c>
      <c r="I7" s="17">
        <v>1804.3238648775457</v>
      </c>
      <c r="J7" s="17">
        <v>1910.3031797554531</v>
      </c>
      <c r="K7" s="17">
        <v>0</v>
      </c>
      <c r="L7" s="17">
        <v>0</v>
      </c>
      <c r="M7" s="17">
        <v>0</v>
      </c>
      <c r="N7" s="18">
        <v>3884.7706104065292</v>
      </c>
      <c r="O7" s="90">
        <v>1</v>
      </c>
      <c r="P7" s="83">
        <f t="shared" si="0"/>
        <v>245575336474.37561</v>
      </c>
      <c r="Q7" s="55">
        <f t="shared" si="1"/>
        <v>245575336474.37561</v>
      </c>
      <c r="R7" s="55">
        <f t="shared" si="2"/>
        <v>3884.7706104065292</v>
      </c>
      <c r="T7" s="55" t="str">
        <f>IF(Body4Actif=TRUE,C6,"")</f>
        <v>Body4</v>
      </c>
      <c r="U7" s="26"/>
      <c r="V7" s="26"/>
    </row>
    <row r="8" spans="2:35" x14ac:dyDescent="0.3">
      <c r="B8" s="58">
        <v>6</v>
      </c>
      <c r="C8" s="58" t="s">
        <v>62</v>
      </c>
      <c r="D8" s="80" t="b">
        <v>1</v>
      </c>
      <c r="E8" s="89">
        <v>45455.85245079462</v>
      </c>
      <c r="F8" s="17">
        <v>53584.426948413318</v>
      </c>
      <c r="G8" s="17">
        <v>54562.690324983421</v>
      </c>
      <c r="H8" s="17">
        <v>948.49781871767163</v>
      </c>
      <c r="I8" s="17">
        <v>-700.82907456220892</v>
      </c>
      <c r="J8" s="17">
        <v>1796.1848356986882</v>
      </c>
      <c r="K8" s="17">
        <v>0</v>
      </c>
      <c r="L8" s="17">
        <v>0</v>
      </c>
      <c r="M8" s="17">
        <v>0</v>
      </c>
      <c r="N8" s="18">
        <v>5629.6958188336248</v>
      </c>
      <c r="O8" s="90">
        <v>1</v>
      </c>
      <c r="P8" s="83">
        <f t="shared" si="0"/>
        <v>747383316309.90161</v>
      </c>
      <c r="Q8" s="55">
        <f t="shared" si="1"/>
        <v>747383316309.90161</v>
      </c>
      <c r="R8" s="55">
        <f t="shared" si="2"/>
        <v>5629.6958188336248</v>
      </c>
      <c r="T8" s="55" t="str">
        <f>IF(Body5Actif=TRUE,C7,"")</f>
        <v>Body5</v>
      </c>
      <c r="U8" s="26"/>
      <c r="V8" s="26"/>
    </row>
    <row r="9" spans="2:35" x14ac:dyDescent="0.3">
      <c r="B9" s="58">
        <v>7</v>
      </c>
      <c r="C9" s="58" t="s">
        <v>63</v>
      </c>
      <c r="D9" s="80" t="b">
        <v>1</v>
      </c>
      <c r="E9" s="89">
        <v>-78086.588555708789</v>
      </c>
      <c r="F9" s="17">
        <v>-83571.286689526896</v>
      </c>
      <c r="G9" s="17">
        <v>48627.511843166845</v>
      </c>
      <c r="H9" s="17">
        <v>-1078.1294688197681</v>
      </c>
      <c r="I9" s="17">
        <v>1018.7076253555132</v>
      </c>
      <c r="J9" s="17">
        <v>1311.8697344073462</v>
      </c>
      <c r="K9" s="17">
        <v>0</v>
      </c>
      <c r="L9" s="17">
        <v>0</v>
      </c>
      <c r="M9" s="17">
        <v>0</v>
      </c>
      <c r="N9" s="18">
        <v>5653.6980554255615</v>
      </c>
      <c r="O9" s="90">
        <v>1</v>
      </c>
      <c r="P9" s="83">
        <f t="shared" si="0"/>
        <v>756983548502.80225</v>
      </c>
      <c r="Q9" s="55">
        <f t="shared" si="1"/>
        <v>756983548502.80225</v>
      </c>
      <c r="R9" s="55">
        <f t="shared" si="2"/>
        <v>5653.6980554255615</v>
      </c>
      <c r="T9" s="55" t="str">
        <f>IF(Body6Actif=TRUE,C8,"")</f>
        <v>Body6</v>
      </c>
      <c r="U9" s="26"/>
      <c r="V9" s="26"/>
    </row>
    <row r="10" spans="2:35" x14ac:dyDescent="0.3">
      <c r="B10" s="58">
        <v>8</v>
      </c>
      <c r="C10" s="58" t="s">
        <v>64</v>
      </c>
      <c r="D10" s="80" t="b">
        <v>1</v>
      </c>
      <c r="E10" s="89">
        <v>72497.474231172499</v>
      </c>
      <c r="F10" s="17">
        <v>14659.496114544265</v>
      </c>
      <c r="G10" s="17">
        <v>-42245.444481099024</v>
      </c>
      <c r="H10" s="17">
        <v>-1187.7061985874079</v>
      </c>
      <c r="I10" s="17">
        <v>-1985.249196660438</v>
      </c>
      <c r="J10" s="17">
        <v>1758.6472614272984</v>
      </c>
      <c r="K10" s="17">
        <v>0</v>
      </c>
      <c r="L10" s="17">
        <v>0</v>
      </c>
      <c r="M10" s="17">
        <v>0</v>
      </c>
      <c r="N10" s="18">
        <v>2039.0654825532811</v>
      </c>
      <c r="O10" s="90">
        <v>1</v>
      </c>
      <c r="P10" s="83">
        <f t="shared" si="0"/>
        <v>35512572070.96106</v>
      </c>
      <c r="Q10" s="55">
        <f t="shared" si="1"/>
        <v>35512572070.96106</v>
      </c>
      <c r="R10" s="55">
        <f t="shared" si="2"/>
        <v>2039.0654825532811</v>
      </c>
      <c r="T10" s="55" t="str">
        <f>IF(Body7Actif=TRUE,C9,"")</f>
        <v>Body7</v>
      </c>
      <c r="U10" s="26"/>
      <c r="V10" s="26"/>
      <c r="AI10" t="s">
        <v>42</v>
      </c>
    </row>
    <row r="11" spans="2:35" x14ac:dyDescent="0.3">
      <c r="B11" s="58">
        <v>9</v>
      </c>
      <c r="C11" s="58" t="s">
        <v>65</v>
      </c>
      <c r="D11" s="80" t="b">
        <v>1</v>
      </c>
      <c r="E11" s="89">
        <v>-95906.233654415788</v>
      </c>
      <c r="F11" s="17">
        <v>11103.056724254246</v>
      </c>
      <c r="G11" s="17">
        <v>95480.526732266502</v>
      </c>
      <c r="H11" s="17">
        <v>671.77402322459307</v>
      </c>
      <c r="I11" s="17">
        <v>1790.2058439770242</v>
      </c>
      <c r="J11" s="17">
        <v>1250.9254519028152</v>
      </c>
      <c r="K11" s="17">
        <v>0</v>
      </c>
      <c r="L11" s="17">
        <v>0</v>
      </c>
      <c r="M11" s="17">
        <v>0</v>
      </c>
      <c r="N11" s="18">
        <v>2829.2358617645423</v>
      </c>
      <c r="O11" s="90">
        <v>1</v>
      </c>
      <c r="P11" s="83">
        <f t="shared" si="0"/>
        <v>94862829042.883301</v>
      </c>
      <c r="Q11" s="55">
        <f t="shared" si="1"/>
        <v>94862829042.883301</v>
      </c>
      <c r="R11" s="55">
        <f t="shared" si="2"/>
        <v>2829.2358617645423</v>
      </c>
      <c r="T11" s="55" t="str">
        <f>IF(Body8Actif=TRUE,C10,"")</f>
        <v>Body8</v>
      </c>
      <c r="U11" s="26"/>
      <c r="V11" s="26"/>
    </row>
    <row r="12" spans="2:35" ht="15" thickBot="1" x14ac:dyDescent="0.35">
      <c r="B12" s="59">
        <v>10</v>
      </c>
      <c r="C12" s="59" t="s">
        <v>66</v>
      </c>
      <c r="D12" s="81" t="b">
        <v>1</v>
      </c>
      <c r="E12" s="91">
        <v>-69663.940600437665</v>
      </c>
      <c r="F12" s="92">
        <v>85375.27749676886</v>
      </c>
      <c r="G12" s="92">
        <v>62555.509106185658</v>
      </c>
      <c r="H12" s="92">
        <v>-567.84092504566388</v>
      </c>
      <c r="I12" s="92">
        <v>882.99372287808706</v>
      </c>
      <c r="J12" s="92">
        <v>-1454.0059187374432</v>
      </c>
      <c r="K12" s="92">
        <v>0</v>
      </c>
      <c r="L12" s="92">
        <v>0</v>
      </c>
      <c r="M12" s="92">
        <v>0</v>
      </c>
      <c r="N12" s="93">
        <v>4270.6016607501342</v>
      </c>
      <c r="O12" s="94">
        <v>1</v>
      </c>
      <c r="P12" s="84">
        <f t="shared" si="0"/>
        <v>326253968554.75494</v>
      </c>
      <c r="Q12" s="56">
        <f t="shared" si="1"/>
        <v>326253968554.75494</v>
      </c>
      <c r="R12" s="56">
        <f t="shared" si="2"/>
        <v>4270.6016607501342</v>
      </c>
      <c r="T12" s="55" t="str">
        <f>IF(Body9Actif=TRUE,C11,"")</f>
        <v>Body9</v>
      </c>
      <c r="U12" s="26"/>
      <c r="V12" s="26"/>
    </row>
    <row r="13" spans="2:35" x14ac:dyDescent="0.3">
      <c r="T13" s="56" t="str">
        <f>IF(Body10Actif=TRUE,C12,"")</f>
        <v>Body10</v>
      </c>
    </row>
    <row r="14" spans="2:35" x14ac:dyDescent="0.3">
      <c r="B14" s="95" t="s">
        <v>36</v>
      </c>
      <c r="C14" s="96"/>
      <c r="D14" s="60">
        <f>Visualisation!H7</f>
        <v>0.5</v>
      </c>
    </row>
    <row r="15" spans="2:35" x14ac:dyDescent="0.3">
      <c r="B15" s="97" t="s">
        <v>78</v>
      </c>
      <c r="C15" s="98"/>
      <c r="D15" s="60">
        <f>Visualisation!H9</f>
        <v>1</v>
      </c>
    </row>
    <row r="21" spans="14:14" x14ac:dyDescent="0.3">
      <c r="N21" s="11"/>
    </row>
    <row r="22" spans="14:14" x14ac:dyDescent="0.3">
      <c r="N22" s="11"/>
    </row>
    <row r="23" spans="14:14" x14ac:dyDescent="0.3">
      <c r="N23" s="11"/>
    </row>
    <row r="24" spans="14:14" x14ac:dyDescent="0.3">
      <c r="N24" s="11"/>
    </row>
    <row r="25" spans="14:14" x14ac:dyDescent="0.3">
      <c r="N25" s="11"/>
    </row>
    <row r="26" spans="14:14" x14ac:dyDescent="0.3">
      <c r="N26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B2:AA995"/>
  <sheetViews>
    <sheetView zoomScale="50" zoomScaleNormal="50" workbookViewId="0">
      <selection activeCell="F29" sqref="F29"/>
    </sheetView>
  </sheetViews>
  <sheetFormatPr defaultColWidth="11.5546875" defaultRowHeight="14.4" x14ac:dyDescent="0.3"/>
  <cols>
    <col min="1" max="12" width="11.5546875" customWidth="1"/>
    <col min="14" max="14" width="14.6640625" customWidth="1"/>
    <col min="18" max="18" width="11" customWidth="1"/>
    <col min="27" max="27" width="12" bestFit="1" customWidth="1"/>
  </cols>
  <sheetData>
    <row r="2" spans="2:22" x14ac:dyDescent="0.3">
      <c r="M2" s="21"/>
      <c r="N2" s="21"/>
      <c r="O2" s="23"/>
      <c r="P2" s="27"/>
      <c r="Q2" s="27"/>
    </row>
    <row r="3" spans="2:22" x14ac:dyDescent="0.3">
      <c r="B3" s="139" t="s">
        <v>85</v>
      </c>
      <c r="C3" s="140"/>
      <c r="D3" s="140"/>
      <c r="E3" s="141"/>
      <c r="G3" s="139" t="s">
        <v>122</v>
      </c>
      <c r="H3" s="140"/>
      <c r="I3" s="140"/>
      <c r="J3" s="140"/>
      <c r="K3" s="140"/>
      <c r="L3" s="141"/>
      <c r="M3" s="16"/>
      <c r="N3" s="139" t="s">
        <v>110</v>
      </c>
      <c r="O3" s="141"/>
      <c r="Q3" s="139" t="s">
        <v>123</v>
      </c>
      <c r="R3" s="140"/>
      <c r="S3" s="140"/>
      <c r="T3" s="141"/>
    </row>
    <row r="4" spans="2:22" x14ac:dyDescent="0.3">
      <c r="B4" s="60" t="s">
        <v>87</v>
      </c>
      <c r="C4" s="60" t="s">
        <v>0</v>
      </c>
      <c r="D4" s="60" t="s">
        <v>1</v>
      </c>
      <c r="E4" s="60" t="s">
        <v>94</v>
      </c>
      <c r="G4" s="109" t="s">
        <v>87</v>
      </c>
      <c r="H4" s="109" t="s">
        <v>45</v>
      </c>
      <c r="I4" s="109" t="s">
        <v>44</v>
      </c>
      <c r="J4" s="109" t="s">
        <v>43</v>
      </c>
      <c r="K4" s="109" t="s">
        <v>50</v>
      </c>
      <c r="L4" s="109" t="s">
        <v>51</v>
      </c>
      <c r="M4" s="15"/>
      <c r="N4" s="109" t="s">
        <v>80</v>
      </c>
      <c r="O4" s="109">
        <v>400000</v>
      </c>
      <c r="P4" s="47"/>
      <c r="Q4" s="109"/>
      <c r="R4" s="60" t="s">
        <v>0</v>
      </c>
      <c r="S4" s="60" t="s">
        <v>1</v>
      </c>
      <c r="T4" s="60" t="s">
        <v>94</v>
      </c>
      <c r="U4" s="26"/>
      <c r="V4" s="26"/>
    </row>
    <row r="5" spans="2:22" x14ac:dyDescent="0.3">
      <c r="B5" s="107" t="s">
        <v>79</v>
      </c>
      <c r="C5" s="60">
        <v>0</v>
      </c>
      <c r="D5" s="60">
        <v>0</v>
      </c>
      <c r="E5" s="60">
        <v>0</v>
      </c>
      <c r="G5" s="109" t="s">
        <v>79</v>
      </c>
      <c r="H5" s="109">
        <v>0</v>
      </c>
      <c r="I5" s="109">
        <v>0</v>
      </c>
      <c r="J5" s="109">
        <v>0</v>
      </c>
      <c r="K5" s="109">
        <f t="shared" ref="K5:K14" si="0">(H5*$C$31)+(I5*$D$31)+(J5*$E$31)</f>
        <v>0</v>
      </c>
      <c r="L5" s="109">
        <f t="shared" ref="L5:L17" si="1">(H5*$C$32)+(I5*$D$32)+(J5*$E$32)</f>
        <v>0</v>
      </c>
      <c r="N5" s="109" t="s">
        <v>116</v>
      </c>
      <c r="O5" s="109">
        <f>IFERROR(((INDEX('Valeurs Initiales'!N3:N12,MATCH(Target,'Valeurs Initiales'!C3:C12,0)))*10),1)</f>
        <v>1</v>
      </c>
      <c r="Q5" s="109" t="s">
        <v>55</v>
      </c>
      <c r="R5" s="60">
        <f>IF(Body1Actif=TRUE,H6,100)</f>
        <v>-4.9349784271878194E-2</v>
      </c>
      <c r="S5" s="60">
        <f>IF(Body1Actif=TRUE,I6,100)</f>
        <v>0.1539745834717095</v>
      </c>
      <c r="T5" s="60">
        <f>IF(Body1Actif=TRUE,J6,100)</f>
        <v>0.21497914389708153</v>
      </c>
      <c r="U5" s="26"/>
      <c r="V5" s="26"/>
    </row>
    <row r="6" spans="2:22" x14ac:dyDescent="0.3">
      <c r="B6" s="107" t="s">
        <v>55</v>
      </c>
      <c r="C6" s="60">
        <f>'Simulation n-body'!C16</f>
        <v>-19739.913708751279</v>
      </c>
      <c r="D6" s="60">
        <f>'Simulation n-body'!D16</f>
        <v>61589.833388683801</v>
      </c>
      <c r="E6" s="60">
        <f>'Simulation n-body'!E16</f>
        <v>85991.657558832609</v>
      </c>
      <c r="G6" s="109" t="s">
        <v>55</v>
      </c>
      <c r="H6" s="109">
        <f>(C6-OffsetX)/Ecran</f>
        <v>-4.9349784271878194E-2</v>
      </c>
      <c r="I6" s="109">
        <f t="shared" ref="I6:I15" si="2">(D6-$D$20)/Ecran</f>
        <v>0.1539745834717095</v>
      </c>
      <c r="J6" s="109">
        <f t="shared" ref="J6:J15" si="3">(E6-$E$20)/Ecran</f>
        <v>0.21497914389708153</v>
      </c>
      <c r="K6" s="109">
        <f>(H6*$C$31)+(I6*$D$31)+(J6*$E$31)</f>
        <v>5.0579175247860285E-2</v>
      </c>
      <c r="L6" s="109">
        <f t="shared" si="1"/>
        <v>0.26395616838076619</v>
      </c>
      <c r="N6" s="103" t="s">
        <v>115</v>
      </c>
      <c r="O6" s="113" t="b">
        <v>1</v>
      </c>
      <c r="P6" s="3"/>
      <c r="Q6" s="109" t="s">
        <v>56</v>
      </c>
      <c r="R6" s="60">
        <f>IF(Body2Actif=TRUE,H7,100)</f>
        <v>2.0778562160652762E-2</v>
      </c>
      <c r="S6" s="60">
        <f>IF(Body2Actif=TRUE,I7,100)</f>
        <v>1.4355539553473972E-2</v>
      </c>
      <c r="T6" s="60">
        <f>IF(Body2Actif=TRUE,J7,100)</f>
        <v>3.9405491028167705E-2</v>
      </c>
      <c r="U6" s="26"/>
      <c r="V6" s="26"/>
    </row>
    <row r="7" spans="2:22" x14ac:dyDescent="0.3">
      <c r="B7" s="107" t="s">
        <v>56</v>
      </c>
      <c r="C7" s="60">
        <f>'Simulation n-body'!C17</f>
        <v>8311.4248642611055</v>
      </c>
      <c r="D7" s="60">
        <f>'Simulation n-body'!D17</f>
        <v>5742.2158213895891</v>
      </c>
      <c r="E7" s="60">
        <f>'Simulation n-body'!E17</f>
        <v>15762.196411267083</v>
      </c>
      <c r="G7" s="109" t="s">
        <v>56</v>
      </c>
      <c r="H7" s="109">
        <f t="shared" ref="H7:H15" si="4">(C7-$C$20)/Ecran</f>
        <v>2.0778562160652762E-2</v>
      </c>
      <c r="I7" s="109">
        <f t="shared" si="2"/>
        <v>1.4355539553473972E-2</v>
      </c>
      <c r="J7" s="109">
        <f t="shared" si="3"/>
        <v>3.9405491028167705E-2</v>
      </c>
      <c r="K7" s="109">
        <f t="shared" si="0"/>
        <v>2.5248184344877585E-2</v>
      </c>
      <c r="L7" s="109">
        <f t="shared" si="1"/>
        <v>3.068288813746442E-2</v>
      </c>
      <c r="N7" s="109" t="s">
        <v>53</v>
      </c>
      <c r="O7" s="114" t="s">
        <v>79</v>
      </c>
      <c r="P7" s="3"/>
      <c r="Q7" s="109" t="s">
        <v>57</v>
      </c>
      <c r="R7" s="60">
        <f>IF(Body3Actif=TRUE,H8,100)</f>
        <v>9.0407409473252889E-2</v>
      </c>
      <c r="S7" s="60">
        <f>IF(Body3Actif=TRUE,I8,100)</f>
        <v>0.2475715452597384</v>
      </c>
      <c r="T7" s="60">
        <f>IF(Body3Actif=TRUE,J8,100)</f>
        <v>-0.21738306009677</v>
      </c>
      <c r="U7" s="26"/>
      <c r="V7" s="26"/>
    </row>
    <row r="8" spans="2:22" x14ac:dyDescent="0.3">
      <c r="B8" s="107" t="s">
        <v>57</v>
      </c>
      <c r="C8" s="60">
        <f>'Simulation n-body'!C18</f>
        <v>36162.963789301153</v>
      </c>
      <c r="D8" s="60">
        <f>'Simulation n-body'!D18</f>
        <v>99028.618103895365</v>
      </c>
      <c r="E8" s="60">
        <f>'Simulation n-body'!E18</f>
        <v>-86953.224038707995</v>
      </c>
      <c r="G8" s="109" t="s">
        <v>57</v>
      </c>
      <c r="H8" s="109">
        <f>(C8-$C$20)/Ecran</f>
        <v>9.0407409473252889E-2</v>
      </c>
      <c r="I8" s="109">
        <f t="shared" si="2"/>
        <v>0.2475715452597384</v>
      </c>
      <c r="J8" s="109">
        <f t="shared" si="3"/>
        <v>-0.21738306009677</v>
      </c>
      <c r="K8" s="109">
        <f t="shared" si="0"/>
        <v>0.21866003387220898</v>
      </c>
      <c r="L8" s="109">
        <f t="shared" si="1"/>
        <v>-8.0705944327583268E-2</v>
      </c>
      <c r="N8" s="109" t="s">
        <v>52</v>
      </c>
      <c r="O8" s="114">
        <v>1</v>
      </c>
      <c r="Q8" s="109" t="s">
        <v>60</v>
      </c>
      <c r="R8" s="60">
        <f>IF(Body4Actif=TRUE,H9,100)</f>
        <v>-7.5486684985342944E-2</v>
      </c>
      <c r="S8" s="60">
        <f>IF(Body4Actif=TRUE,I9,100)</f>
        <v>-5.6918715935267358E-2</v>
      </c>
      <c r="T8" s="60">
        <f>IF(Body4Actif=TRUE,J9,100)</f>
        <v>-0.21683314817532234</v>
      </c>
      <c r="U8" s="26"/>
      <c r="V8" s="26"/>
    </row>
    <row r="9" spans="2:22" x14ac:dyDescent="0.3">
      <c r="B9" s="107" t="s">
        <v>60</v>
      </c>
      <c r="C9" s="60">
        <f>'Simulation n-body'!C19</f>
        <v>-30194.673994137178</v>
      </c>
      <c r="D9" s="60">
        <f>'Simulation n-body'!D19</f>
        <v>-22767.486374106942</v>
      </c>
      <c r="E9" s="60">
        <f>'Simulation n-body'!E19</f>
        <v>-86733.25927012894</v>
      </c>
      <c r="G9" s="109" t="s">
        <v>60</v>
      </c>
      <c r="H9" s="109">
        <f t="shared" si="4"/>
        <v>-7.5486684985342944E-2</v>
      </c>
      <c r="I9" s="109">
        <f t="shared" si="2"/>
        <v>-5.6918715935267358E-2</v>
      </c>
      <c r="J9" s="109">
        <f t="shared" si="3"/>
        <v>-0.21683314817532234</v>
      </c>
      <c r="K9" s="109">
        <f t="shared" si="0"/>
        <v>-9.4525992808345366E-2</v>
      </c>
      <c r="L9" s="109">
        <f t="shared" si="1"/>
        <v>-0.17190008533154319</v>
      </c>
      <c r="N9" s="109" t="s">
        <v>114</v>
      </c>
      <c r="O9" s="114" t="str">
        <f t="array" aca="1" ref="O9" ca="1">IFERROR(INDEX('Valeurs Initiales'!C3:C12,MATCH((CELL("ligne",INDEX('Valeurs Initiales'!N3:N12,MATCH(MAX(IF('Valeurs Initiales'!D3:D12=TRUE,'Valeurs Initiales'!N3:N12)),'Valeurs Initiales'!N3:N12,0)))-2),'Valeurs Initiales'!B3:B12,0)),"Origine")</f>
        <v>Origine</v>
      </c>
      <c r="Q9" s="109" t="s">
        <v>61</v>
      </c>
      <c r="R9" s="60">
        <f>IF(Body5Actif=TRUE,H10,100)</f>
        <v>-7.3435050904588203E-3</v>
      </c>
      <c r="S9" s="60">
        <f>IF(Body5Actif=TRUE,I10,100)</f>
        <v>1.156332940033346E-2</v>
      </c>
      <c r="T9" s="60">
        <f>IF(Body5Actif=TRUE,J10,100)</f>
        <v>-1.6970754950827505E-2</v>
      </c>
      <c r="U9" s="26"/>
      <c r="V9" s="26"/>
    </row>
    <row r="10" spans="2:22" x14ac:dyDescent="0.3">
      <c r="B10" s="107" t="s">
        <v>61</v>
      </c>
      <c r="C10" s="60">
        <f>'Simulation n-body'!C20</f>
        <v>-2937.4020361835283</v>
      </c>
      <c r="D10" s="60">
        <f>'Simulation n-body'!D20</f>
        <v>4625.3317601333838</v>
      </c>
      <c r="E10" s="60">
        <f>'Simulation n-body'!E20</f>
        <v>-6788.3019803310017</v>
      </c>
      <c r="G10" s="109" t="s">
        <v>61</v>
      </c>
      <c r="H10" s="109">
        <f t="shared" si="4"/>
        <v>-7.3435050904588203E-3</v>
      </c>
      <c r="I10" s="109">
        <f t="shared" si="2"/>
        <v>1.156332940033346E-2</v>
      </c>
      <c r="J10" s="109">
        <f t="shared" si="3"/>
        <v>-1.6970754950827505E-2</v>
      </c>
      <c r="K10" s="109">
        <f t="shared" si="0"/>
        <v>8.557340724558533E-4</v>
      </c>
      <c r="L10" s="109">
        <f t="shared" si="1"/>
        <v>-4.9562237449042538E-3</v>
      </c>
      <c r="N10" s="103" t="s">
        <v>95</v>
      </c>
      <c r="O10" s="114">
        <v>1</v>
      </c>
      <c r="Q10" s="109" t="s">
        <v>62</v>
      </c>
      <c r="R10" s="60">
        <f>IF(Body6Actif=TRUE,H11,100)</f>
        <v>0.11363963112698655</v>
      </c>
      <c r="S10" s="60">
        <f>IF(Body6Actif=TRUE,I11,100)</f>
        <v>0.1339610673710333</v>
      </c>
      <c r="T10" s="60">
        <f>IF(Body6Actif=TRUE,J11,100)</f>
        <v>0.13640672581245855</v>
      </c>
      <c r="U10" s="26"/>
      <c r="V10" s="26"/>
    </row>
    <row r="11" spans="2:22" x14ac:dyDescent="0.3">
      <c r="B11" s="107" t="s">
        <v>62</v>
      </c>
      <c r="C11" s="60">
        <f>'Simulation n-body'!C21</f>
        <v>45455.85245079462</v>
      </c>
      <c r="D11" s="60">
        <f>'Simulation n-body'!D21</f>
        <v>53584.426948413318</v>
      </c>
      <c r="E11" s="60">
        <f>'Simulation n-body'!E21</f>
        <v>54562.690324983421</v>
      </c>
      <c r="G11" s="109" t="s">
        <v>62</v>
      </c>
      <c r="H11" s="109">
        <f t="shared" si="4"/>
        <v>0.11363963112698655</v>
      </c>
      <c r="I11" s="109">
        <f t="shared" si="2"/>
        <v>0.1339610673710333</v>
      </c>
      <c r="J11" s="109">
        <f t="shared" si="3"/>
        <v>0.13640672581245855</v>
      </c>
      <c r="K11" s="109">
        <f t="shared" si="0"/>
        <v>0.1706767325982842</v>
      </c>
      <c r="L11" s="109">
        <f t="shared" si="1"/>
        <v>0.13308983637724267</v>
      </c>
      <c r="N11" s="109" t="s">
        <v>83</v>
      </c>
      <c r="O11" s="114">
        <v>1</v>
      </c>
      <c r="Q11" s="109" t="s">
        <v>63</v>
      </c>
      <c r="R11" s="60">
        <f>IF(Body7Actif=TRUE,H12,100)</f>
        <v>-0.19521647138927198</v>
      </c>
      <c r="S11" s="60">
        <f>IF(Body7Actif=TRUE,I12,100)</f>
        <v>-0.20892821672381723</v>
      </c>
      <c r="T11" s="60">
        <f>IF(Body7Actif=TRUE,J12,100)</f>
        <v>0.12156877960791711</v>
      </c>
      <c r="U11" s="26"/>
      <c r="V11" s="26"/>
    </row>
    <row r="12" spans="2:22" x14ac:dyDescent="0.3">
      <c r="B12" s="107" t="s">
        <v>63</v>
      </c>
      <c r="C12" s="60">
        <f>'Simulation n-body'!C22</f>
        <v>-78086.588555708789</v>
      </c>
      <c r="D12" s="60">
        <f>'Simulation n-body'!D22</f>
        <v>-83571.286689526896</v>
      </c>
      <c r="E12" s="60">
        <f>'Simulation n-body'!E22</f>
        <v>48627.511843166845</v>
      </c>
      <c r="G12" s="109" t="s">
        <v>63</v>
      </c>
      <c r="H12" s="109">
        <f t="shared" si="4"/>
        <v>-0.19521647138927198</v>
      </c>
      <c r="I12" s="109">
        <f t="shared" si="2"/>
        <v>-0.20892821672381723</v>
      </c>
      <c r="J12" s="109">
        <f t="shared" si="3"/>
        <v>0.12156877960791711</v>
      </c>
      <c r="K12" s="109">
        <f t="shared" si="0"/>
        <v>-0.28073836751385717</v>
      </c>
      <c r="L12" s="109">
        <f t="shared" si="1"/>
        <v>6.2378714261830698E-2</v>
      </c>
      <c r="N12" s="109" t="s">
        <v>84</v>
      </c>
      <c r="O12" s="114">
        <v>1000</v>
      </c>
      <c r="Q12" s="109" t="s">
        <v>64</v>
      </c>
      <c r="R12" s="60">
        <f>IF(Body8Actif=TRUE,H13,100)</f>
        <v>0.18124368557793125</v>
      </c>
      <c r="S12" s="60">
        <f>IF(Body8Actif=TRUE,I13,100)</f>
        <v>3.6648740286360663E-2</v>
      </c>
      <c r="T12" s="60">
        <f>IF(Body8Actif=TRUE,J13,100)</f>
        <v>-0.10561361120274756</v>
      </c>
      <c r="U12" s="26"/>
      <c r="V12" s="26"/>
    </row>
    <row r="13" spans="2:22" x14ac:dyDescent="0.3">
      <c r="B13" s="107" t="s">
        <v>64</v>
      </c>
      <c r="C13" s="60">
        <f>'Simulation n-body'!C23</f>
        <v>72497.474231172499</v>
      </c>
      <c r="D13" s="60">
        <f>'Simulation n-body'!D23</f>
        <v>14659.496114544265</v>
      </c>
      <c r="E13" s="60">
        <f>'Simulation n-body'!E23</f>
        <v>-42245.444481099024</v>
      </c>
      <c r="G13" s="109" t="s">
        <v>64</v>
      </c>
      <c r="H13" s="109">
        <f t="shared" si="4"/>
        <v>0.18124368557793125</v>
      </c>
      <c r="I13" s="109">
        <f t="shared" si="2"/>
        <v>3.6648740286360663E-2</v>
      </c>
      <c r="J13" s="109">
        <f t="shared" si="3"/>
        <v>-0.10561361120274756</v>
      </c>
      <c r="K13" s="109">
        <f t="shared" si="0"/>
        <v>0.16817081081111579</v>
      </c>
      <c r="L13" s="109">
        <f t="shared" si="1"/>
        <v>-0.13055850822402665</v>
      </c>
      <c r="N13" s="109" t="s">
        <v>82</v>
      </c>
      <c r="O13" s="114" t="s">
        <v>42</v>
      </c>
      <c r="Q13" s="109" t="s">
        <v>65</v>
      </c>
      <c r="R13" s="60">
        <f>IF(Body9Actif=TRUE,H14,100)</f>
        <v>-0.23976558413603946</v>
      </c>
      <c r="S13" s="60">
        <f>IF(Body9Actif=TRUE,I14,100)</f>
        <v>2.7757641810635614E-2</v>
      </c>
      <c r="T13" s="60">
        <f>IF(Body9Actif=TRUE,J14,100)</f>
        <v>0.23870131683066625</v>
      </c>
      <c r="U13" s="26"/>
      <c r="V13" s="26"/>
    </row>
    <row r="14" spans="2:22" x14ac:dyDescent="0.3">
      <c r="B14" s="107" t="s">
        <v>65</v>
      </c>
      <c r="C14" s="60">
        <f>'Simulation n-body'!C24</f>
        <v>-95906.233654415788</v>
      </c>
      <c r="D14" s="60">
        <f>'Simulation n-body'!D24</f>
        <v>11103.056724254246</v>
      </c>
      <c r="E14" s="60">
        <f>'Simulation n-body'!E24</f>
        <v>95480.526732266502</v>
      </c>
      <c r="G14" s="109" t="s">
        <v>65</v>
      </c>
      <c r="H14" s="109">
        <f t="shared" si="4"/>
        <v>-0.23976558413603946</v>
      </c>
      <c r="I14" s="109">
        <f t="shared" si="2"/>
        <v>2.7757641810635614E-2</v>
      </c>
      <c r="J14" s="109">
        <f t="shared" si="3"/>
        <v>0.23870131683066625</v>
      </c>
      <c r="K14" s="109">
        <f t="shared" si="0"/>
        <v>-0.17765889973758367</v>
      </c>
      <c r="L14" s="109">
        <f t="shared" si="1"/>
        <v>0.28869033424476842</v>
      </c>
      <c r="N14" s="115" t="s">
        <v>106</v>
      </c>
      <c r="O14" s="114" t="b">
        <v>0</v>
      </c>
      <c r="Q14" s="109" t="s">
        <v>66</v>
      </c>
      <c r="R14" s="60">
        <f>IF(Body10Actif=TRUE,H15,100)</f>
        <v>-0.17415985150109417</v>
      </c>
      <c r="S14" s="60">
        <f>IF(Body10Actif=TRUE,I15,100)</f>
        <v>0.21343819374192216</v>
      </c>
      <c r="T14" s="60">
        <f>IF(Body10Actif=TRUE,J15,100)</f>
        <v>0.15638877276546415</v>
      </c>
      <c r="U14" s="26"/>
      <c r="V14" s="26"/>
    </row>
    <row r="15" spans="2:22" x14ac:dyDescent="0.3">
      <c r="B15" s="107" t="s">
        <v>66</v>
      </c>
      <c r="C15" s="108">
        <f>'Simulation n-body'!C25</f>
        <v>-69663.940600437665</v>
      </c>
      <c r="D15" s="108">
        <f>'Simulation n-body'!D25</f>
        <v>85375.27749676886</v>
      </c>
      <c r="E15" s="108">
        <f>'Simulation n-body'!E25</f>
        <v>62555.509106185658</v>
      </c>
      <c r="G15" s="109" t="s">
        <v>66</v>
      </c>
      <c r="H15" s="109">
        <f t="shared" si="4"/>
        <v>-0.17415985150109417</v>
      </c>
      <c r="I15" s="109">
        <f t="shared" si="2"/>
        <v>0.21343819374192216</v>
      </c>
      <c r="J15" s="109">
        <f t="shared" si="3"/>
        <v>0.15638877276546415</v>
      </c>
      <c r="K15" s="109">
        <f>(H15*$C$31)+(I15*$D$31)+(J15*$E$31)</f>
        <v>-1.5442457044756913E-2</v>
      </c>
      <c r="L15" s="109">
        <f t="shared" si="1"/>
        <v>0.29256985603305086</v>
      </c>
      <c r="N15" s="109" t="s">
        <v>144</v>
      </c>
      <c r="O15" s="109">
        <v>400000</v>
      </c>
      <c r="Q15" s="19"/>
      <c r="R15" s="26"/>
      <c r="S15" s="26"/>
    </row>
    <row r="16" spans="2:22" x14ac:dyDescent="0.3">
      <c r="G16" s="145" t="s">
        <v>96</v>
      </c>
      <c r="H16" s="109">
        <f>IF($O$14=TRUE,H6,0)</f>
        <v>0</v>
      </c>
      <c r="I16" s="109">
        <f>IF($O$14=TRUE,I6,0)</f>
        <v>0</v>
      </c>
      <c r="J16" s="109">
        <f>IF($O$14=TRUE,J47,0)</f>
        <v>0</v>
      </c>
      <c r="K16" s="109">
        <f>(H16*$C$31)+(I16*$D$31)+(J16*$E$31)</f>
        <v>0</v>
      </c>
      <c r="L16" s="109">
        <f t="shared" si="1"/>
        <v>0</v>
      </c>
    </row>
    <row r="17" spans="2:27" x14ac:dyDescent="0.3">
      <c r="G17" s="145"/>
      <c r="H17" s="109">
        <f>IF($O$14=TRUE,H6,0)</f>
        <v>0</v>
      </c>
      <c r="I17" s="109">
        <f>IF($O$14=TRUE,I6,0)</f>
        <v>0</v>
      </c>
      <c r="J17" s="109">
        <f>IF($O$14=TRUE,J6,0)</f>
        <v>0</v>
      </c>
      <c r="K17" s="109">
        <f>(H17*$C$31)+(I17*$D$31)+(J17*$E$31)</f>
        <v>0</v>
      </c>
      <c r="L17" s="109">
        <f t="shared" si="1"/>
        <v>0</v>
      </c>
    </row>
    <row r="18" spans="2:27" x14ac:dyDescent="0.3">
      <c r="C18" s="142" t="s">
        <v>81</v>
      </c>
      <c r="D18" s="142"/>
      <c r="E18" s="142"/>
      <c r="G18" s="109" t="s">
        <v>107</v>
      </c>
      <c r="H18" s="101">
        <f>$H$47</f>
        <v>0</v>
      </c>
      <c r="I18" s="101">
        <f>$I$47</f>
        <v>0</v>
      </c>
      <c r="J18" s="101">
        <f>$J$47</f>
        <v>0</v>
      </c>
      <c r="K18" s="101">
        <f>$K$47</f>
        <v>0</v>
      </c>
      <c r="L18" s="101">
        <f>$L$47</f>
        <v>0</v>
      </c>
    </row>
    <row r="19" spans="2:27" x14ac:dyDescent="0.3">
      <c r="C19" s="109" t="s">
        <v>0</v>
      </c>
      <c r="D19" s="109" t="s">
        <v>1</v>
      </c>
      <c r="E19" s="109" t="s">
        <v>94</v>
      </c>
      <c r="G19" s="143" t="s">
        <v>97</v>
      </c>
      <c r="H19" s="109">
        <f>IF($O$14=TRUE,H7,0)</f>
        <v>0</v>
      </c>
      <c r="I19" s="109">
        <f>IF($O$14=TRUE,I7,0)</f>
        <v>0</v>
      </c>
      <c r="J19" s="109">
        <f>IF($O$14=TRUE,J47,0)</f>
        <v>0</v>
      </c>
      <c r="K19" s="109">
        <f>(H19*$C$31)+(I19*$D$31)+(J19*$E$31)</f>
        <v>0</v>
      </c>
      <c r="L19" s="109">
        <f>(H19*$C$32)+(I19*$D$32)+(J19*$E$32)</f>
        <v>0</v>
      </c>
    </row>
    <row r="20" spans="2:27" x14ac:dyDescent="0.3">
      <c r="C20" s="109">
        <f>(INDEX(C5:C15,MATCH(Target,B5:B15,0),1))</f>
        <v>0</v>
      </c>
      <c r="D20" s="109">
        <f>(INDEX(D5:D15,MATCH(Target,B5:B15,0),1))</f>
        <v>0</v>
      </c>
      <c r="E20" s="109">
        <f>(INDEX(E5:E15,MATCH(Target,B5:B15,0),1))</f>
        <v>0</v>
      </c>
      <c r="G20" s="144"/>
      <c r="H20" s="109">
        <f>IF($O$14=TRUE,H7,0)</f>
        <v>0</v>
      </c>
      <c r="I20" s="109">
        <f>IF($O$14=TRUE,I7,0)</f>
        <v>0</v>
      </c>
      <c r="J20" s="109">
        <f>IF($O$14=TRUE,J7,0)</f>
        <v>0</v>
      </c>
      <c r="K20" s="109">
        <f>(H20*$C$31)+(I20*$D$31)+(J20*$E$31)</f>
        <v>0</v>
      </c>
      <c r="L20" s="109">
        <f>(H20*$C$32)+(I20*$D$32)+(J20*$E$32)</f>
        <v>0</v>
      </c>
      <c r="M20" s="25"/>
      <c r="N20" s="25"/>
      <c r="O20" s="25"/>
    </row>
    <row r="21" spans="2:27" x14ac:dyDescent="0.3">
      <c r="G21" s="109" t="s">
        <v>107</v>
      </c>
      <c r="H21" s="101">
        <f>$H$47</f>
        <v>0</v>
      </c>
      <c r="I21" s="101">
        <f>$I$47</f>
        <v>0</v>
      </c>
      <c r="J21" s="101">
        <f>$J$47</f>
        <v>0</v>
      </c>
      <c r="K21" s="101">
        <f>$K$47</f>
        <v>0</v>
      </c>
      <c r="L21" s="101">
        <f>$L$47</f>
        <v>0</v>
      </c>
      <c r="M21" s="25"/>
      <c r="N21" s="25"/>
      <c r="O21" s="25"/>
    </row>
    <row r="22" spans="2:27" x14ac:dyDescent="0.3">
      <c r="G22" s="143" t="s">
        <v>98</v>
      </c>
      <c r="H22" s="109">
        <f>IF($O$14=TRUE,H8,0)</f>
        <v>0</v>
      </c>
      <c r="I22" s="109">
        <f>IF($O$14=TRUE,I8,0)</f>
        <v>0</v>
      </c>
      <c r="J22" s="109">
        <f>IF($O$14=TRUE,J47,0)</f>
        <v>0</v>
      </c>
      <c r="K22" s="109">
        <f>(H22*$C$31)+(I22*$D$31)+(J22*$E$31)</f>
        <v>0</v>
      </c>
      <c r="L22" s="109">
        <f>(H22*$C$32)+(I22*$D$32)+(J22*$E$32)</f>
        <v>0</v>
      </c>
      <c r="M22" s="25"/>
      <c r="N22" s="25"/>
      <c r="O22" s="25"/>
    </row>
    <row r="23" spans="2:27" x14ac:dyDescent="0.3">
      <c r="C23" s="110" t="s">
        <v>49</v>
      </c>
      <c r="D23" s="111">
        <f>E23-180</f>
        <v>-52</v>
      </c>
      <c r="E23" s="112">
        <v>128</v>
      </c>
      <c r="G23" s="144"/>
      <c r="H23" s="109">
        <f>IF($O$14=TRUE,H8,0)</f>
        <v>0</v>
      </c>
      <c r="I23" s="109">
        <f>IF($O$14=TRUE,I8,0)</f>
        <v>0</v>
      </c>
      <c r="J23" s="109">
        <f>IF($O$14=TRUE,J8,0)</f>
        <v>0</v>
      </c>
      <c r="K23" s="109">
        <f>(H23*$C$31)+(I23*$D$31)+(J23*$E$31)</f>
        <v>0</v>
      </c>
      <c r="L23" s="109">
        <f>(H23*$C$32)+(I23*$D$32)+(J23*$E$32)</f>
        <v>0</v>
      </c>
      <c r="M23" s="25"/>
      <c r="N23" s="11"/>
      <c r="O23" s="11"/>
      <c r="R23" s="11"/>
      <c r="S23" s="11"/>
    </row>
    <row r="24" spans="2:27" x14ac:dyDescent="0.3">
      <c r="C24" s="110" t="s">
        <v>54</v>
      </c>
      <c r="D24" s="111">
        <f>E24-180</f>
        <v>-36</v>
      </c>
      <c r="E24" s="112">
        <v>144</v>
      </c>
      <c r="G24" s="109" t="s">
        <v>107</v>
      </c>
      <c r="H24" s="101">
        <f>$H$47</f>
        <v>0</v>
      </c>
      <c r="I24" s="101">
        <f>$I$47</f>
        <v>0</v>
      </c>
      <c r="J24" s="101">
        <f>$J$47</f>
        <v>0</v>
      </c>
      <c r="K24" s="101">
        <f>$K$47</f>
        <v>0</v>
      </c>
      <c r="L24" s="101">
        <f>$L$47</f>
        <v>0</v>
      </c>
      <c r="M24" s="25"/>
      <c r="N24" s="25"/>
      <c r="O24" s="13"/>
    </row>
    <row r="25" spans="2:27" x14ac:dyDescent="0.3">
      <c r="G25" s="143" t="s">
        <v>99</v>
      </c>
      <c r="H25" s="109">
        <f>IF($O$14=TRUE,H9,0)</f>
        <v>0</v>
      </c>
      <c r="I25" s="109">
        <f>IF($O$14=TRUE,I9,0)</f>
        <v>0</v>
      </c>
      <c r="J25" s="109">
        <f>IF($O$14=TRUE,J47,0)</f>
        <v>0</v>
      </c>
      <c r="K25" s="109">
        <f>(H25*$C$31)+(I25*$D$31)+(J25*$E$31)</f>
        <v>0</v>
      </c>
      <c r="L25" s="109">
        <f>(H25*$C$32)+(I25*$D$32)+(J25*$E$32)</f>
        <v>0</v>
      </c>
      <c r="M25" s="25"/>
      <c r="N25" s="25"/>
      <c r="O25" s="25"/>
    </row>
    <row r="26" spans="2:27" x14ac:dyDescent="0.3">
      <c r="C26" s="139" t="s">
        <v>46</v>
      </c>
      <c r="D26" s="140"/>
      <c r="E26" s="141"/>
      <c r="G26" s="144"/>
      <c r="H26" s="109">
        <f>IF($O$14=TRUE,H9,0)</f>
        <v>0</v>
      </c>
      <c r="I26" s="109">
        <f>IF($O$14=TRUE,I9,0)</f>
        <v>0</v>
      </c>
      <c r="J26" s="109">
        <f>IF($O$14=TRUE,J9,0)</f>
        <v>0</v>
      </c>
      <c r="K26" s="109">
        <f>(H26*$C$31)+(I26*$D$31)+(J26*$E$31)</f>
        <v>0</v>
      </c>
      <c r="L26" s="109">
        <f>(H26*$C$32)+(I26*$D$32)+(J26*$E$32)</f>
        <v>0</v>
      </c>
      <c r="M26" s="25"/>
      <c r="N26" s="25"/>
      <c r="O26" s="25"/>
    </row>
    <row r="27" spans="2:27" x14ac:dyDescent="0.3">
      <c r="B27" t="s">
        <v>108</v>
      </c>
      <c r="C27" s="60">
        <f>SIN(RADIANS(D23))</f>
        <v>-0.78801075360672201</v>
      </c>
      <c r="D27" s="60">
        <v>0</v>
      </c>
      <c r="E27" s="60">
        <f>SIN(RADIANS(D24))</f>
        <v>-0.58778525229247314</v>
      </c>
      <c r="G27" s="109" t="s">
        <v>107</v>
      </c>
      <c r="H27" s="101">
        <f>$H$47</f>
        <v>0</v>
      </c>
      <c r="I27" s="101">
        <f>$I$47</f>
        <v>0</v>
      </c>
      <c r="J27" s="101">
        <f>$J$47</f>
        <v>0</v>
      </c>
      <c r="K27" s="101">
        <f>$K$47</f>
        <v>0</v>
      </c>
      <c r="L27" s="101">
        <f>$L$47</f>
        <v>0</v>
      </c>
      <c r="M27" s="25"/>
      <c r="N27" s="25"/>
      <c r="O27" s="25"/>
    </row>
    <row r="28" spans="2:27" x14ac:dyDescent="0.3">
      <c r="B28" t="s">
        <v>109</v>
      </c>
      <c r="C28" s="60">
        <f>COS(RADIANS(D23))</f>
        <v>0.61566147532565829</v>
      </c>
      <c r="D28" s="60">
        <v>1</v>
      </c>
      <c r="E28" s="60">
        <f>COS(RADIANS(D24))</f>
        <v>0.80901699437494745</v>
      </c>
      <c r="G28" s="143" t="s">
        <v>100</v>
      </c>
      <c r="H28" s="109">
        <f>IF($O$14=TRUE,H10,0)</f>
        <v>0</v>
      </c>
      <c r="I28" s="109">
        <f>IF($O$14=TRUE,I10,0)</f>
        <v>0</v>
      </c>
      <c r="J28" s="109">
        <f>IF($O$14=TRUE,J47,0)</f>
        <v>0</v>
      </c>
      <c r="K28" s="109">
        <f>(H28*$C$31)+(I28*$D$31)+(J28*$E$31)</f>
        <v>0</v>
      </c>
      <c r="L28" s="109">
        <f>(H28*$C$32)+(I28*$D$32)+(J28*$E$32)</f>
        <v>0</v>
      </c>
      <c r="M28" s="25"/>
      <c r="N28" s="25"/>
      <c r="O28" s="25"/>
      <c r="V28" s="12"/>
      <c r="W28" s="19"/>
      <c r="X28" s="19"/>
      <c r="Y28" s="15"/>
      <c r="Z28" s="15"/>
      <c r="AA28" s="15"/>
    </row>
    <row r="29" spans="2:27" x14ac:dyDescent="0.3">
      <c r="G29" s="144"/>
      <c r="H29" s="109">
        <f>IF($O$14=TRUE,H10,0)</f>
        <v>0</v>
      </c>
      <c r="I29" s="109">
        <f>IF($O$14=TRUE,I10,0)</f>
        <v>0</v>
      </c>
      <c r="J29" s="109">
        <f>IF($O$14=TRUE,J10,0)</f>
        <v>0</v>
      </c>
      <c r="K29" s="109">
        <f>(H29*$C$31)+(I29*$D$31)+(J29*$E$31)</f>
        <v>0</v>
      </c>
      <c r="L29" s="109">
        <f>(H29*$C$32)+(I29*$D$32)+(J29*$E$32)</f>
        <v>0</v>
      </c>
      <c r="M29" s="25"/>
      <c r="N29" s="25"/>
      <c r="O29" s="25"/>
      <c r="V29" s="15"/>
      <c r="W29" s="15"/>
      <c r="X29" s="15"/>
      <c r="Y29" s="15"/>
      <c r="Z29" s="15"/>
      <c r="AA29" s="15"/>
    </row>
    <row r="30" spans="2:27" x14ac:dyDescent="0.3">
      <c r="C30" s="139" t="s">
        <v>47</v>
      </c>
      <c r="D30" s="140"/>
      <c r="E30" s="141"/>
      <c r="G30" s="109" t="s">
        <v>107</v>
      </c>
      <c r="H30" s="101">
        <f>$H$47</f>
        <v>0</v>
      </c>
      <c r="I30" s="101">
        <f>$I$47</f>
        <v>0</v>
      </c>
      <c r="J30" s="101">
        <f>$J$47</f>
        <v>0</v>
      </c>
      <c r="K30" s="101">
        <f>$K$47</f>
        <v>0</v>
      </c>
      <c r="L30" s="101">
        <f>$L$47</f>
        <v>0</v>
      </c>
      <c r="M30" s="25"/>
      <c r="N30" s="25"/>
      <c r="O30" s="25"/>
      <c r="V30" s="15"/>
      <c r="W30" s="15"/>
      <c r="X30" s="15"/>
      <c r="Y30" s="15"/>
      <c r="Z30" s="15"/>
      <c r="AA30" s="15"/>
    </row>
    <row r="31" spans="2:27" x14ac:dyDescent="0.3">
      <c r="C31" s="109">
        <f>D28*E28</f>
        <v>0.80901699437494745</v>
      </c>
      <c r="D31" s="109">
        <f>-E27*D28</f>
        <v>0.58778525229247314</v>
      </c>
      <c r="E31" s="109">
        <f>D27</f>
        <v>0</v>
      </c>
      <c r="G31" s="143" t="s">
        <v>101</v>
      </c>
      <c r="H31" s="109">
        <f>IF($O$14=TRUE,H11,0)</f>
        <v>0</v>
      </c>
      <c r="I31" s="109">
        <f>IF($O$14=TRUE,I11,0)</f>
        <v>0</v>
      </c>
      <c r="J31" s="109">
        <f>IF($O$14=TRUE,J47,0)</f>
        <v>0</v>
      </c>
      <c r="K31" s="109">
        <f>(H31*$C$31)+(I31*$D$31)+(J31*$E$31)</f>
        <v>0</v>
      </c>
      <c r="L31" s="109">
        <f>(H31*$C$32)+(I31*$D$32)+(J31*$E$32)</f>
        <v>0</v>
      </c>
      <c r="M31" s="25"/>
      <c r="N31" s="25"/>
      <c r="O31" s="25"/>
      <c r="V31" s="15"/>
      <c r="W31" s="15"/>
      <c r="X31" s="15"/>
      <c r="Y31" s="15"/>
      <c r="Z31" s="15"/>
      <c r="AA31" s="15"/>
    </row>
    <row r="32" spans="2:27" x14ac:dyDescent="0.3">
      <c r="C32" s="109">
        <f>E28*-D27*-C27+E27*C28</f>
        <v>-0.36187673560104827</v>
      </c>
      <c r="D32" s="109">
        <f>-E27*-D27*-C27+E28*C28</f>
        <v>0.49808059632040996</v>
      </c>
      <c r="E32" s="109">
        <f>D28*-C27</f>
        <v>0.78801075360672201</v>
      </c>
      <c r="G32" s="144"/>
      <c r="H32" s="109">
        <f>IF($O$14=TRUE,H11,0)</f>
        <v>0</v>
      </c>
      <c r="I32" s="109">
        <f>IF($O$14=TRUE,I11,0)</f>
        <v>0</v>
      </c>
      <c r="J32" s="109">
        <f>IF($O$14=TRUE,J11,0)</f>
        <v>0</v>
      </c>
      <c r="K32" s="109">
        <f>(H32*$C$31)+(I32*$D$31)+(J32*$E$31)</f>
        <v>0</v>
      </c>
      <c r="L32" s="109">
        <f>(H32*$C$32)+(I32*$D$32)+(J32*$E$32)</f>
        <v>0</v>
      </c>
      <c r="M32" s="25"/>
      <c r="N32" s="25"/>
      <c r="O32" s="25"/>
      <c r="V32" s="15"/>
      <c r="W32" s="15"/>
      <c r="X32" s="15"/>
      <c r="Y32" s="15"/>
      <c r="Z32" s="15"/>
      <c r="AA32" s="15"/>
    </row>
    <row r="33" spans="7:27" x14ac:dyDescent="0.3">
      <c r="G33" s="109" t="s">
        <v>107</v>
      </c>
      <c r="H33" s="101">
        <f>$H$47</f>
        <v>0</v>
      </c>
      <c r="I33" s="101">
        <f>$I$47</f>
        <v>0</v>
      </c>
      <c r="J33" s="101">
        <f>$J$47</f>
        <v>0</v>
      </c>
      <c r="K33" s="101">
        <f>$K$47</f>
        <v>0</v>
      </c>
      <c r="L33" s="101">
        <f>$L$47</f>
        <v>0</v>
      </c>
      <c r="M33" s="25"/>
      <c r="N33" s="25"/>
      <c r="O33" s="25"/>
      <c r="V33" s="15"/>
      <c r="W33" s="15"/>
      <c r="X33" s="15"/>
      <c r="Y33" s="15"/>
      <c r="Z33" s="15"/>
      <c r="AA33" s="15"/>
    </row>
    <row r="34" spans="7:27" x14ac:dyDescent="0.3">
      <c r="G34" s="143" t="s">
        <v>102</v>
      </c>
      <c r="H34" s="109">
        <f>IF($O$14=TRUE,H12,0)</f>
        <v>0</v>
      </c>
      <c r="I34" s="109">
        <f>IF($O$14=TRUE,I12,0)</f>
        <v>0</v>
      </c>
      <c r="J34" s="109">
        <f>IF($O$14=TRUE,J47,0)</f>
        <v>0</v>
      </c>
      <c r="K34" s="109">
        <f>(H34*$C$31)+(I34*$D$31)+(J34*$E$31)</f>
        <v>0</v>
      </c>
      <c r="L34" s="109">
        <f>(H34*$C$32)+(I34*$D$32)+(J34*$E$32)</f>
        <v>0</v>
      </c>
      <c r="M34" s="25"/>
      <c r="N34" s="25"/>
      <c r="O34" s="25"/>
      <c r="V34" s="15"/>
      <c r="W34" s="15"/>
      <c r="X34" s="15"/>
      <c r="Y34" s="15"/>
      <c r="Z34" s="15"/>
      <c r="AA34" s="15"/>
    </row>
    <row r="35" spans="7:27" x14ac:dyDescent="0.3">
      <c r="G35" s="144"/>
      <c r="H35" s="109">
        <f>IF($O$14=TRUE,H12,0)</f>
        <v>0</v>
      </c>
      <c r="I35" s="109">
        <f>IF($O$14=TRUE,I12,0)</f>
        <v>0</v>
      </c>
      <c r="J35" s="109">
        <f>IF($O$14=TRUE,J12,0)</f>
        <v>0</v>
      </c>
      <c r="K35" s="109">
        <f>(H35*$C$31)+(I35*$D$31)+(J35*$E$31)</f>
        <v>0</v>
      </c>
      <c r="L35" s="109">
        <f>(H35*$C$32)+(I35*$D$32)+(J35*$E$32)</f>
        <v>0</v>
      </c>
      <c r="M35" s="25"/>
      <c r="N35" s="25"/>
      <c r="O35" s="25"/>
      <c r="V35" s="15"/>
      <c r="W35" s="15"/>
      <c r="X35" s="15"/>
      <c r="Y35" s="15"/>
      <c r="Z35" s="15"/>
      <c r="AA35" s="15"/>
    </row>
    <row r="36" spans="7:27" x14ac:dyDescent="0.3">
      <c r="G36" s="109" t="s">
        <v>107</v>
      </c>
      <c r="H36" s="101">
        <f>$H$47</f>
        <v>0</v>
      </c>
      <c r="I36" s="101">
        <f>$I$47</f>
        <v>0</v>
      </c>
      <c r="J36" s="101">
        <f>$J$47</f>
        <v>0</v>
      </c>
      <c r="K36" s="101">
        <f>$K$47</f>
        <v>0</v>
      </c>
      <c r="L36" s="101">
        <f>$L$47</f>
        <v>0</v>
      </c>
      <c r="M36" s="48"/>
      <c r="N36" s="11"/>
      <c r="O36" s="25"/>
      <c r="V36" s="15"/>
      <c r="W36" s="15"/>
      <c r="X36" s="15"/>
      <c r="Y36" s="15"/>
      <c r="Z36" s="15"/>
      <c r="AA36" s="15"/>
    </row>
    <row r="37" spans="7:27" x14ac:dyDescent="0.3">
      <c r="G37" s="143" t="s">
        <v>103</v>
      </c>
      <c r="H37" s="109">
        <f>IF($O$14=TRUE,H13,0)</f>
        <v>0</v>
      </c>
      <c r="I37" s="109">
        <f>IF($O$14=TRUE,I13,0)</f>
        <v>0</v>
      </c>
      <c r="J37" s="109">
        <f>IF($O$14=TRUE,J47,0)</f>
        <v>0</v>
      </c>
      <c r="K37" s="109">
        <f>(H37*$C$31)+(I37*$D$31)+(J37*$E$31)</f>
        <v>0</v>
      </c>
      <c r="L37" s="109">
        <f>(H37*$C$32)+(I37*$D$32)+(J37*$E$32)</f>
        <v>0</v>
      </c>
      <c r="O37" s="22"/>
      <c r="V37" s="15"/>
      <c r="W37" s="15"/>
      <c r="X37" s="15"/>
      <c r="Y37" s="15"/>
      <c r="Z37" s="15"/>
      <c r="AA37" s="15"/>
    </row>
    <row r="38" spans="7:27" x14ac:dyDescent="0.3">
      <c r="G38" s="144"/>
      <c r="H38" s="109">
        <f>IF($O$14=TRUE,H13,0)</f>
        <v>0</v>
      </c>
      <c r="I38" s="109">
        <f>IF($O$14=TRUE,I13,0)</f>
        <v>0</v>
      </c>
      <c r="J38" s="109">
        <f>IF($O$14=TRUE,J13,0)</f>
        <v>0</v>
      </c>
      <c r="K38" s="109">
        <f>(H38*$C$31)+(I38*$D$31)+(J38*$E$31)</f>
        <v>0</v>
      </c>
      <c r="L38" s="109">
        <f>(H38*$C$32)+(I38*$D$32)+(J38*$E$32)</f>
        <v>0</v>
      </c>
      <c r="M38" s="22"/>
      <c r="N38" s="22"/>
      <c r="O38" s="22"/>
      <c r="V38" s="15"/>
      <c r="W38" s="15"/>
      <c r="X38" s="15"/>
      <c r="Y38" s="15"/>
      <c r="Z38" s="15"/>
      <c r="AA38" s="15"/>
    </row>
    <row r="39" spans="7:27" x14ac:dyDescent="0.3">
      <c r="G39" s="109" t="s">
        <v>107</v>
      </c>
      <c r="H39" s="101">
        <f>$H$47</f>
        <v>0</v>
      </c>
      <c r="I39" s="101">
        <f>$I$47</f>
        <v>0</v>
      </c>
      <c r="J39" s="101">
        <f>$J$47</f>
        <v>0</v>
      </c>
      <c r="K39" s="101">
        <f>$K$47</f>
        <v>0</v>
      </c>
      <c r="L39" s="101">
        <f>$L$47</f>
        <v>0</v>
      </c>
      <c r="M39" s="22"/>
      <c r="N39" s="22"/>
      <c r="O39" s="22"/>
      <c r="V39" s="15"/>
      <c r="W39" s="15"/>
      <c r="X39" s="15"/>
      <c r="Y39" s="15"/>
      <c r="Z39" s="15"/>
      <c r="AA39" s="15"/>
    </row>
    <row r="40" spans="7:27" x14ac:dyDescent="0.3">
      <c r="G40" s="143" t="s">
        <v>104</v>
      </c>
      <c r="H40" s="109">
        <f>IF($O$14=TRUE,H14,0)</f>
        <v>0</v>
      </c>
      <c r="I40" s="109">
        <f>IF($O$14=TRUE,I14,0)</f>
        <v>0</v>
      </c>
      <c r="J40" s="109">
        <f>IF($O$14=TRUE,J47,0)</f>
        <v>0</v>
      </c>
      <c r="K40" s="109">
        <f>(H40*$C$31)+(I40*$D$31)+(J40*$E$31)</f>
        <v>0</v>
      </c>
      <c r="L40" s="109">
        <f>(H40*$C$32)+(I40*$D$32)+(J40*$E$32)</f>
        <v>0</v>
      </c>
      <c r="M40" s="22"/>
      <c r="N40" s="22"/>
      <c r="O40" s="22"/>
    </row>
    <row r="41" spans="7:27" x14ac:dyDescent="0.3">
      <c r="G41" s="144"/>
      <c r="H41" s="109">
        <f>IF($O$14=TRUE,H14,0)</f>
        <v>0</v>
      </c>
      <c r="I41" s="109">
        <f>IF($O$14=TRUE,I14,0)</f>
        <v>0</v>
      </c>
      <c r="J41" s="109">
        <f>IF($O$14=TRUE,J14,0)</f>
        <v>0</v>
      </c>
      <c r="K41" s="109">
        <f>(H41*$C$31)+(I41*$D$31)+(J41*$E$31)</f>
        <v>0</v>
      </c>
      <c r="L41" s="109">
        <f>(H41*$C$32)+(I41*$D$32)+(J41*$E$32)</f>
        <v>0</v>
      </c>
      <c r="M41" s="22"/>
      <c r="N41" s="22"/>
      <c r="O41" s="22"/>
    </row>
    <row r="42" spans="7:27" x14ac:dyDescent="0.3">
      <c r="G42" s="109" t="s">
        <v>107</v>
      </c>
      <c r="H42" s="101">
        <f>$H$47</f>
        <v>0</v>
      </c>
      <c r="I42" s="101">
        <f>$I$47</f>
        <v>0</v>
      </c>
      <c r="J42" s="101">
        <f>$J$47</f>
        <v>0</v>
      </c>
      <c r="K42" s="101">
        <f>$K$47</f>
        <v>0</v>
      </c>
      <c r="L42" s="101">
        <f>$L$47</f>
        <v>0</v>
      </c>
      <c r="M42" s="22"/>
      <c r="N42" s="22"/>
      <c r="O42" s="22"/>
    </row>
    <row r="43" spans="7:27" x14ac:dyDescent="0.3">
      <c r="G43" s="143" t="s">
        <v>105</v>
      </c>
      <c r="H43" s="109">
        <f>IF($O$14=TRUE,H15,0)</f>
        <v>0</v>
      </c>
      <c r="I43" s="109">
        <f>IF($O$14=TRUE,I15,0)</f>
        <v>0</v>
      </c>
      <c r="J43" s="109">
        <f>IF($O$14=TRUE,J47,0)</f>
        <v>0</v>
      </c>
      <c r="K43" s="109">
        <f>(H43*$C$31)+(I43*$D$31)+(J43*$E$31)</f>
        <v>0</v>
      </c>
      <c r="L43" s="109">
        <f>(H43*$C$32)+(I43*$D$32)+(J43*$E$32)</f>
        <v>0</v>
      </c>
      <c r="M43" s="22"/>
      <c r="N43" s="22"/>
      <c r="O43" s="22"/>
    </row>
    <row r="44" spans="7:27" x14ac:dyDescent="0.3">
      <c r="G44" s="144"/>
      <c r="H44" s="109">
        <f>IF($O$14=TRUE,H15,0)</f>
        <v>0</v>
      </c>
      <c r="I44" s="109">
        <f>IF($O$14=TRUE,I15,0)</f>
        <v>0</v>
      </c>
      <c r="J44" s="109">
        <f>IF($O$14=TRUE,J15,0)</f>
        <v>0</v>
      </c>
      <c r="K44" s="109">
        <f>(H44*$C$31)+(I44*$D$31)+(J44*$E$31)</f>
        <v>0</v>
      </c>
      <c r="L44" s="109">
        <f>(H44*$C$32)+(I44*$D$32)+(J44*$E$32)</f>
        <v>0</v>
      </c>
      <c r="M44" s="22"/>
      <c r="N44" s="22"/>
      <c r="O44" s="22"/>
    </row>
    <row r="45" spans="7:27" x14ac:dyDescent="0.3">
      <c r="M45" s="22"/>
      <c r="N45" s="22"/>
      <c r="O45" s="22"/>
    </row>
    <row r="46" spans="7:27" x14ac:dyDescent="0.3">
      <c r="M46" s="22"/>
      <c r="N46" s="22"/>
      <c r="O46" s="22"/>
    </row>
    <row r="47" spans="7:27" x14ac:dyDescent="0.3">
      <c r="G47" s="109" t="s">
        <v>107</v>
      </c>
      <c r="H47" s="109">
        <f>IF($O$14=TRUE,0-($C$20/Ecran),0)</f>
        <v>0</v>
      </c>
      <c r="I47" s="109">
        <f>IF($O$14=TRUE,0-($D$20/Ecran),0)</f>
        <v>0</v>
      </c>
      <c r="J47" s="109">
        <f>IF($O$14=TRUE,0-($E$20/Ecran),0)</f>
        <v>0</v>
      </c>
      <c r="K47" s="109">
        <f>($H$47*$C$31)+($I$47*$D$31)+($J$47*$E$31)</f>
        <v>0</v>
      </c>
      <c r="L47" s="109">
        <f>($H$47*$C$32)+($I$47*$D$32)+($J$47*$E$32)</f>
        <v>0</v>
      </c>
      <c r="M47" s="22"/>
      <c r="N47" s="22"/>
      <c r="O47" s="22"/>
    </row>
    <row r="48" spans="7:27" x14ac:dyDescent="0.3">
      <c r="M48" s="22"/>
      <c r="N48" s="22"/>
      <c r="O48" s="22"/>
    </row>
    <row r="49" spans="8:15" x14ac:dyDescent="0.3">
      <c r="M49" s="22"/>
      <c r="N49" s="22"/>
      <c r="O49" s="22"/>
    </row>
    <row r="50" spans="8:15" x14ac:dyDescent="0.3">
      <c r="M50" s="22"/>
      <c r="N50" s="22"/>
      <c r="O50" s="22"/>
    </row>
    <row r="51" spans="8:15" x14ac:dyDescent="0.3">
      <c r="M51" s="22"/>
      <c r="N51" s="22"/>
      <c r="O51" s="22"/>
    </row>
    <row r="52" spans="8:15" x14ac:dyDescent="0.3">
      <c r="M52" s="22"/>
      <c r="N52" s="22"/>
      <c r="O52" s="22"/>
    </row>
    <row r="53" spans="8:15" x14ac:dyDescent="0.3">
      <c r="H53" s="139" t="s">
        <v>48</v>
      </c>
      <c r="I53" s="140"/>
      <c r="J53" s="140"/>
      <c r="K53" s="140"/>
      <c r="L53" s="141"/>
      <c r="M53" s="22"/>
      <c r="N53" s="22"/>
      <c r="O53" s="22"/>
    </row>
    <row r="54" spans="8:15" x14ac:dyDescent="0.3">
      <c r="H54" s="109" t="s">
        <v>45</v>
      </c>
      <c r="I54" s="109" t="s">
        <v>44</v>
      </c>
      <c r="J54" s="109" t="s">
        <v>43</v>
      </c>
      <c r="K54" s="109" t="s">
        <v>50</v>
      </c>
      <c r="L54" s="109" t="s">
        <v>86</v>
      </c>
      <c r="M54" s="22"/>
      <c r="N54" s="22"/>
      <c r="O54" s="22"/>
    </row>
    <row r="55" spans="8:15" x14ac:dyDescent="0.3">
      <c r="H55" s="109">
        <f>-1-(C20/Ecran)</f>
        <v>-1</v>
      </c>
      <c r="I55" s="109">
        <f>0-(D20/Ecran)</f>
        <v>0</v>
      </c>
      <c r="J55" s="109">
        <f>0-(E20/Ecran)</f>
        <v>0</v>
      </c>
      <c r="K55" s="109">
        <f t="shared" ref="K55:K62" si="5">(H55*$C$31)+(I55*$D$31)+(J55*$E$31)</f>
        <v>-0.80901699437494745</v>
      </c>
      <c r="L55" s="109">
        <f t="shared" ref="L55:L62" si="6">(H55*$C$32)+(I55*$D$32)+(J55*$E$32)</f>
        <v>0.36187673560104827</v>
      </c>
      <c r="M55" s="22"/>
      <c r="N55" s="22"/>
      <c r="O55" s="22"/>
    </row>
    <row r="56" spans="8:15" x14ac:dyDescent="0.3">
      <c r="H56" s="109">
        <f>1-(C20/Ecran)</f>
        <v>1</v>
      </c>
      <c r="I56" s="109">
        <f>0-(D20/Ecran)</f>
        <v>0</v>
      </c>
      <c r="J56" s="109">
        <f>0-(E20/Ecran)</f>
        <v>0</v>
      </c>
      <c r="K56" s="109">
        <f t="shared" si="5"/>
        <v>0.80901699437494745</v>
      </c>
      <c r="L56" s="109">
        <f t="shared" si="6"/>
        <v>-0.36187673560104827</v>
      </c>
      <c r="M56" s="22"/>
      <c r="N56" s="22"/>
      <c r="O56" s="22"/>
    </row>
    <row r="57" spans="8:15" x14ac:dyDescent="0.3">
      <c r="H57" s="109">
        <f>0-(C20/Ecran)</f>
        <v>0</v>
      </c>
      <c r="I57" s="109">
        <f>0-(D20/Ecran)</f>
        <v>0</v>
      </c>
      <c r="J57" s="109">
        <f>0-(E20/Ecran)</f>
        <v>0</v>
      </c>
      <c r="K57" s="109">
        <f t="shared" si="5"/>
        <v>0</v>
      </c>
      <c r="L57" s="109">
        <f t="shared" si="6"/>
        <v>0</v>
      </c>
      <c r="M57" s="22"/>
      <c r="N57" s="22"/>
      <c r="O57" s="22"/>
    </row>
    <row r="58" spans="8:15" x14ac:dyDescent="0.3">
      <c r="H58" s="109">
        <f>0-(C20/Ecran)</f>
        <v>0</v>
      </c>
      <c r="I58" s="109">
        <f>-1-(D20/Ecran)</f>
        <v>-1</v>
      </c>
      <c r="J58" s="109">
        <f>0-(E20/Ecran)</f>
        <v>0</v>
      </c>
      <c r="K58" s="109">
        <f t="shared" si="5"/>
        <v>-0.58778525229247314</v>
      </c>
      <c r="L58" s="109">
        <f t="shared" si="6"/>
        <v>-0.49808059632040996</v>
      </c>
      <c r="M58" s="22"/>
      <c r="N58" s="22"/>
      <c r="O58" s="22"/>
    </row>
    <row r="59" spans="8:15" x14ac:dyDescent="0.3">
      <c r="H59" s="109">
        <f>0-(C20/Ecran)</f>
        <v>0</v>
      </c>
      <c r="I59" s="109">
        <f>1-(D20/Ecran)</f>
        <v>1</v>
      </c>
      <c r="J59" s="109">
        <f>0-(E20/Ecran)</f>
        <v>0</v>
      </c>
      <c r="K59" s="109">
        <f t="shared" si="5"/>
        <v>0.58778525229247314</v>
      </c>
      <c r="L59" s="109">
        <f t="shared" si="6"/>
        <v>0.49808059632040996</v>
      </c>
      <c r="M59" s="22"/>
      <c r="N59" s="22"/>
      <c r="O59" s="22"/>
    </row>
    <row r="60" spans="8:15" x14ac:dyDescent="0.3">
      <c r="H60" s="109">
        <f>0-(C20/Ecran)</f>
        <v>0</v>
      </c>
      <c r="I60" s="109">
        <f>0-(D20/Ecran)</f>
        <v>0</v>
      </c>
      <c r="J60" s="109">
        <f>0-(E20/Ecran)</f>
        <v>0</v>
      </c>
      <c r="K60" s="109">
        <f t="shared" si="5"/>
        <v>0</v>
      </c>
      <c r="L60" s="109">
        <f t="shared" si="6"/>
        <v>0</v>
      </c>
      <c r="M60" s="22"/>
      <c r="N60" s="22"/>
      <c r="O60" s="22"/>
    </row>
    <row r="61" spans="8:15" x14ac:dyDescent="0.3">
      <c r="H61" s="109">
        <f>0-(C20/Ecran)</f>
        <v>0</v>
      </c>
      <c r="I61" s="109">
        <f>0-(D20/Ecran)</f>
        <v>0</v>
      </c>
      <c r="J61" s="109">
        <f>-1-(E20/Ecran)</f>
        <v>-1</v>
      </c>
      <c r="K61" s="109">
        <f t="shared" si="5"/>
        <v>0</v>
      </c>
      <c r="L61" s="109">
        <f t="shared" si="6"/>
        <v>-0.78801075360672201</v>
      </c>
      <c r="M61" s="22"/>
      <c r="N61" s="22"/>
      <c r="O61" s="22"/>
    </row>
    <row r="62" spans="8:15" x14ac:dyDescent="0.3">
      <c r="H62" s="109">
        <f>0-(C20/Ecran)</f>
        <v>0</v>
      </c>
      <c r="I62" s="109">
        <f>0-(D20/Ecran)</f>
        <v>0</v>
      </c>
      <c r="J62" s="109">
        <f>1-(E20/Ecran)</f>
        <v>1</v>
      </c>
      <c r="K62" s="109">
        <f t="shared" si="5"/>
        <v>0</v>
      </c>
      <c r="L62" s="109">
        <f t="shared" si="6"/>
        <v>0.78801075360672201</v>
      </c>
      <c r="M62" s="22"/>
      <c r="N62" s="22"/>
      <c r="O62" s="22"/>
    </row>
    <row r="63" spans="8:15" x14ac:dyDescent="0.3">
      <c r="M63" s="22"/>
      <c r="N63" s="22"/>
      <c r="O63" s="22"/>
    </row>
    <row r="64" spans="8:15" x14ac:dyDescent="0.3">
      <c r="M64" s="22"/>
      <c r="N64" s="22"/>
      <c r="O64" s="22"/>
    </row>
    <row r="65" spans="13:15" x14ac:dyDescent="0.3">
      <c r="M65" s="22"/>
      <c r="N65" s="22"/>
      <c r="O65" s="22"/>
    </row>
    <row r="66" spans="13:15" x14ac:dyDescent="0.3">
      <c r="M66" s="22"/>
      <c r="N66" s="22"/>
      <c r="O66" s="22"/>
    </row>
    <row r="67" spans="13:15" x14ac:dyDescent="0.3">
      <c r="M67" s="22"/>
      <c r="N67" s="22"/>
      <c r="O67" s="22"/>
    </row>
    <row r="68" spans="13:15" x14ac:dyDescent="0.3">
      <c r="M68" s="22"/>
      <c r="N68" s="22"/>
      <c r="O68" s="22"/>
    </row>
    <row r="69" spans="13:15" x14ac:dyDescent="0.3">
      <c r="M69" s="22"/>
      <c r="N69" s="22"/>
      <c r="O69" s="22"/>
    </row>
    <row r="70" spans="13:15" x14ac:dyDescent="0.3">
      <c r="N70" s="22"/>
      <c r="O70" s="22"/>
    </row>
    <row r="71" spans="13:15" x14ac:dyDescent="0.3">
      <c r="N71" s="22"/>
      <c r="O71" s="22"/>
    </row>
    <row r="72" spans="13:15" x14ac:dyDescent="0.3">
      <c r="N72" s="22"/>
      <c r="O72" s="22"/>
    </row>
    <row r="73" spans="13:15" x14ac:dyDescent="0.3">
      <c r="N73" s="22"/>
      <c r="O73" s="22"/>
    </row>
    <row r="74" spans="13:15" x14ac:dyDescent="0.3">
      <c r="N74" s="22"/>
      <c r="O74" s="22"/>
    </row>
    <row r="75" spans="13:15" x14ac:dyDescent="0.3">
      <c r="N75" s="22"/>
      <c r="O75" s="22"/>
    </row>
    <row r="76" spans="13:15" x14ac:dyDescent="0.3">
      <c r="N76" s="22"/>
      <c r="O76" s="22"/>
    </row>
    <row r="77" spans="13:15" x14ac:dyDescent="0.3">
      <c r="N77" s="22"/>
      <c r="O77" s="22"/>
    </row>
    <row r="78" spans="13:15" x14ac:dyDescent="0.3">
      <c r="N78" s="22"/>
      <c r="O78" s="22"/>
    </row>
    <row r="79" spans="13:15" x14ac:dyDescent="0.3">
      <c r="N79" s="22"/>
      <c r="O79" s="22"/>
    </row>
    <row r="80" spans="13:15" x14ac:dyDescent="0.3">
      <c r="N80" s="22"/>
      <c r="O80" s="22"/>
    </row>
    <row r="81" spans="14:15" x14ac:dyDescent="0.3">
      <c r="N81" s="22"/>
      <c r="O81" s="22"/>
    </row>
    <row r="82" spans="14:15" x14ac:dyDescent="0.3">
      <c r="N82" s="22"/>
      <c r="O82" s="22"/>
    </row>
    <row r="83" spans="14:15" x14ac:dyDescent="0.3">
      <c r="N83" s="22"/>
      <c r="O83" s="22"/>
    </row>
    <row r="84" spans="14:15" x14ac:dyDescent="0.3">
      <c r="N84" s="22"/>
      <c r="O84" s="22"/>
    </row>
    <row r="85" spans="14:15" x14ac:dyDescent="0.3">
      <c r="N85" s="22"/>
      <c r="O85" s="22"/>
    </row>
    <row r="86" spans="14:15" x14ac:dyDescent="0.3">
      <c r="N86" s="22"/>
      <c r="O86" s="22"/>
    </row>
    <row r="87" spans="14:15" x14ac:dyDescent="0.3">
      <c r="N87" s="22"/>
      <c r="O87" s="22"/>
    </row>
    <row r="88" spans="14:15" x14ac:dyDescent="0.3">
      <c r="N88" s="22"/>
      <c r="O88" s="22"/>
    </row>
    <row r="89" spans="14:15" x14ac:dyDescent="0.3">
      <c r="N89" s="22"/>
      <c r="O89" s="22"/>
    </row>
    <row r="90" spans="14:15" x14ac:dyDescent="0.3">
      <c r="N90" s="22"/>
      <c r="O90" s="22"/>
    </row>
    <row r="91" spans="14:15" x14ac:dyDescent="0.3">
      <c r="N91" s="22"/>
      <c r="O91" s="22"/>
    </row>
    <row r="92" spans="14:15" x14ac:dyDescent="0.3">
      <c r="N92" s="22"/>
      <c r="O92" s="22"/>
    </row>
    <row r="93" spans="14:15" x14ac:dyDescent="0.3">
      <c r="N93" s="22"/>
      <c r="O93" s="22"/>
    </row>
    <row r="94" spans="14:15" x14ac:dyDescent="0.3">
      <c r="N94" s="22"/>
      <c r="O94" s="22"/>
    </row>
    <row r="95" spans="14:15" x14ac:dyDescent="0.3">
      <c r="N95" s="22"/>
      <c r="O95" s="22"/>
    </row>
    <row r="96" spans="14:15" x14ac:dyDescent="0.3">
      <c r="N96" s="22"/>
      <c r="O96" s="22"/>
    </row>
    <row r="97" spans="14:15" x14ac:dyDescent="0.3">
      <c r="N97" s="22"/>
      <c r="O97" s="22"/>
    </row>
    <row r="98" spans="14:15" x14ac:dyDescent="0.3">
      <c r="N98" s="22"/>
      <c r="O98" s="22"/>
    </row>
    <row r="99" spans="14:15" x14ac:dyDescent="0.3">
      <c r="N99" s="22"/>
      <c r="O99" s="22"/>
    </row>
    <row r="100" spans="14:15" x14ac:dyDescent="0.3">
      <c r="N100" s="22"/>
      <c r="O100" s="22"/>
    </row>
    <row r="101" spans="14:15" x14ac:dyDescent="0.3">
      <c r="N101" s="22"/>
      <c r="O101" s="22"/>
    </row>
    <row r="102" spans="14:15" x14ac:dyDescent="0.3">
      <c r="N102" s="22"/>
      <c r="O102" s="22"/>
    </row>
    <row r="103" spans="14:15" x14ac:dyDescent="0.3">
      <c r="N103" s="22"/>
      <c r="O103" s="22"/>
    </row>
    <row r="104" spans="14:15" x14ac:dyDescent="0.3">
      <c r="N104" s="22"/>
      <c r="O104" s="22"/>
    </row>
    <row r="105" spans="14:15" x14ac:dyDescent="0.3">
      <c r="N105" s="22"/>
      <c r="O105" s="22"/>
    </row>
    <row r="106" spans="14:15" x14ac:dyDescent="0.3">
      <c r="N106" s="22"/>
      <c r="O106" s="22"/>
    </row>
    <row r="107" spans="14:15" x14ac:dyDescent="0.3">
      <c r="N107" s="22"/>
      <c r="O107" s="22"/>
    </row>
    <row r="108" spans="14:15" x14ac:dyDescent="0.3">
      <c r="N108" s="22"/>
      <c r="O108" s="22"/>
    </row>
    <row r="109" spans="14:15" x14ac:dyDescent="0.3">
      <c r="N109" s="22"/>
      <c r="O109" s="22"/>
    </row>
    <row r="110" spans="14:15" x14ac:dyDescent="0.3">
      <c r="N110" s="22"/>
      <c r="O110" s="22"/>
    </row>
    <row r="111" spans="14:15" x14ac:dyDescent="0.3">
      <c r="N111" s="22"/>
      <c r="O111" s="22"/>
    </row>
    <row r="112" spans="14:15" x14ac:dyDescent="0.3">
      <c r="N112" s="22"/>
      <c r="O112" s="22"/>
    </row>
    <row r="113" spans="14:15" x14ac:dyDescent="0.3">
      <c r="N113" s="22"/>
      <c r="O113" s="22"/>
    </row>
    <row r="114" spans="14:15" x14ac:dyDescent="0.3">
      <c r="N114" s="22"/>
      <c r="O114" s="22"/>
    </row>
    <row r="115" spans="14:15" x14ac:dyDescent="0.3">
      <c r="N115" s="22"/>
      <c r="O115" s="22"/>
    </row>
    <row r="116" spans="14:15" x14ac:dyDescent="0.3">
      <c r="N116" s="22"/>
      <c r="O116" s="22"/>
    </row>
    <row r="117" spans="14:15" x14ac:dyDescent="0.3">
      <c r="N117" s="22"/>
      <c r="O117" s="22"/>
    </row>
    <row r="118" spans="14:15" x14ac:dyDescent="0.3">
      <c r="N118" s="22"/>
      <c r="O118" s="22"/>
    </row>
    <row r="119" spans="14:15" x14ac:dyDescent="0.3">
      <c r="N119" s="22"/>
      <c r="O119" s="22"/>
    </row>
    <row r="120" spans="14:15" x14ac:dyDescent="0.3">
      <c r="N120" s="22"/>
      <c r="O120" s="22"/>
    </row>
    <row r="121" spans="14:15" x14ac:dyDescent="0.3">
      <c r="N121" s="22"/>
      <c r="O121" s="22"/>
    </row>
    <row r="122" spans="14:15" x14ac:dyDescent="0.3">
      <c r="N122" s="22"/>
      <c r="O122" s="22"/>
    </row>
    <row r="123" spans="14:15" x14ac:dyDescent="0.3">
      <c r="N123" s="22"/>
      <c r="O123" s="22"/>
    </row>
    <row r="124" spans="14:15" x14ac:dyDescent="0.3">
      <c r="N124" s="22"/>
      <c r="O124" s="22"/>
    </row>
    <row r="125" spans="14:15" x14ac:dyDescent="0.3">
      <c r="N125" s="22"/>
      <c r="O125" s="22"/>
    </row>
    <row r="126" spans="14:15" x14ac:dyDescent="0.3">
      <c r="N126" s="22"/>
      <c r="O126" s="22"/>
    </row>
    <row r="127" spans="14:15" x14ac:dyDescent="0.3">
      <c r="N127" s="22"/>
      <c r="O127" s="22"/>
    </row>
    <row r="128" spans="14:15" x14ac:dyDescent="0.3">
      <c r="N128" s="22"/>
      <c r="O128" s="22"/>
    </row>
    <row r="129" spans="14:15" x14ac:dyDescent="0.3">
      <c r="N129" s="22"/>
      <c r="O129" s="22"/>
    </row>
    <row r="130" spans="14:15" x14ac:dyDescent="0.3">
      <c r="N130" s="22"/>
      <c r="O130" s="22"/>
    </row>
    <row r="131" spans="14:15" x14ac:dyDescent="0.3">
      <c r="N131" s="22"/>
      <c r="O131" s="22"/>
    </row>
    <row r="132" spans="14:15" x14ac:dyDescent="0.3">
      <c r="N132" s="22"/>
      <c r="O132" s="22"/>
    </row>
    <row r="133" spans="14:15" x14ac:dyDescent="0.3">
      <c r="N133" s="22"/>
      <c r="O133" s="22"/>
    </row>
    <row r="134" spans="14:15" x14ac:dyDescent="0.3">
      <c r="N134" s="22"/>
      <c r="O134" s="22"/>
    </row>
    <row r="135" spans="14:15" x14ac:dyDescent="0.3">
      <c r="N135" s="22"/>
      <c r="O135" s="22"/>
    </row>
    <row r="136" spans="14:15" x14ac:dyDescent="0.3">
      <c r="N136" s="22"/>
      <c r="O136" s="22"/>
    </row>
    <row r="137" spans="14:15" x14ac:dyDescent="0.3">
      <c r="N137" s="22"/>
      <c r="O137" s="22"/>
    </row>
    <row r="138" spans="14:15" x14ac:dyDescent="0.3">
      <c r="N138" s="22"/>
      <c r="O138" s="22"/>
    </row>
    <row r="139" spans="14:15" x14ac:dyDescent="0.3">
      <c r="N139" s="22"/>
      <c r="O139" s="22"/>
    </row>
    <row r="140" spans="14:15" x14ac:dyDescent="0.3">
      <c r="N140" s="22"/>
      <c r="O140" s="22"/>
    </row>
    <row r="141" spans="14:15" x14ac:dyDescent="0.3">
      <c r="N141" s="22"/>
      <c r="O141" s="22"/>
    </row>
    <row r="142" spans="14:15" x14ac:dyDescent="0.3">
      <c r="N142" s="22"/>
      <c r="O142" s="22"/>
    </row>
    <row r="143" spans="14:15" x14ac:dyDescent="0.3">
      <c r="N143" s="22"/>
      <c r="O143" s="22"/>
    </row>
    <row r="144" spans="14:15" x14ac:dyDescent="0.3">
      <c r="N144" s="22"/>
      <c r="O144" s="22"/>
    </row>
    <row r="145" spans="14:15" x14ac:dyDescent="0.3">
      <c r="N145" s="22"/>
      <c r="O145" s="22"/>
    </row>
    <row r="146" spans="14:15" x14ac:dyDescent="0.3">
      <c r="N146" s="22"/>
      <c r="O146" s="22"/>
    </row>
    <row r="147" spans="14:15" x14ac:dyDescent="0.3">
      <c r="N147" s="22"/>
      <c r="O147" s="22"/>
    </row>
    <row r="148" spans="14:15" x14ac:dyDescent="0.3">
      <c r="N148" s="22"/>
      <c r="O148" s="22"/>
    </row>
    <row r="149" spans="14:15" x14ac:dyDescent="0.3">
      <c r="N149" s="22"/>
      <c r="O149" s="22"/>
    </row>
    <row r="150" spans="14:15" x14ac:dyDescent="0.3">
      <c r="N150" s="22"/>
      <c r="O150" s="22"/>
    </row>
    <row r="151" spans="14:15" x14ac:dyDescent="0.3">
      <c r="N151" s="22"/>
      <c r="O151" s="22"/>
    </row>
    <row r="152" spans="14:15" x14ac:dyDescent="0.3">
      <c r="N152" s="22"/>
      <c r="O152" s="22"/>
    </row>
    <row r="153" spans="14:15" x14ac:dyDescent="0.3">
      <c r="N153" s="22"/>
      <c r="O153" s="22"/>
    </row>
    <row r="154" spans="14:15" x14ac:dyDescent="0.3">
      <c r="N154" s="22"/>
      <c r="O154" s="22"/>
    </row>
    <row r="155" spans="14:15" x14ac:dyDescent="0.3">
      <c r="N155" s="22"/>
      <c r="O155" s="22"/>
    </row>
    <row r="156" spans="14:15" x14ac:dyDescent="0.3">
      <c r="N156" s="22"/>
      <c r="O156" s="22"/>
    </row>
    <row r="157" spans="14:15" x14ac:dyDescent="0.3">
      <c r="N157" s="22"/>
      <c r="O157" s="22"/>
    </row>
    <row r="158" spans="14:15" x14ac:dyDescent="0.3">
      <c r="N158" s="22"/>
      <c r="O158" s="22"/>
    </row>
    <row r="159" spans="14:15" x14ac:dyDescent="0.3">
      <c r="N159" s="22"/>
      <c r="O159" s="22"/>
    </row>
    <row r="160" spans="14:15" x14ac:dyDescent="0.3">
      <c r="N160" s="22"/>
      <c r="O160" s="22"/>
    </row>
    <row r="161" spans="14:15" x14ac:dyDescent="0.3">
      <c r="N161" s="22"/>
      <c r="O161" s="22"/>
    </row>
    <row r="162" spans="14:15" x14ac:dyDescent="0.3">
      <c r="N162" s="22"/>
      <c r="O162" s="22"/>
    </row>
    <row r="163" spans="14:15" x14ac:dyDescent="0.3">
      <c r="N163" s="22"/>
      <c r="O163" s="22"/>
    </row>
    <row r="164" spans="14:15" x14ac:dyDescent="0.3">
      <c r="N164" s="22"/>
      <c r="O164" s="22"/>
    </row>
    <row r="165" spans="14:15" x14ac:dyDescent="0.3">
      <c r="N165" s="22"/>
      <c r="O165" s="22"/>
    </row>
    <row r="166" spans="14:15" x14ac:dyDescent="0.3">
      <c r="N166" s="22"/>
      <c r="O166" s="22"/>
    </row>
    <row r="167" spans="14:15" x14ac:dyDescent="0.3">
      <c r="N167" s="22"/>
      <c r="O167" s="22"/>
    </row>
    <row r="168" spans="14:15" x14ac:dyDescent="0.3">
      <c r="N168" s="22"/>
      <c r="O168" s="22"/>
    </row>
    <row r="169" spans="14:15" x14ac:dyDescent="0.3">
      <c r="N169" s="22"/>
      <c r="O169" s="22"/>
    </row>
    <row r="170" spans="14:15" x14ac:dyDescent="0.3">
      <c r="N170" s="22"/>
      <c r="O170" s="22"/>
    </row>
    <row r="171" spans="14:15" x14ac:dyDescent="0.3">
      <c r="N171" s="22"/>
      <c r="O171" s="22"/>
    </row>
    <row r="172" spans="14:15" x14ac:dyDescent="0.3">
      <c r="N172" s="22"/>
      <c r="O172" s="22"/>
    </row>
    <row r="173" spans="14:15" x14ac:dyDescent="0.3">
      <c r="N173" s="22"/>
      <c r="O173" s="22"/>
    </row>
    <row r="174" spans="14:15" x14ac:dyDescent="0.3">
      <c r="N174" s="22"/>
      <c r="O174" s="22"/>
    </row>
    <row r="175" spans="14:15" x14ac:dyDescent="0.3">
      <c r="N175" s="22"/>
      <c r="O175" s="22"/>
    </row>
    <row r="176" spans="14:15" x14ac:dyDescent="0.3">
      <c r="N176" s="22"/>
      <c r="O176" s="22"/>
    </row>
    <row r="177" spans="14:15" x14ac:dyDescent="0.3">
      <c r="N177" s="22"/>
      <c r="O177" s="22"/>
    </row>
    <row r="178" spans="14:15" x14ac:dyDescent="0.3">
      <c r="N178" s="22"/>
      <c r="O178" s="22"/>
    </row>
    <row r="179" spans="14:15" x14ac:dyDescent="0.3">
      <c r="N179" s="22"/>
      <c r="O179" s="22"/>
    </row>
    <row r="180" spans="14:15" x14ac:dyDescent="0.3">
      <c r="N180" s="22"/>
      <c r="O180" s="22"/>
    </row>
    <row r="181" spans="14:15" x14ac:dyDescent="0.3">
      <c r="N181" s="22"/>
      <c r="O181" s="22"/>
    </row>
    <row r="182" spans="14:15" x14ac:dyDescent="0.3">
      <c r="N182" s="22"/>
      <c r="O182" s="22"/>
    </row>
    <row r="183" spans="14:15" x14ac:dyDescent="0.3">
      <c r="N183" s="22"/>
      <c r="O183" s="22"/>
    </row>
    <row r="184" spans="14:15" x14ac:dyDescent="0.3">
      <c r="N184" s="22"/>
      <c r="O184" s="22"/>
    </row>
    <row r="185" spans="14:15" x14ac:dyDescent="0.3">
      <c r="N185" s="22"/>
      <c r="O185" s="22"/>
    </row>
    <row r="186" spans="14:15" x14ac:dyDescent="0.3">
      <c r="N186" s="22"/>
      <c r="O186" s="22"/>
    </row>
    <row r="187" spans="14:15" x14ac:dyDescent="0.3">
      <c r="N187" s="22"/>
      <c r="O187" s="22"/>
    </row>
    <row r="188" spans="14:15" x14ac:dyDescent="0.3">
      <c r="N188" s="22"/>
      <c r="O188" s="22"/>
    </row>
    <row r="189" spans="14:15" x14ac:dyDescent="0.3">
      <c r="N189" s="22"/>
      <c r="O189" s="22"/>
    </row>
    <row r="190" spans="14:15" x14ac:dyDescent="0.3">
      <c r="N190" s="22"/>
      <c r="O190" s="22"/>
    </row>
    <row r="191" spans="14:15" x14ac:dyDescent="0.3">
      <c r="N191" s="22"/>
      <c r="O191" s="22"/>
    </row>
    <row r="192" spans="14:15" x14ac:dyDescent="0.3">
      <c r="N192" s="22"/>
      <c r="O192" s="22"/>
    </row>
    <row r="193" spans="14:15" x14ac:dyDescent="0.3">
      <c r="N193" s="22"/>
      <c r="O193" s="22"/>
    </row>
    <row r="194" spans="14:15" x14ac:dyDescent="0.3">
      <c r="N194" s="22"/>
      <c r="O194" s="22"/>
    </row>
    <row r="195" spans="14:15" x14ac:dyDescent="0.3">
      <c r="N195" s="22"/>
      <c r="O195" s="22"/>
    </row>
    <row r="196" spans="14:15" x14ac:dyDescent="0.3">
      <c r="N196" s="22"/>
      <c r="O196" s="22"/>
    </row>
    <row r="197" spans="14:15" x14ac:dyDescent="0.3">
      <c r="N197" s="22"/>
      <c r="O197" s="22"/>
    </row>
    <row r="198" spans="14:15" x14ac:dyDescent="0.3">
      <c r="N198" s="22"/>
      <c r="O198" s="22"/>
    </row>
    <row r="199" spans="14:15" x14ac:dyDescent="0.3">
      <c r="N199" s="22"/>
      <c r="O199" s="22"/>
    </row>
    <row r="200" spans="14:15" x14ac:dyDescent="0.3">
      <c r="N200" s="22"/>
      <c r="O200" s="22"/>
    </row>
    <row r="201" spans="14:15" x14ac:dyDescent="0.3">
      <c r="N201" s="22"/>
      <c r="O201" s="22"/>
    </row>
    <row r="202" spans="14:15" x14ac:dyDescent="0.3">
      <c r="N202" s="22"/>
      <c r="O202" s="22"/>
    </row>
    <row r="203" spans="14:15" x14ac:dyDescent="0.3">
      <c r="N203" s="22"/>
      <c r="O203" s="22"/>
    </row>
    <row r="204" spans="14:15" x14ac:dyDescent="0.3">
      <c r="N204" s="22"/>
      <c r="O204" s="22"/>
    </row>
    <row r="205" spans="14:15" x14ac:dyDescent="0.3">
      <c r="N205" s="22"/>
      <c r="O205" s="22"/>
    </row>
    <row r="206" spans="14:15" x14ac:dyDescent="0.3">
      <c r="N206" s="22"/>
      <c r="O206" s="22"/>
    </row>
    <row r="207" spans="14:15" x14ac:dyDescent="0.3">
      <c r="N207" s="22"/>
      <c r="O207" s="22"/>
    </row>
    <row r="208" spans="14:15" x14ac:dyDescent="0.3">
      <c r="N208" s="22"/>
      <c r="O208" s="22"/>
    </row>
    <row r="209" spans="14:15" x14ac:dyDescent="0.3">
      <c r="N209" s="22"/>
      <c r="O209" s="22"/>
    </row>
    <row r="210" spans="14:15" x14ac:dyDescent="0.3">
      <c r="N210" s="22"/>
      <c r="O210" s="22"/>
    </row>
    <row r="211" spans="14:15" x14ac:dyDescent="0.3">
      <c r="N211" s="22"/>
      <c r="O211" s="22"/>
    </row>
    <row r="212" spans="14:15" x14ac:dyDescent="0.3">
      <c r="N212" s="22"/>
      <c r="O212" s="22"/>
    </row>
    <row r="213" spans="14:15" x14ac:dyDescent="0.3">
      <c r="N213" s="22"/>
      <c r="O213" s="22"/>
    </row>
    <row r="214" spans="14:15" x14ac:dyDescent="0.3">
      <c r="N214" s="22"/>
      <c r="O214" s="22"/>
    </row>
    <row r="215" spans="14:15" x14ac:dyDescent="0.3">
      <c r="N215" s="22"/>
      <c r="O215" s="22"/>
    </row>
    <row r="216" spans="14:15" x14ac:dyDescent="0.3">
      <c r="N216" s="22"/>
      <c r="O216" s="22"/>
    </row>
    <row r="217" spans="14:15" x14ac:dyDescent="0.3">
      <c r="N217" s="22"/>
      <c r="O217" s="22"/>
    </row>
    <row r="218" spans="14:15" x14ac:dyDescent="0.3">
      <c r="N218" s="22"/>
      <c r="O218" s="22"/>
    </row>
    <row r="219" spans="14:15" x14ac:dyDescent="0.3">
      <c r="N219" s="22"/>
      <c r="O219" s="22"/>
    </row>
    <row r="220" spans="14:15" x14ac:dyDescent="0.3">
      <c r="N220" s="22"/>
      <c r="O220" s="22"/>
    </row>
    <row r="221" spans="14:15" x14ac:dyDescent="0.3">
      <c r="N221" s="22"/>
      <c r="O221" s="22"/>
    </row>
    <row r="222" spans="14:15" x14ac:dyDescent="0.3">
      <c r="N222" s="22"/>
      <c r="O222" s="22"/>
    </row>
    <row r="223" spans="14:15" x14ac:dyDescent="0.3">
      <c r="N223" s="22"/>
      <c r="O223" s="22"/>
    </row>
    <row r="224" spans="14:15" x14ac:dyDescent="0.3">
      <c r="N224" s="22"/>
      <c r="O224" s="22"/>
    </row>
    <row r="225" spans="14:15" x14ac:dyDescent="0.3">
      <c r="N225" s="22"/>
      <c r="O225" s="22"/>
    </row>
    <row r="226" spans="14:15" x14ac:dyDescent="0.3">
      <c r="N226" s="22"/>
      <c r="O226" s="22"/>
    </row>
    <row r="227" spans="14:15" x14ac:dyDescent="0.3">
      <c r="N227" s="22"/>
      <c r="O227" s="22"/>
    </row>
    <row r="228" spans="14:15" x14ac:dyDescent="0.3">
      <c r="N228" s="22"/>
      <c r="O228" s="22"/>
    </row>
    <row r="229" spans="14:15" x14ac:dyDescent="0.3">
      <c r="N229" s="22"/>
      <c r="O229" s="22"/>
    </row>
    <row r="230" spans="14:15" x14ac:dyDescent="0.3">
      <c r="N230" s="22"/>
      <c r="O230" s="22"/>
    </row>
    <row r="231" spans="14:15" x14ac:dyDescent="0.3">
      <c r="N231" s="22"/>
      <c r="O231" s="22"/>
    </row>
    <row r="232" spans="14:15" x14ac:dyDescent="0.3">
      <c r="N232" s="22"/>
      <c r="O232" s="22"/>
    </row>
    <row r="233" spans="14:15" x14ac:dyDescent="0.3">
      <c r="N233" s="22"/>
      <c r="O233" s="22"/>
    </row>
    <row r="234" spans="14:15" x14ac:dyDescent="0.3">
      <c r="N234" s="22"/>
      <c r="O234" s="22"/>
    </row>
    <row r="235" spans="14:15" x14ac:dyDescent="0.3">
      <c r="N235" s="22"/>
      <c r="O235" s="22"/>
    </row>
    <row r="236" spans="14:15" x14ac:dyDescent="0.3">
      <c r="N236" s="22"/>
      <c r="O236" s="22"/>
    </row>
    <row r="237" spans="14:15" x14ac:dyDescent="0.3">
      <c r="N237" s="22"/>
      <c r="O237" s="22"/>
    </row>
    <row r="238" spans="14:15" x14ac:dyDescent="0.3">
      <c r="N238" s="22"/>
      <c r="O238" s="22"/>
    </row>
    <row r="239" spans="14:15" x14ac:dyDescent="0.3">
      <c r="N239" s="22"/>
      <c r="O239" s="22"/>
    </row>
    <row r="240" spans="14:15" x14ac:dyDescent="0.3">
      <c r="N240" s="22"/>
      <c r="O240" s="22"/>
    </row>
    <row r="241" spans="14:15" x14ac:dyDescent="0.3">
      <c r="N241" s="22"/>
      <c r="O241" s="22"/>
    </row>
    <row r="242" spans="14:15" x14ac:dyDescent="0.3">
      <c r="N242" s="22"/>
      <c r="O242" s="22"/>
    </row>
    <row r="243" spans="14:15" x14ac:dyDescent="0.3">
      <c r="N243" s="22"/>
      <c r="O243" s="22"/>
    </row>
    <row r="244" spans="14:15" x14ac:dyDescent="0.3">
      <c r="N244" s="22"/>
      <c r="O244" s="22"/>
    </row>
    <row r="245" spans="14:15" x14ac:dyDescent="0.3">
      <c r="N245" s="22"/>
      <c r="O245" s="22"/>
    </row>
    <row r="246" spans="14:15" x14ac:dyDescent="0.3">
      <c r="N246" s="22"/>
      <c r="O246" s="22"/>
    </row>
    <row r="247" spans="14:15" x14ac:dyDescent="0.3">
      <c r="N247" s="22"/>
      <c r="O247" s="22"/>
    </row>
    <row r="248" spans="14:15" x14ac:dyDescent="0.3">
      <c r="N248" s="22"/>
      <c r="O248" s="22"/>
    </row>
    <row r="249" spans="14:15" x14ac:dyDescent="0.3">
      <c r="N249" s="22"/>
      <c r="O249" s="22"/>
    </row>
    <row r="250" spans="14:15" x14ac:dyDescent="0.3">
      <c r="N250" s="22"/>
      <c r="O250" s="22"/>
    </row>
    <row r="251" spans="14:15" x14ac:dyDescent="0.3">
      <c r="N251" s="22"/>
      <c r="O251" s="22"/>
    </row>
    <row r="252" spans="14:15" x14ac:dyDescent="0.3">
      <c r="N252" s="22"/>
      <c r="O252" s="22"/>
    </row>
    <row r="253" spans="14:15" x14ac:dyDescent="0.3">
      <c r="N253" s="22"/>
      <c r="O253" s="22"/>
    </row>
    <row r="254" spans="14:15" x14ac:dyDescent="0.3">
      <c r="N254" s="22"/>
      <c r="O254" s="22"/>
    </row>
    <row r="255" spans="14:15" x14ac:dyDescent="0.3">
      <c r="N255" s="22"/>
      <c r="O255" s="22"/>
    </row>
    <row r="256" spans="14:15" x14ac:dyDescent="0.3">
      <c r="N256" s="22"/>
      <c r="O256" s="22"/>
    </row>
    <row r="257" spans="14:15" x14ac:dyDescent="0.3">
      <c r="N257" s="22"/>
      <c r="O257" s="22"/>
    </row>
    <row r="258" spans="14:15" x14ac:dyDescent="0.3">
      <c r="N258" s="22"/>
      <c r="O258" s="22"/>
    </row>
    <row r="259" spans="14:15" x14ac:dyDescent="0.3">
      <c r="N259" s="22"/>
      <c r="O259" s="22"/>
    </row>
    <row r="260" spans="14:15" x14ac:dyDescent="0.3">
      <c r="N260" s="22"/>
      <c r="O260" s="22"/>
    </row>
    <row r="261" spans="14:15" x14ac:dyDescent="0.3">
      <c r="N261" s="22"/>
      <c r="O261" s="22"/>
    </row>
    <row r="262" spans="14:15" x14ac:dyDescent="0.3">
      <c r="N262" s="22"/>
      <c r="O262" s="22"/>
    </row>
    <row r="263" spans="14:15" x14ac:dyDescent="0.3">
      <c r="N263" s="22"/>
      <c r="O263" s="22"/>
    </row>
    <row r="264" spans="14:15" x14ac:dyDescent="0.3">
      <c r="N264" s="22"/>
      <c r="O264" s="22"/>
    </row>
    <row r="265" spans="14:15" x14ac:dyDescent="0.3">
      <c r="N265" s="22"/>
      <c r="O265" s="22"/>
    </row>
    <row r="266" spans="14:15" x14ac:dyDescent="0.3">
      <c r="N266" s="22"/>
      <c r="O266" s="22"/>
    </row>
    <row r="267" spans="14:15" x14ac:dyDescent="0.3">
      <c r="N267" s="22"/>
      <c r="O267" s="22"/>
    </row>
    <row r="268" spans="14:15" x14ac:dyDescent="0.3">
      <c r="N268" s="22"/>
      <c r="O268" s="22"/>
    </row>
    <row r="269" spans="14:15" x14ac:dyDescent="0.3">
      <c r="N269" s="22"/>
      <c r="O269" s="22"/>
    </row>
    <row r="270" spans="14:15" x14ac:dyDescent="0.3">
      <c r="N270" s="22"/>
      <c r="O270" s="22"/>
    </row>
    <row r="271" spans="14:15" x14ac:dyDescent="0.3">
      <c r="N271" s="22"/>
      <c r="O271" s="22"/>
    </row>
    <row r="272" spans="14:15" x14ac:dyDescent="0.3">
      <c r="N272" s="22"/>
      <c r="O272" s="22"/>
    </row>
    <row r="273" spans="14:15" x14ac:dyDescent="0.3">
      <c r="N273" s="22"/>
      <c r="O273" s="22"/>
    </row>
    <row r="274" spans="14:15" x14ac:dyDescent="0.3">
      <c r="N274" s="22"/>
      <c r="O274" s="22"/>
    </row>
    <row r="275" spans="14:15" x14ac:dyDescent="0.3">
      <c r="N275" s="22"/>
      <c r="O275" s="22"/>
    </row>
    <row r="276" spans="14:15" x14ac:dyDescent="0.3">
      <c r="N276" s="22"/>
      <c r="O276" s="22"/>
    </row>
    <row r="277" spans="14:15" x14ac:dyDescent="0.3">
      <c r="N277" s="22"/>
      <c r="O277" s="22"/>
    </row>
    <row r="278" spans="14:15" x14ac:dyDescent="0.3">
      <c r="N278" s="22"/>
      <c r="O278" s="22"/>
    </row>
    <row r="279" spans="14:15" x14ac:dyDescent="0.3">
      <c r="N279" s="22"/>
      <c r="O279" s="22"/>
    </row>
    <row r="280" spans="14:15" x14ac:dyDescent="0.3">
      <c r="N280" s="22"/>
      <c r="O280" s="22"/>
    </row>
    <row r="281" spans="14:15" x14ac:dyDescent="0.3">
      <c r="N281" s="22"/>
      <c r="O281" s="22"/>
    </row>
    <row r="282" spans="14:15" x14ac:dyDescent="0.3">
      <c r="N282" s="22"/>
      <c r="O282" s="22"/>
    </row>
    <row r="283" spans="14:15" x14ac:dyDescent="0.3">
      <c r="N283" s="22"/>
      <c r="O283" s="22"/>
    </row>
    <row r="284" spans="14:15" x14ac:dyDescent="0.3">
      <c r="N284" s="22"/>
      <c r="O284" s="22"/>
    </row>
    <row r="285" spans="14:15" x14ac:dyDescent="0.3">
      <c r="N285" s="22"/>
      <c r="O285" s="22"/>
    </row>
    <row r="286" spans="14:15" x14ac:dyDescent="0.3">
      <c r="N286" s="22"/>
      <c r="O286" s="22"/>
    </row>
    <row r="287" spans="14:15" x14ac:dyDescent="0.3">
      <c r="N287" s="22"/>
      <c r="O287" s="22"/>
    </row>
    <row r="288" spans="14:15" x14ac:dyDescent="0.3">
      <c r="N288" s="22"/>
      <c r="O288" s="22"/>
    </row>
    <row r="289" spans="14:15" x14ac:dyDescent="0.3">
      <c r="N289" s="22"/>
      <c r="O289" s="22"/>
    </row>
    <row r="290" spans="14:15" x14ac:dyDescent="0.3">
      <c r="N290" s="22"/>
      <c r="O290" s="22"/>
    </row>
    <row r="291" spans="14:15" x14ac:dyDescent="0.3">
      <c r="N291" s="22"/>
      <c r="O291" s="22"/>
    </row>
    <row r="292" spans="14:15" x14ac:dyDescent="0.3">
      <c r="N292" s="22"/>
      <c r="O292" s="22"/>
    </row>
    <row r="293" spans="14:15" x14ac:dyDescent="0.3">
      <c r="N293" s="22"/>
      <c r="O293" s="22"/>
    </row>
    <row r="294" spans="14:15" x14ac:dyDescent="0.3">
      <c r="N294" s="22"/>
      <c r="O294" s="22"/>
    </row>
    <row r="295" spans="14:15" x14ac:dyDescent="0.3">
      <c r="N295" s="22"/>
      <c r="O295" s="22"/>
    </row>
    <row r="296" spans="14:15" x14ac:dyDescent="0.3">
      <c r="N296" s="22"/>
      <c r="O296" s="22"/>
    </row>
    <row r="297" spans="14:15" x14ac:dyDescent="0.3">
      <c r="N297" s="22"/>
      <c r="O297" s="22"/>
    </row>
    <row r="298" spans="14:15" x14ac:dyDescent="0.3">
      <c r="N298" s="22"/>
      <c r="O298" s="22"/>
    </row>
    <row r="299" spans="14:15" x14ac:dyDescent="0.3">
      <c r="N299" s="22"/>
      <c r="O299" s="22"/>
    </row>
    <row r="300" spans="14:15" x14ac:dyDescent="0.3">
      <c r="N300" s="22"/>
      <c r="O300" s="22"/>
    </row>
    <row r="301" spans="14:15" x14ac:dyDescent="0.3">
      <c r="N301" s="22"/>
      <c r="O301" s="22"/>
    </row>
    <row r="302" spans="14:15" x14ac:dyDescent="0.3">
      <c r="N302" s="22"/>
      <c r="O302" s="22"/>
    </row>
    <row r="303" spans="14:15" x14ac:dyDescent="0.3">
      <c r="N303" s="22"/>
      <c r="O303" s="22"/>
    </row>
    <row r="304" spans="14:15" x14ac:dyDescent="0.3">
      <c r="N304" s="22"/>
      <c r="O304" s="22"/>
    </row>
    <row r="305" spans="14:15" x14ac:dyDescent="0.3">
      <c r="N305" s="22"/>
      <c r="O305" s="22"/>
    </row>
    <row r="306" spans="14:15" x14ac:dyDescent="0.3">
      <c r="N306" s="22"/>
      <c r="O306" s="22"/>
    </row>
    <row r="307" spans="14:15" x14ac:dyDescent="0.3">
      <c r="N307" s="22"/>
      <c r="O307" s="22"/>
    </row>
    <row r="308" spans="14:15" x14ac:dyDescent="0.3">
      <c r="N308" s="22"/>
      <c r="O308" s="22"/>
    </row>
    <row r="309" spans="14:15" x14ac:dyDescent="0.3">
      <c r="N309" s="22"/>
      <c r="O309" s="22"/>
    </row>
    <row r="310" spans="14:15" x14ac:dyDescent="0.3">
      <c r="N310" s="22"/>
      <c r="O310" s="22"/>
    </row>
    <row r="311" spans="14:15" x14ac:dyDescent="0.3">
      <c r="N311" s="22"/>
      <c r="O311" s="22"/>
    </row>
    <row r="312" spans="14:15" x14ac:dyDescent="0.3">
      <c r="N312" s="22"/>
      <c r="O312" s="22"/>
    </row>
    <row r="313" spans="14:15" x14ac:dyDescent="0.3">
      <c r="N313" s="22"/>
      <c r="O313" s="22"/>
    </row>
    <row r="314" spans="14:15" x14ac:dyDescent="0.3">
      <c r="N314" s="22"/>
      <c r="O314" s="22"/>
    </row>
    <row r="315" spans="14:15" x14ac:dyDescent="0.3">
      <c r="N315" s="22"/>
      <c r="O315" s="22"/>
    </row>
    <row r="316" spans="14:15" x14ac:dyDescent="0.3">
      <c r="N316" s="22"/>
      <c r="O316" s="22"/>
    </row>
    <row r="317" spans="14:15" x14ac:dyDescent="0.3">
      <c r="N317" s="22"/>
      <c r="O317" s="22"/>
    </row>
    <row r="318" spans="14:15" x14ac:dyDescent="0.3">
      <c r="N318" s="22"/>
      <c r="O318" s="22"/>
    </row>
    <row r="319" spans="14:15" x14ac:dyDescent="0.3">
      <c r="N319" s="22"/>
      <c r="O319" s="22"/>
    </row>
    <row r="320" spans="14:15" x14ac:dyDescent="0.3">
      <c r="N320" s="22"/>
      <c r="O320" s="22"/>
    </row>
    <row r="321" spans="14:15" x14ac:dyDescent="0.3">
      <c r="N321" s="22"/>
      <c r="O321" s="22"/>
    </row>
    <row r="322" spans="14:15" x14ac:dyDescent="0.3">
      <c r="N322" s="22"/>
      <c r="O322" s="22"/>
    </row>
    <row r="323" spans="14:15" x14ac:dyDescent="0.3">
      <c r="N323" s="22"/>
      <c r="O323" s="22"/>
    </row>
    <row r="324" spans="14:15" x14ac:dyDescent="0.3">
      <c r="N324" s="22"/>
      <c r="O324" s="22"/>
    </row>
    <row r="325" spans="14:15" x14ac:dyDescent="0.3">
      <c r="N325" s="22"/>
      <c r="O325" s="22"/>
    </row>
    <row r="326" spans="14:15" x14ac:dyDescent="0.3">
      <c r="N326" s="22"/>
      <c r="O326" s="22"/>
    </row>
    <row r="327" spans="14:15" x14ac:dyDescent="0.3">
      <c r="N327" s="22"/>
      <c r="O327" s="22"/>
    </row>
    <row r="328" spans="14:15" x14ac:dyDescent="0.3">
      <c r="N328" s="22"/>
      <c r="O328" s="22"/>
    </row>
    <row r="329" spans="14:15" x14ac:dyDescent="0.3">
      <c r="N329" s="22"/>
      <c r="O329" s="22"/>
    </row>
    <row r="330" spans="14:15" x14ac:dyDescent="0.3">
      <c r="N330" s="22"/>
      <c r="O330" s="22"/>
    </row>
    <row r="331" spans="14:15" x14ac:dyDescent="0.3">
      <c r="N331" s="22"/>
      <c r="O331" s="22"/>
    </row>
    <row r="332" spans="14:15" x14ac:dyDescent="0.3">
      <c r="N332" s="22"/>
      <c r="O332" s="22"/>
    </row>
    <row r="333" spans="14:15" x14ac:dyDescent="0.3">
      <c r="N333" s="22"/>
      <c r="O333" s="22"/>
    </row>
    <row r="334" spans="14:15" x14ac:dyDescent="0.3">
      <c r="N334" s="22"/>
      <c r="O334" s="22"/>
    </row>
    <row r="335" spans="14:15" x14ac:dyDescent="0.3">
      <c r="N335" s="22"/>
      <c r="O335" s="22"/>
    </row>
    <row r="336" spans="14:15" x14ac:dyDescent="0.3">
      <c r="N336" s="22"/>
      <c r="O336" s="22"/>
    </row>
    <row r="337" spans="14:15" x14ac:dyDescent="0.3">
      <c r="N337" s="22"/>
      <c r="O337" s="22"/>
    </row>
    <row r="338" spans="14:15" x14ac:dyDescent="0.3">
      <c r="N338" s="22"/>
      <c r="O338" s="22"/>
    </row>
    <row r="339" spans="14:15" x14ac:dyDescent="0.3">
      <c r="N339" s="22"/>
      <c r="O339" s="22"/>
    </row>
    <row r="340" spans="14:15" x14ac:dyDescent="0.3">
      <c r="N340" s="22"/>
      <c r="O340" s="22"/>
    </row>
    <row r="341" spans="14:15" x14ac:dyDescent="0.3">
      <c r="N341" s="22"/>
      <c r="O341" s="22"/>
    </row>
    <row r="342" spans="14:15" x14ac:dyDescent="0.3">
      <c r="N342" s="22"/>
      <c r="O342" s="22"/>
    </row>
    <row r="343" spans="14:15" x14ac:dyDescent="0.3">
      <c r="N343" s="22"/>
      <c r="O343" s="22"/>
    </row>
    <row r="344" spans="14:15" x14ac:dyDescent="0.3">
      <c r="N344" s="22"/>
      <c r="O344" s="22"/>
    </row>
    <row r="345" spans="14:15" x14ac:dyDescent="0.3">
      <c r="N345" s="22"/>
      <c r="O345" s="22"/>
    </row>
    <row r="346" spans="14:15" x14ac:dyDescent="0.3">
      <c r="N346" s="22"/>
      <c r="O346" s="22"/>
    </row>
    <row r="347" spans="14:15" x14ac:dyDescent="0.3">
      <c r="N347" s="22"/>
      <c r="O347" s="22"/>
    </row>
    <row r="348" spans="14:15" x14ac:dyDescent="0.3">
      <c r="N348" s="22"/>
      <c r="O348" s="22"/>
    </row>
    <row r="349" spans="14:15" x14ac:dyDescent="0.3">
      <c r="N349" s="22"/>
      <c r="O349" s="22"/>
    </row>
    <row r="350" spans="14:15" x14ac:dyDescent="0.3">
      <c r="N350" s="22"/>
      <c r="O350" s="22"/>
    </row>
    <row r="351" spans="14:15" x14ac:dyDescent="0.3">
      <c r="N351" s="22"/>
      <c r="O351" s="22"/>
    </row>
    <row r="352" spans="14:15" x14ac:dyDescent="0.3">
      <c r="N352" s="22"/>
      <c r="O352" s="22"/>
    </row>
    <row r="353" spans="14:15" x14ac:dyDescent="0.3">
      <c r="N353" s="22"/>
      <c r="O353" s="22"/>
    </row>
    <row r="354" spans="14:15" x14ac:dyDescent="0.3">
      <c r="N354" s="22"/>
      <c r="O354" s="22"/>
    </row>
    <row r="355" spans="14:15" x14ac:dyDescent="0.3">
      <c r="N355" s="22"/>
      <c r="O355" s="22"/>
    </row>
    <row r="356" spans="14:15" x14ac:dyDescent="0.3">
      <c r="N356" s="22"/>
      <c r="O356" s="22"/>
    </row>
    <row r="357" spans="14:15" x14ac:dyDescent="0.3">
      <c r="N357" s="22"/>
      <c r="O357" s="22"/>
    </row>
    <row r="358" spans="14:15" x14ac:dyDescent="0.3">
      <c r="N358" s="22"/>
      <c r="O358" s="22"/>
    </row>
    <row r="359" spans="14:15" x14ac:dyDescent="0.3">
      <c r="N359" s="22"/>
      <c r="O359" s="22"/>
    </row>
    <row r="360" spans="14:15" x14ac:dyDescent="0.3">
      <c r="N360" s="22"/>
      <c r="O360" s="22"/>
    </row>
    <row r="361" spans="14:15" x14ac:dyDescent="0.3">
      <c r="N361" s="22"/>
      <c r="O361" s="22"/>
    </row>
    <row r="362" spans="14:15" x14ac:dyDescent="0.3">
      <c r="N362" s="22"/>
      <c r="O362" s="22"/>
    </row>
    <row r="363" spans="14:15" x14ac:dyDescent="0.3">
      <c r="N363" s="22"/>
      <c r="O363" s="22"/>
    </row>
    <row r="364" spans="14:15" x14ac:dyDescent="0.3">
      <c r="N364" s="22"/>
      <c r="O364" s="22"/>
    </row>
    <row r="365" spans="14:15" x14ac:dyDescent="0.3">
      <c r="N365" s="22"/>
      <c r="O365" s="22"/>
    </row>
    <row r="366" spans="14:15" x14ac:dyDescent="0.3">
      <c r="N366" s="22"/>
      <c r="O366" s="22"/>
    </row>
    <row r="367" spans="14:15" x14ac:dyDescent="0.3">
      <c r="N367" s="22"/>
      <c r="O367" s="22"/>
    </row>
    <row r="368" spans="14:15" x14ac:dyDescent="0.3">
      <c r="N368" s="22"/>
      <c r="O368" s="22"/>
    </row>
    <row r="369" spans="14:15" x14ac:dyDescent="0.3">
      <c r="N369" s="22"/>
      <c r="O369" s="22"/>
    </row>
    <row r="370" spans="14:15" x14ac:dyDescent="0.3">
      <c r="N370" s="22"/>
      <c r="O370" s="22"/>
    </row>
    <row r="371" spans="14:15" x14ac:dyDescent="0.3">
      <c r="N371" s="22"/>
      <c r="O371" s="22"/>
    </row>
    <row r="372" spans="14:15" x14ac:dyDescent="0.3">
      <c r="N372" s="22"/>
      <c r="O372" s="22"/>
    </row>
    <row r="373" spans="14:15" x14ac:dyDescent="0.3">
      <c r="N373" s="22"/>
      <c r="O373" s="22"/>
    </row>
    <row r="374" spans="14:15" x14ac:dyDescent="0.3">
      <c r="N374" s="22"/>
      <c r="O374" s="22"/>
    </row>
    <row r="375" spans="14:15" x14ac:dyDescent="0.3">
      <c r="N375" s="22"/>
      <c r="O375" s="22"/>
    </row>
    <row r="376" spans="14:15" x14ac:dyDescent="0.3">
      <c r="N376" s="22"/>
      <c r="O376" s="22"/>
    </row>
    <row r="377" spans="14:15" x14ac:dyDescent="0.3">
      <c r="N377" s="22"/>
      <c r="O377" s="22"/>
    </row>
    <row r="378" spans="14:15" x14ac:dyDescent="0.3">
      <c r="N378" s="22"/>
      <c r="O378" s="22"/>
    </row>
    <row r="379" spans="14:15" x14ac:dyDescent="0.3">
      <c r="N379" s="22"/>
      <c r="O379" s="22"/>
    </row>
    <row r="380" spans="14:15" x14ac:dyDescent="0.3">
      <c r="N380" s="22"/>
      <c r="O380" s="22"/>
    </row>
    <row r="381" spans="14:15" x14ac:dyDescent="0.3">
      <c r="N381" s="22"/>
      <c r="O381" s="22"/>
    </row>
    <row r="382" spans="14:15" x14ac:dyDescent="0.3">
      <c r="N382" s="22"/>
      <c r="O382" s="22"/>
    </row>
    <row r="383" spans="14:15" x14ac:dyDescent="0.3">
      <c r="N383" s="22"/>
      <c r="O383" s="22"/>
    </row>
    <row r="384" spans="14:15" x14ac:dyDescent="0.3">
      <c r="N384" s="22"/>
      <c r="O384" s="22"/>
    </row>
    <row r="385" spans="14:15" x14ac:dyDescent="0.3">
      <c r="N385" s="22"/>
      <c r="O385" s="22"/>
    </row>
    <row r="386" spans="14:15" x14ac:dyDescent="0.3">
      <c r="N386" s="22"/>
      <c r="O386" s="22"/>
    </row>
    <row r="387" spans="14:15" x14ac:dyDescent="0.3">
      <c r="N387" s="22"/>
      <c r="O387" s="22"/>
    </row>
    <row r="388" spans="14:15" x14ac:dyDescent="0.3">
      <c r="N388" s="22"/>
      <c r="O388" s="22"/>
    </row>
    <row r="389" spans="14:15" x14ac:dyDescent="0.3">
      <c r="N389" s="22"/>
      <c r="O389" s="22"/>
    </row>
    <row r="390" spans="14:15" x14ac:dyDescent="0.3">
      <c r="N390" s="22"/>
      <c r="O390" s="22"/>
    </row>
    <row r="391" spans="14:15" x14ac:dyDescent="0.3">
      <c r="N391" s="22"/>
      <c r="O391" s="22"/>
    </row>
    <row r="392" spans="14:15" x14ac:dyDescent="0.3">
      <c r="N392" s="22"/>
      <c r="O392" s="22"/>
    </row>
    <row r="393" spans="14:15" x14ac:dyDescent="0.3">
      <c r="N393" s="22"/>
      <c r="O393" s="22"/>
    </row>
    <row r="394" spans="14:15" x14ac:dyDescent="0.3">
      <c r="N394" s="22"/>
      <c r="O394" s="22"/>
    </row>
    <row r="395" spans="14:15" x14ac:dyDescent="0.3">
      <c r="N395" s="22"/>
      <c r="O395" s="22"/>
    </row>
    <row r="396" spans="14:15" x14ac:dyDescent="0.3">
      <c r="N396" s="22"/>
      <c r="O396" s="22"/>
    </row>
    <row r="397" spans="14:15" x14ac:dyDescent="0.3">
      <c r="N397" s="22"/>
      <c r="O397" s="22"/>
    </row>
    <row r="398" spans="14:15" x14ac:dyDescent="0.3">
      <c r="N398" s="22"/>
      <c r="O398" s="22"/>
    </row>
    <row r="399" spans="14:15" x14ac:dyDescent="0.3">
      <c r="N399" s="22"/>
      <c r="O399" s="22"/>
    </row>
    <row r="400" spans="14:15" x14ac:dyDescent="0.3">
      <c r="N400" s="22"/>
      <c r="O400" s="22"/>
    </row>
    <row r="401" spans="14:15" x14ac:dyDescent="0.3">
      <c r="N401" s="22"/>
      <c r="O401" s="22"/>
    </row>
    <row r="402" spans="14:15" x14ac:dyDescent="0.3">
      <c r="N402" s="22"/>
      <c r="O402" s="22"/>
    </row>
    <row r="403" spans="14:15" x14ac:dyDescent="0.3">
      <c r="N403" s="22"/>
      <c r="O403" s="22"/>
    </row>
    <row r="404" spans="14:15" x14ac:dyDescent="0.3">
      <c r="N404" s="22"/>
      <c r="O404" s="22"/>
    </row>
    <row r="405" spans="14:15" x14ac:dyDescent="0.3">
      <c r="N405" s="22"/>
      <c r="O405" s="22"/>
    </row>
    <row r="406" spans="14:15" x14ac:dyDescent="0.3">
      <c r="N406" s="22"/>
      <c r="O406" s="22"/>
    </row>
    <row r="407" spans="14:15" x14ac:dyDescent="0.3">
      <c r="N407" s="22"/>
      <c r="O407" s="22"/>
    </row>
    <row r="408" spans="14:15" x14ac:dyDescent="0.3">
      <c r="N408" s="22"/>
      <c r="O408" s="22"/>
    </row>
    <row r="409" spans="14:15" x14ac:dyDescent="0.3">
      <c r="N409" s="22"/>
      <c r="O409" s="22"/>
    </row>
    <row r="410" spans="14:15" x14ac:dyDescent="0.3">
      <c r="N410" s="22"/>
      <c r="O410" s="22"/>
    </row>
    <row r="411" spans="14:15" x14ac:dyDescent="0.3">
      <c r="N411" s="22"/>
      <c r="O411" s="22"/>
    </row>
    <row r="412" spans="14:15" x14ac:dyDescent="0.3">
      <c r="N412" s="22"/>
      <c r="O412" s="22"/>
    </row>
    <row r="413" spans="14:15" x14ac:dyDescent="0.3">
      <c r="N413" s="22"/>
      <c r="O413" s="22"/>
    </row>
    <row r="414" spans="14:15" x14ac:dyDescent="0.3">
      <c r="N414" s="22"/>
      <c r="O414" s="22"/>
    </row>
    <row r="415" spans="14:15" x14ac:dyDescent="0.3">
      <c r="N415" s="22"/>
      <c r="O415" s="22"/>
    </row>
    <row r="416" spans="14:15" x14ac:dyDescent="0.3">
      <c r="N416" s="22"/>
      <c r="O416" s="22"/>
    </row>
    <row r="417" spans="14:15" x14ac:dyDescent="0.3">
      <c r="N417" s="22"/>
      <c r="O417" s="22"/>
    </row>
    <row r="418" spans="14:15" x14ac:dyDescent="0.3">
      <c r="N418" s="22"/>
      <c r="O418" s="22"/>
    </row>
    <row r="419" spans="14:15" x14ac:dyDescent="0.3">
      <c r="N419" s="22"/>
      <c r="O419" s="22"/>
    </row>
    <row r="420" spans="14:15" x14ac:dyDescent="0.3">
      <c r="N420" s="22"/>
      <c r="O420" s="22"/>
    </row>
    <row r="421" spans="14:15" x14ac:dyDescent="0.3">
      <c r="N421" s="22"/>
      <c r="O421" s="22"/>
    </row>
    <row r="422" spans="14:15" x14ac:dyDescent="0.3">
      <c r="N422" s="22"/>
      <c r="O422" s="22"/>
    </row>
    <row r="423" spans="14:15" x14ac:dyDescent="0.3">
      <c r="N423" s="22"/>
      <c r="O423" s="22"/>
    </row>
    <row r="424" spans="14:15" x14ac:dyDescent="0.3">
      <c r="N424" s="22"/>
      <c r="O424" s="22"/>
    </row>
    <row r="425" spans="14:15" x14ac:dyDescent="0.3">
      <c r="N425" s="22"/>
      <c r="O425" s="22"/>
    </row>
    <row r="426" spans="14:15" x14ac:dyDescent="0.3">
      <c r="N426" s="22"/>
      <c r="O426" s="22"/>
    </row>
    <row r="427" spans="14:15" x14ac:dyDescent="0.3">
      <c r="N427" s="22"/>
      <c r="O427" s="22"/>
    </row>
    <row r="428" spans="14:15" x14ac:dyDescent="0.3">
      <c r="N428" s="22"/>
      <c r="O428" s="22"/>
    </row>
    <row r="429" spans="14:15" x14ac:dyDescent="0.3">
      <c r="N429" s="22"/>
      <c r="O429" s="22"/>
    </row>
    <row r="430" spans="14:15" x14ac:dyDescent="0.3">
      <c r="N430" s="22"/>
      <c r="O430" s="22"/>
    </row>
    <row r="431" spans="14:15" x14ac:dyDescent="0.3">
      <c r="N431" s="22"/>
      <c r="O431" s="22"/>
    </row>
    <row r="432" spans="14:15" x14ac:dyDescent="0.3">
      <c r="N432" s="22"/>
      <c r="O432" s="22"/>
    </row>
    <row r="433" spans="14:15" x14ac:dyDescent="0.3">
      <c r="N433" s="22"/>
      <c r="O433" s="22"/>
    </row>
    <row r="434" spans="14:15" x14ac:dyDescent="0.3">
      <c r="N434" s="22"/>
      <c r="O434" s="22"/>
    </row>
    <row r="435" spans="14:15" x14ac:dyDescent="0.3">
      <c r="N435" s="22"/>
      <c r="O435" s="22"/>
    </row>
    <row r="436" spans="14:15" x14ac:dyDescent="0.3">
      <c r="N436" s="22"/>
      <c r="O436" s="22"/>
    </row>
    <row r="437" spans="14:15" x14ac:dyDescent="0.3">
      <c r="N437" s="22"/>
      <c r="O437" s="22"/>
    </row>
    <row r="438" spans="14:15" x14ac:dyDescent="0.3">
      <c r="N438" s="22"/>
      <c r="O438" s="22"/>
    </row>
    <row r="439" spans="14:15" x14ac:dyDescent="0.3">
      <c r="N439" s="22"/>
      <c r="O439" s="22"/>
    </row>
    <row r="440" spans="14:15" x14ac:dyDescent="0.3">
      <c r="N440" s="22"/>
      <c r="O440" s="22"/>
    </row>
    <row r="441" spans="14:15" x14ac:dyDescent="0.3">
      <c r="N441" s="22"/>
      <c r="O441" s="22"/>
    </row>
    <row r="442" spans="14:15" x14ac:dyDescent="0.3">
      <c r="N442" s="22"/>
      <c r="O442" s="22"/>
    </row>
    <row r="443" spans="14:15" x14ac:dyDescent="0.3">
      <c r="N443" s="22"/>
      <c r="O443" s="22"/>
    </row>
    <row r="444" spans="14:15" x14ac:dyDescent="0.3">
      <c r="N444" s="22"/>
      <c r="O444" s="22"/>
    </row>
    <row r="445" spans="14:15" x14ac:dyDescent="0.3">
      <c r="N445" s="22"/>
      <c r="O445" s="22"/>
    </row>
    <row r="446" spans="14:15" x14ac:dyDescent="0.3">
      <c r="N446" s="22"/>
      <c r="O446" s="22"/>
    </row>
    <row r="447" spans="14:15" x14ac:dyDescent="0.3">
      <c r="N447" s="22"/>
      <c r="O447" s="22"/>
    </row>
    <row r="448" spans="14:15" x14ac:dyDescent="0.3">
      <c r="N448" s="22"/>
      <c r="O448" s="22"/>
    </row>
    <row r="449" spans="14:15" x14ac:dyDescent="0.3">
      <c r="N449" s="22"/>
      <c r="O449" s="22"/>
    </row>
    <row r="450" spans="14:15" x14ac:dyDescent="0.3">
      <c r="N450" s="22"/>
      <c r="O450" s="22"/>
    </row>
    <row r="451" spans="14:15" x14ac:dyDescent="0.3">
      <c r="N451" s="22"/>
      <c r="O451" s="22"/>
    </row>
    <row r="452" spans="14:15" x14ac:dyDescent="0.3">
      <c r="N452" s="22"/>
      <c r="O452" s="22"/>
    </row>
    <row r="453" spans="14:15" x14ac:dyDescent="0.3">
      <c r="N453" s="22"/>
      <c r="O453" s="22"/>
    </row>
    <row r="454" spans="14:15" x14ac:dyDescent="0.3">
      <c r="N454" s="22"/>
      <c r="O454" s="22"/>
    </row>
    <row r="455" spans="14:15" x14ac:dyDescent="0.3">
      <c r="N455" s="22"/>
      <c r="O455" s="22"/>
    </row>
    <row r="456" spans="14:15" x14ac:dyDescent="0.3">
      <c r="N456" s="22"/>
      <c r="O456" s="22"/>
    </row>
    <row r="457" spans="14:15" x14ac:dyDescent="0.3">
      <c r="N457" s="22"/>
      <c r="O457" s="22"/>
    </row>
    <row r="458" spans="14:15" x14ac:dyDescent="0.3">
      <c r="N458" s="22"/>
      <c r="O458" s="22"/>
    </row>
    <row r="459" spans="14:15" x14ac:dyDescent="0.3">
      <c r="N459" s="22"/>
      <c r="O459" s="22"/>
    </row>
    <row r="460" spans="14:15" x14ac:dyDescent="0.3">
      <c r="N460" s="22"/>
      <c r="O460" s="22"/>
    </row>
    <row r="461" spans="14:15" x14ac:dyDescent="0.3">
      <c r="N461" s="22"/>
      <c r="O461" s="22"/>
    </row>
    <row r="462" spans="14:15" x14ac:dyDescent="0.3">
      <c r="N462" s="22"/>
      <c r="O462" s="22"/>
    </row>
    <row r="463" spans="14:15" x14ac:dyDescent="0.3">
      <c r="N463" s="22"/>
      <c r="O463" s="22"/>
    </row>
    <row r="464" spans="14:15" x14ac:dyDescent="0.3">
      <c r="N464" s="22"/>
      <c r="O464" s="22"/>
    </row>
    <row r="465" spans="14:15" x14ac:dyDescent="0.3">
      <c r="N465" s="22"/>
      <c r="O465" s="22"/>
    </row>
    <row r="466" spans="14:15" x14ac:dyDescent="0.3">
      <c r="N466" s="22"/>
      <c r="O466" s="22"/>
    </row>
    <row r="467" spans="14:15" x14ac:dyDescent="0.3">
      <c r="N467" s="22"/>
      <c r="O467" s="22"/>
    </row>
    <row r="468" spans="14:15" x14ac:dyDescent="0.3">
      <c r="N468" s="22"/>
      <c r="O468" s="22"/>
    </row>
    <row r="469" spans="14:15" x14ac:dyDescent="0.3">
      <c r="N469" s="22"/>
      <c r="O469" s="22"/>
    </row>
    <row r="470" spans="14:15" x14ac:dyDescent="0.3">
      <c r="N470" s="22"/>
      <c r="O470" s="22"/>
    </row>
    <row r="471" spans="14:15" x14ac:dyDescent="0.3">
      <c r="N471" s="22"/>
      <c r="O471" s="22"/>
    </row>
    <row r="472" spans="14:15" x14ac:dyDescent="0.3">
      <c r="N472" s="22"/>
      <c r="O472" s="22"/>
    </row>
    <row r="473" spans="14:15" x14ac:dyDescent="0.3">
      <c r="N473" s="22"/>
      <c r="O473" s="22"/>
    </row>
    <row r="474" spans="14:15" x14ac:dyDescent="0.3">
      <c r="N474" s="22"/>
      <c r="O474" s="22"/>
    </row>
    <row r="475" spans="14:15" x14ac:dyDescent="0.3">
      <c r="N475" s="22"/>
      <c r="O475" s="22"/>
    </row>
    <row r="476" spans="14:15" x14ac:dyDescent="0.3">
      <c r="N476" s="22"/>
      <c r="O476" s="22"/>
    </row>
    <row r="477" spans="14:15" x14ac:dyDescent="0.3">
      <c r="N477" s="22"/>
      <c r="O477" s="22"/>
    </row>
    <row r="478" spans="14:15" x14ac:dyDescent="0.3">
      <c r="N478" s="22"/>
      <c r="O478" s="22"/>
    </row>
    <row r="479" spans="14:15" x14ac:dyDescent="0.3">
      <c r="N479" s="22"/>
      <c r="O479" s="22"/>
    </row>
    <row r="480" spans="14:15" x14ac:dyDescent="0.3">
      <c r="N480" s="22"/>
      <c r="O480" s="22"/>
    </row>
    <row r="481" spans="14:15" x14ac:dyDescent="0.3">
      <c r="N481" s="22"/>
      <c r="O481" s="22"/>
    </row>
    <row r="482" spans="14:15" x14ac:dyDescent="0.3">
      <c r="N482" s="22"/>
      <c r="O482" s="22"/>
    </row>
    <row r="483" spans="14:15" x14ac:dyDescent="0.3">
      <c r="N483" s="22"/>
      <c r="O483" s="22"/>
    </row>
    <row r="484" spans="14:15" x14ac:dyDescent="0.3">
      <c r="N484" s="22"/>
      <c r="O484" s="22"/>
    </row>
    <row r="485" spans="14:15" x14ac:dyDescent="0.3">
      <c r="N485" s="22"/>
      <c r="O485" s="22"/>
    </row>
    <row r="486" spans="14:15" x14ac:dyDescent="0.3">
      <c r="N486" s="22"/>
      <c r="O486" s="22"/>
    </row>
    <row r="487" spans="14:15" x14ac:dyDescent="0.3">
      <c r="N487" s="22"/>
      <c r="O487" s="22"/>
    </row>
    <row r="488" spans="14:15" x14ac:dyDescent="0.3">
      <c r="N488" s="22"/>
      <c r="O488" s="22"/>
    </row>
    <row r="489" spans="14:15" x14ac:dyDescent="0.3">
      <c r="N489" s="22"/>
      <c r="O489" s="22"/>
    </row>
    <row r="490" spans="14:15" x14ac:dyDescent="0.3">
      <c r="N490" s="22"/>
      <c r="O490" s="22"/>
    </row>
    <row r="491" spans="14:15" x14ac:dyDescent="0.3">
      <c r="N491" s="22"/>
      <c r="O491" s="22"/>
    </row>
    <row r="492" spans="14:15" x14ac:dyDescent="0.3">
      <c r="N492" s="22"/>
      <c r="O492" s="22"/>
    </row>
    <row r="493" spans="14:15" x14ac:dyDescent="0.3">
      <c r="N493" s="22"/>
      <c r="O493" s="22"/>
    </row>
    <row r="494" spans="14:15" x14ac:dyDescent="0.3">
      <c r="N494" s="22"/>
      <c r="O494" s="22"/>
    </row>
    <row r="495" spans="14:15" x14ac:dyDescent="0.3">
      <c r="N495" s="22"/>
      <c r="O495" s="22"/>
    </row>
    <row r="496" spans="14:15" x14ac:dyDescent="0.3">
      <c r="N496" s="22"/>
      <c r="O496" s="22"/>
    </row>
    <row r="497" spans="14:15" x14ac:dyDescent="0.3">
      <c r="N497" s="22"/>
      <c r="O497" s="22"/>
    </row>
    <row r="498" spans="14:15" x14ac:dyDescent="0.3">
      <c r="N498" s="22"/>
      <c r="O498" s="22"/>
    </row>
    <row r="499" spans="14:15" x14ac:dyDescent="0.3">
      <c r="N499" s="22"/>
      <c r="O499" s="22"/>
    </row>
    <row r="500" spans="14:15" x14ac:dyDescent="0.3">
      <c r="N500" s="22"/>
      <c r="O500" s="22"/>
    </row>
    <row r="501" spans="14:15" x14ac:dyDescent="0.3">
      <c r="N501" s="22"/>
      <c r="O501" s="22"/>
    </row>
    <row r="502" spans="14:15" x14ac:dyDescent="0.3">
      <c r="N502" s="22"/>
      <c r="O502" s="22"/>
    </row>
    <row r="503" spans="14:15" x14ac:dyDescent="0.3">
      <c r="N503" s="22"/>
      <c r="O503" s="22"/>
    </row>
    <row r="504" spans="14:15" x14ac:dyDescent="0.3">
      <c r="N504" s="22"/>
      <c r="O504" s="22"/>
    </row>
    <row r="505" spans="14:15" x14ac:dyDescent="0.3">
      <c r="N505" s="22"/>
      <c r="O505" s="22"/>
    </row>
    <row r="506" spans="14:15" x14ac:dyDescent="0.3">
      <c r="N506" s="22"/>
      <c r="O506" s="22"/>
    </row>
    <row r="507" spans="14:15" x14ac:dyDescent="0.3">
      <c r="N507" s="22"/>
      <c r="O507" s="22"/>
    </row>
    <row r="508" spans="14:15" x14ac:dyDescent="0.3">
      <c r="N508" s="22"/>
      <c r="O508" s="22"/>
    </row>
    <row r="509" spans="14:15" x14ac:dyDescent="0.3">
      <c r="N509" s="22"/>
      <c r="O509" s="22"/>
    </row>
    <row r="510" spans="14:15" x14ac:dyDescent="0.3">
      <c r="N510" s="22"/>
      <c r="O510" s="22"/>
    </row>
    <row r="511" spans="14:15" x14ac:dyDescent="0.3">
      <c r="N511" s="22"/>
      <c r="O511" s="22"/>
    </row>
    <row r="512" spans="14:15" x14ac:dyDescent="0.3">
      <c r="N512" s="22"/>
      <c r="O512" s="22"/>
    </row>
    <row r="513" spans="14:15" x14ac:dyDescent="0.3">
      <c r="N513" s="22"/>
      <c r="O513" s="22"/>
    </row>
    <row r="514" spans="14:15" x14ac:dyDescent="0.3">
      <c r="N514" s="22"/>
      <c r="O514" s="22"/>
    </row>
    <row r="515" spans="14:15" x14ac:dyDescent="0.3">
      <c r="N515" s="22"/>
      <c r="O515" s="22"/>
    </row>
    <row r="516" spans="14:15" x14ac:dyDescent="0.3">
      <c r="N516" s="22"/>
      <c r="O516" s="22"/>
    </row>
    <row r="517" spans="14:15" x14ac:dyDescent="0.3">
      <c r="N517" s="22"/>
      <c r="O517" s="22"/>
    </row>
    <row r="518" spans="14:15" x14ac:dyDescent="0.3">
      <c r="N518" s="22"/>
      <c r="O518" s="22"/>
    </row>
    <row r="519" spans="14:15" x14ac:dyDescent="0.3">
      <c r="N519" s="22"/>
      <c r="O519" s="22"/>
    </row>
    <row r="520" spans="14:15" x14ac:dyDescent="0.3">
      <c r="N520" s="22"/>
      <c r="O520" s="22"/>
    </row>
    <row r="521" spans="14:15" x14ac:dyDescent="0.3">
      <c r="N521" s="22"/>
      <c r="O521" s="22"/>
    </row>
    <row r="522" spans="14:15" x14ac:dyDescent="0.3">
      <c r="N522" s="22"/>
      <c r="O522" s="22"/>
    </row>
    <row r="523" spans="14:15" x14ac:dyDescent="0.3">
      <c r="N523" s="22"/>
      <c r="O523" s="22"/>
    </row>
    <row r="524" spans="14:15" x14ac:dyDescent="0.3">
      <c r="N524" s="22"/>
      <c r="O524" s="22"/>
    </row>
    <row r="525" spans="14:15" x14ac:dyDescent="0.3">
      <c r="N525" s="22"/>
      <c r="O525" s="22"/>
    </row>
    <row r="526" spans="14:15" x14ac:dyDescent="0.3">
      <c r="N526" s="22"/>
      <c r="O526" s="22"/>
    </row>
    <row r="527" spans="14:15" x14ac:dyDescent="0.3">
      <c r="N527" s="22"/>
      <c r="O527" s="22"/>
    </row>
    <row r="528" spans="14:15" x14ac:dyDescent="0.3">
      <c r="N528" s="22"/>
      <c r="O528" s="22"/>
    </row>
    <row r="529" spans="14:15" x14ac:dyDescent="0.3">
      <c r="N529" s="22"/>
      <c r="O529" s="22"/>
    </row>
    <row r="530" spans="14:15" x14ac:dyDescent="0.3">
      <c r="N530" s="22"/>
      <c r="O530" s="22"/>
    </row>
    <row r="531" spans="14:15" x14ac:dyDescent="0.3">
      <c r="N531" s="22"/>
      <c r="O531" s="22"/>
    </row>
    <row r="532" spans="14:15" x14ac:dyDescent="0.3">
      <c r="N532" s="22"/>
      <c r="O532" s="22"/>
    </row>
    <row r="533" spans="14:15" x14ac:dyDescent="0.3">
      <c r="N533" s="22"/>
      <c r="O533" s="22"/>
    </row>
    <row r="534" spans="14:15" x14ac:dyDescent="0.3">
      <c r="N534" s="22"/>
      <c r="O534" s="22"/>
    </row>
    <row r="535" spans="14:15" x14ac:dyDescent="0.3">
      <c r="N535" s="22"/>
      <c r="O535" s="22"/>
    </row>
    <row r="536" spans="14:15" x14ac:dyDescent="0.3">
      <c r="N536" s="22"/>
      <c r="O536" s="22"/>
    </row>
    <row r="537" spans="14:15" x14ac:dyDescent="0.3">
      <c r="N537" s="22"/>
      <c r="O537" s="22"/>
    </row>
    <row r="538" spans="14:15" x14ac:dyDescent="0.3">
      <c r="N538" s="22"/>
      <c r="O538" s="22"/>
    </row>
    <row r="539" spans="14:15" x14ac:dyDescent="0.3">
      <c r="N539" s="22"/>
      <c r="O539" s="22"/>
    </row>
    <row r="540" spans="14:15" x14ac:dyDescent="0.3">
      <c r="N540" s="22"/>
      <c r="O540" s="22"/>
    </row>
    <row r="541" spans="14:15" x14ac:dyDescent="0.3">
      <c r="N541" s="22"/>
      <c r="O541" s="22"/>
    </row>
    <row r="542" spans="14:15" x14ac:dyDescent="0.3">
      <c r="N542" s="22"/>
      <c r="O542" s="22"/>
    </row>
    <row r="543" spans="14:15" x14ac:dyDescent="0.3">
      <c r="N543" s="22"/>
      <c r="O543" s="22"/>
    </row>
    <row r="544" spans="14:15" x14ac:dyDescent="0.3">
      <c r="N544" s="22"/>
      <c r="O544" s="22"/>
    </row>
    <row r="545" spans="14:15" x14ac:dyDescent="0.3">
      <c r="N545" s="22"/>
      <c r="O545" s="22"/>
    </row>
    <row r="546" spans="14:15" x14ac:dyDescent="0.3">
      <c r="N546" s="22"/>
      <c r="O546" s="22"/>
    </row>
    <row r="547" spans="14:15" x14ac:dyDescent="0.3">
      <c r="N547" s="22"/>
      <c r="O547" s="22"/>
    </row>
    <row r="548" spans="14:15" x14ac:dyDescent="0.3">
      <c r="N548" s="22"/>
      <c r="O548" s="22"/>
    </row>
    <row r="549" spans="14:15" x14ac:dyDescent="0.3">
      <c r="N549" s="22"/>
      <c r="O549" s="22"/>
    </row>
    <row r="550" spans="14:15" x14ac:dyDescent="0.3">
      <c r="N550" s="22"/>
      <c r="O550" s="22"/>
    </row>
    <row r="551" spans="14:15" x14ac:dyDescent="0.3">
      <c r="N551" s="22"/>
      <c r="O551" s="22"/>
    </row>
    <row r="552" spans="14:15" x14ac:dyDescent="0.3">
      <c r="N552" s="22"/>
      <c r="O552" s="22"/>
    </row>
    <row r="553" spans="14:15" x14ac:dyDescent="0.3">
      <c r="N553" s="22"/>
      <c r="O553" s="22"/>
    </row>
    <row r="554" spans="14:15" x14ac:dyDescent="0.3">
      <c r="N554" s="22"/>
      <c r="O554" s="22"/>
    </row>
    <row r="555" spans="14:15" x14ac:dyDescent="0.3">
      <c r="N555" s="22"/>
      <c r="O555" s="22"/>
    </row>
    <row r="556" spans="14:15" x14ac:dyDescent="0.3">
      <c r="N556" s="22"/>
      <c r="O556" s="22"/>
    </row>
    <row r="557" spans="14:15" x14ac:dyDescent="0.3">
      <c r="N557" s="22"/>
      <c r="O557" s="22"/>
    </row>
    <row r="558" spans="14:15" x14ac:dyDescent="0.3">
      <c r="N558" s="22"/>
      <c r="O558" s="22"/>
    </row>
    <row r="559" spans="14:15" x14ac:dyDescent="0.3">
      <c r="N559" s="22"/>
      <c r="O559" s="22"/>
    </row>
    <row r="560" spans="14:15" x14ac:dyDescent="0.3">
      <c r="N560" s="22"/>
      <c r="O560" s="22"/>
    </row>
    <row r="561" spans="14:15" x14ac:dyDescent="0.3">
      <c r="N561" s="22"/>
      <c r="O561" s="22"/>
    </row>
    <row r="562" spans="14:15" x14ac:dyDescent="0.3">
      <c r="N562" s="22"/>
      <c r="O562" s="22"/>
    </row>
    <row r="563" spans="14:15" x14ac:dyDescent="0.3">
      <c r="N563" s="22"/>
      <c r="O563" s="22"/>
    </row>
    <row r="564" spans="14:15" x14ac:dyDescent="0.3">
      <c r="N564" s="22"/>
      <c r="O564" s="22"/>
    </row>
    <row r="565" spans="14:15" x14ac:dyDescent="0.3">
      <c r="N565" s="22"/>
      <c r="O565" s="22"/>
    </row>
    <row r="566" spans="14:15" x14ac:dyDescent="0.3">
      <c r="N566" s="22"/>
      <c r="O566" s="22"/>
    </row>
    <row r="567" spans="14:15" x14ac:dyDescent="0.3">
      <c r="N567" s="22"/>
      <c r="O567" s="22"/>
    </row>
    <row r="568" spans="14:15" x14ac:dyDescent="0.3">
      <c r="N568" s="22"/>
      <c r="O568" s="22"/>
    </row>
    <row r="569" spans="14:15" x14ac:dyDescent="0.3">
      <c r="N569" s="22"/>
      <c r="O569" s="22"/>
    </row>
    <row r="570" spans="14:15" x14ac:dyDescent="0.3">
      <c r="N570" s="22"/>
      <c r="O570" s="22"/>
    </row>
    <row r="571" spans="14:15" x14ac:dyDescent="0.3">
      <c r="N571" s="22"/>
      <c r="O571" s="22"/>
    </row>
    <row r="572" spans="14:15" x14ac:dyDescent="0.3">
      <c r="N572" s="22"/>
      <c r="O572" s="22"/>
    </row>
    <row r="573" spans="14:15" x14ac:dyDescent="0.3">
      <c r="N573" s="22"/>
      <c r="O573" s="22"/>
    </row>
    <row r="574" spans="14:15" x14ac:dyDescent="0.3">
      <c r="N574" s="22"/>
      <c r="O574" s="22"/>
    </row>
    <row r="575" spans="14:15" x14ac:dyDescent="0.3">
      <c r="N575" s="22"/>
      <c r="O575" s="22"/>
    </row>
    <row r="576" spans="14:15" x14ac:dyDescent="0.3">
      <c r="N576" s="22"/>
      <c r="O576" s="22"/>
    </row>
    <row r="577" spans="14:15" x14ac:dyDescent="0.3">
      <c r="N577" s="22"/>
      <c r="O577" s="22"/>
    </row>
    <row r="578" spans="14:15" x14ac:dyDescent="0.3">
      <c r="N578" s="22"/>
      <c r="O578" s="22"/>
    </row>
    <row r="579" spans="14:15" x14ac:dyDescent="0.3">
      <c r="N579" s="22"/>
      <c r="O579" s="22"/>
    </row>
    <row r="580" spans="14:15" x14ac:dyDescent="0.3">
      <c r="N580" s="22"/>
      <c r="O580" s="22"/>
    </row>
    <row r="581" spans="14:15" x14ac:dyDescent="0.3">
      <c r="N581" s="22"/>
      <c r="O581" s="22"/>
    </row>
    <row r="582" spans="14:15" x14ac:dyDescent="0.3">
      <c r="N582" s="22"/>
      <c r="O582" s="22"/>
    </row>
    <row r="583" spans="14:15" x14ac:dyDescent="0.3">
      <c r="N583" s="22"/>
      <c r="O583" s="22"/>
    </row>
    <row r="584" spans="14:15" x14ac:dyDescent="0.3">
      <c r="N584" s="22"/>
      <c r="O584" s="22"/>
    </row>
    <row r="585" spans="14:15" x14ac:dyDescent="0.3">
      <c r="N585" s="22"/>
      <c r="O585" s="22"/>
    </row>
    <row r="586" spans="14:15" x14ac:dyDescent="0.3">
      <c r="N586" s="22"/>
      <c r="O586" s="22"/>
    </row>
    <row r="587" spans="14:15" x14ac:dyDescent="0.3">
      <c r="N587" s="22"/>
      <c r="O587" s="22"/>
    </row>
    <row r="588" spans="14:15" x14ac:dyDescent="0.3">
      <c r="N588" s="22"/>
      <c r="O588" s="22"/>
    </row>
    <row r="589" spans="14:15" x14ac:dyDescent="0.3">
      <c r="N589" s="22"/>
      <c r="O589" s="22"/>
    </row>
    <row r="590" spans="14:15" x14ac:dyDescent="0.3">
      <c r="N590" s="22"/>
      <c r="O590" s="22"/>
    </row>
    <row r="591" spans="14:15" x14ac:dyDescent="0.3">
      <c r="N591" s="22"/>
      <c r="O591" s="22"/>
    </row>
    <row r="592" spans="14:15" x14ac:dyDescent="0.3">
      <c r="N592" s="22"/>
      <c r="O592" s="22"/>
    </row>
    <row r="593" spans="14:15" x14ac:dyDescent="0.3">
      <c r="N593" s="22"/>
      <c r="O593" s="22"/>
    </row>
    <row r="594" spans="14:15" x14ac:dyDescent="0.3">
      <c r="N594" s="22"/>
      <c r="O594" s="22"/>
    </row>
    <row r="595" spans="14:15" x14ac:dyDescent="0.3">
      <c r="N595" s="22"/>
      <c r="O595" s="22"/>
    </row>
    <row r="596" spans="14:15" x14ac:dyDescent="0.3">
      <c r="N596" s="22"/>
      <c r="O596" s="22"/>
    </row>
    <row r="597" spans="14:15" x14ac:dyDescent="0.3">
      <c r="N597" s="22"/>
      <c r="O597" s="22"/>
    </row>
    <row r="598" spans="14:15" x14ac:dyDescent="0.3">
      <c r="N598" s="22"/>
      <c r="O598" s="22"/>
    </row>
    <row r="599" spans="14:15" x14ac:dyDescent="0.3">
      <c r="N599" s="22"/>
      <c r="O599" s="22"/>
    </row>
    <row r="600" spans="14:15" x14ac:dyDescent="0.3">
      <c r="N600" s="22"/>
      <c r="O600" s="22"/>
    </row>
    <row r="601" spans="14:15" x14ac:dyDescent="0.3">
      <c r="N601" s="22"/>
      <c r="O601" s="22"/>
    </row>
    <row r="602" spans="14:15" x14ac:dyDescent="0.3">
      <c r="N602" s="22"/>
      <c r="O602" s="22"/>
    </row>
    <row r="603" spans="14:15" x14ac:dyDescent="0.3">
      <c r="N603" s="22"/>
      <c r="O603" s="22"/>
    </row>
    <row r="604" spans="14:15" x14ac:dyDescent="0.3">
      <c r="N604" s="22"/>
      <c r="O604" s="22"/>
    </row>
    <row r="605" spans="14:15" x14ac:dyDescent="0.3">
      <c r="N605" s="22"/>
      <c r="O605" s="22"/>
    </row>
    <row r="606" spans="14:15" x14ac:dyDescent="0.3">
      <c r="N606" s="22"/>
      <c r="O606" s="22"/>
    </row>
    <row r="607" spans="14:15" x14ac:dyDescent="0.3">
      <c r="N607" s="22"/>
      <c r="O607" s="22"/>
    </row>
    <row r="608" spans="14:15" x14ac:dyDescent="0.3">
      <c r="N608" s="22"/>
      <c r="O608" s="22"/>
    </row>
    <row r="609" spans="14:15" x14ac:dyDescent="0.3">
      <c r="N609" s="22"/>
      <c r="O609" s="22"/>
    </row>
    <row r="610" spans="14:15" x14ac:dyDescent="0.3">
      <c r="N610" s="22"/>
      <c r="O610" s="22"/>
    </row>
    <row r="611" spans="14:15" x14ac:dyDescent="0.3">
      <c r="N611" s="22"/>
      <c r="O611" s="22"/>
    </row>
    <row r="612" spans="14:15" x14ac:dyDescent="0.3">
      <c r="N612" s="22"/>
      <c r="O612" s="22"/>
    </row>
    <row r="613" spans="14:15" x14ac:dyDescent="0.3">
      <c r="N613" s="22"/>
      <c r="O613" s="22"/>
    </row>
    <row r="614" spans="14:15" x14ac:dyDescent="0.3">
      <c r="N614" s="22"/>
      <c r="O614" s="22"/>
    </row>
    <row r="615" spans="14:15" x14ac:dyDescent="0.3">
      <c r="N615" s="22"/>
      <c r="O615" s="22"/>
    </row>
    <row r="616" spans="14:15" x14ac:dyDescent="0.3">
      <c r="N616" s="22"/>
      <c r="O616" s="22"/>
    </row>
    <row r="617" spans="14:15" x14ac:dyDescent="0.3">
      <c r="N617" s="22"/>
      <c r="O617" s="22"/>
    </row>
    <row r="618" spans="14:15" x14ac:dyDescent="0.3">
      <c r="N618" s="22"/>
      <c r="O618" s="22"/>
    </row>
    <row r="619" spans="14:15" x14ac:dyDescent="0.3">
      <c r="N619" s="22"/>
      <c r="O619" s="22"/>
    </row>
    <row r="620" spans="14:15" x14ac:dyDescent="0.3">
      <c r="N620" s="22"/>
      <c r="O620" s="22"/>
    </row>
    <row r="621" spans="14:15" x14ac:dyDescent="0.3">
      <c r="N621" s="22"/>
      <c r="O621" s="22"/>
    </row>
    <row r="622" spans="14:15" x14ac:dyDescent="0.3">
      <c r="N622" s="22"/>
      <c r="O622" s="22"/>
    </row>
    <row r="623" spans="14:15" x14ac:dyDescent="0.3">
      <c r="N623" s="22"/>
      <c r="O623" s="22"/>
    </row>
    <row r="624" spans="14:15" x14ac:dyDescent="0.3">
      <c r="N624" s="22"/>
      <c r="O624" s="22"/>
    </row>
    <row r="625" spans="14:15" x14ac:dyDescent="0.3">
      <c r="N625" s="22"/>
      <c r="O625" s="22"/>
    </row>
    <row r="626" spans="14:15" x14ac:dyDescent="0.3">
      <c r="N626" s="22"/>
      <c r="O626" s="22"/>
    </row>
    <row r="627" spans="14:15" x14ac:dyDescent="0.3">
      <c r="N627" s="22"/>
      <c r="O627" s="22"/>
    </row>
    <row r="628" spans="14:15" x14ac:dyDescent="0.3">
      <c r="N628" s="22"/>
      <c r="O628" s="22"/>
    </row>
    <row r="629" spans="14:15" x14ac:dyDescent="0.3">
      <c r="N629" s="22"/>
      <c r="O629" s="22"/>
    </row>
    <row r="630" spans="14:15" x14ac:dyDescent="0.3">
      <c r="N630" s="22"/>
      <c r="O630" s="22"/>
    </row>
    <row r="631" spans="14:15" x14ac:dyDescent="0.3">
      <c r="N631" s="22"/>
      <c r="O631" s="22"/>
    </row>
    <row r="632" spans="14:15" x14ac:dyDescent="0.3">
      <c r="N632" s="22"/>
      <c r="O632" s="22"/>
    </row>
    <row r="633" spans="14:15" x14ac:dyDescent="0.3">
      <c r="N633" s="22"/>
      <c r="O633" s="22"/>
    </row>
    <row r="634" spans="14:15" x14ac:dyDescent="0.3">
      <c r="N634" s="22"/>
      <c r="O634" s="22"/>
    </row>
    <row r="635" spans="14:15" x14ac:dyDescent="0.3">
      <c r="N635" s="22"/>
      <c r="O635" s="22"/>
    </row>
    <row r="636" spans="14:15" x14ac:dyDescent="0.3">
      <c r="N636" s="22"/>
      <c r="O636" s="22"/>
    </row>
    <row r="637" spans="14:15" x14ac:dyDescent="0.3">
      <c r="N637" s="22"/>
      <c r="O637" s="22"/>
    </row>
    <row r="638" spans="14:15" x14ac:dyDescent="0.3">
      <c r="N638" s="22"/>
      <c r="O638" s="22"/>
    </row>
    <row r="639" spans="14:15" x14ac:dyDescent="0.3">
      <c r="N639" s="22"/>
      <c r="O639" s="22"/>
    </row>
    <row r="640" spans="14:15" x14ac:dyDescent="0.3">
      <c r="N640" s="22"/>
      <c r="O640" s="22"/>
    </row>
    <row r="641" spans="14:15" x14ac:dyDescent="0.3">
      <c r="N641" s="22"/>
      <c r="O641" s="22"/>
    </row>
    <row r="642" spans="14:15" x14ac:dyDescent="0.3">
      <c r="N642" s="22"/>
      <c r="O642" s="22"/>
    </row>
    <row r="643" spans="14:15" x14ac:dyDescent="0.3">
      <c r="N643" s="22"/>
      <c r="O643" s="22"/>
    </row>
    <row r="644" spans="14:15" x14ac:dyDescent="0.3">
      <c r="N644" s="22"/>
      <c r="O644" s="22"/>
    </row>
    <row r="645" spans="14:15" x14ac:dyDescent="0.3">
      <c r="N645" s="22"/>
      <c r="O645" s="22"/>
    </row>
    <row r="646" spans="14:15" x14ac:dyDescent="0.3">
      <c r="N646" s="22"/>
      <c r="O646" s="22"/>
    </row>
    <row r="647" spans="14:15" x14ac:dyDescent="0.3">
      <c r="N647" s="22"/>
      <c r="O647" s="22"/>
    </row>
    <row r="648" spans="14:15" x14ac:dyDescent="0.3">
      <c r="N648" s="22"/>
      <c r="O648" s="22"/>
    </row>
    <row r="649" spans="14:15" x14ac:dyDescent="0.3">
      <c r="N649" s="22"/>
      <c r="O649" s="22"/>
    </row>
    <row r="650" spans="14:15" x14ac:dyDescent="0.3">
      <c r="N650" s="22"/>
      <c r="O650" s="22"/>
    </row>
    <row r="651" spans="14:15" x14ac:dyDescent="0.3">
      <c r="N651" s="22"/>
      <c r="O651" s="22"/>
    </row>
    <row r="652" spans="14:15" x14ac:dyDescent="0.3">
      <c r="N652" s="22"/>
      <c r="O652" s="22"/>
    </row>
    <row r="653" spans="14:15" x14ac:dyDescent="0.3">
      <c r="N653" s="22"/>
      <c r="O653" s="22"/>
    </row>
    <row r="654" spans="14:15" x14ac:dyDescent="0.3">
      <c r="N654" s="22"/>
      <c r="O654" s="22"/>
    </row>
    <row r="655" spans="14:15" x14ac:dyDescent="0.3">
      <c r="N655" s="22"/>
      <c r="O655" s="22"/>
    </row>
    <row r="656" spans="14:15" x14ac:dyDescent="0.3">
      <c r="N656" s="22"/>
      <c r="O656" s="22"/>
    </row>
    <row r="657" spans="14:15" x14ac:dyDescent="0.3">
      <c r="N657" s="22"/>
      <c r="O657" s="22"/>
    </row>
    <row r="658" spans="14:15" x14ac:dyDescent="0.3">
      <c r="N658" s="22"/>
      <c r="O658" s="22"/>
    </row>
    <row r="659" spans="14:15" x14ac:dyDescent="0.3">
      <c r="N659" s="22"/>
      <c r="O659" s="22"/>
    </row>
    <row r="660" spans="14:15" x14ac:dyDescent="0.3">
      <c r="N660" s="22"/>
      <c r="O660" s="22"/>
    </row>
    <row r="661" spans="14:15" x14ac:dyDescent="0.3">
      <c r="N661" s="22"/>
      <c r="O661" s="22"/>
    </row>
    <row r="662" spans="14:15" x14ac:dyDescent="0.3">
      <c r="N662" s="22"/>
      <c r="O662" s="22"/>
    </row>
    <row r="663" spans="14:15" x14ac:dyDescent="0.3">
      <c r="N663" s="22"/>
      <c r="O663" s="22"/>
    </row>
    <row r="664" spans="14:15" x14ac:dyDescent="0.3">
      <c r="N664" s="22"/>
      <c r="O664" s="22"/>
    </row>
    <row r="665" spans="14:15" x14ac:dyDescent="0.3">
      <c r="N665" s="22"/>
      <c r="O665" s="22"/>
    </row>
    <row r="666" spans="14:15" x14ac:dyDescent="0.3">
      <c r="N666" s="22"/>
      <c r="O666" s="22"/>
    </row>
    <row r="667" spans="14:15" x14ac:dyDescent="0.3">
      <c r="N667" s="22"/>
      <c r="O667" s="22"/>
    </row>
    <row r="668" spans="14:15" x14ac:dyDescent="0.3">
      <c r="N668" s="22"/>
      <c r="O668" s="22"/>
    </row>
    <row r="669" spans="14:15" x14ac:dyDescent="0.3">
      <c r="N669" s="22"/>
      <c r="O669" s="22"/>
    </row>
    <row r="670" spans="14:15" x14ac:dyDescent="0.3">
      <c r="N670" s="22"/>
      <c r="O670" s="22"/>
    </row>
    <row r="671" spans="14:15" x14ac:dyDescent="0.3">
      <c r="N671" s="22"/>
      <c r="O671" s="22"/>
    </row>
    <row r="672" spans="14:15" x14ac:dyDescent="0.3">
      <c r="N672" s="22"/>
      <c r="O672" s="22"/>
    </row>
    <row r="673" spans="14:15" x14ac:dyDescent="0.3">
      <c r="N673" s="22"/>
      <c r="O673" s="22"/>
    </row>
    <row r="674" spans="14:15" x14ac:dyDescent="0.3">
      <c r="N674" s="22"/>
      <c r="O674" s="22"/>
    </row>
    <row r="675" spans="14:15" x14ac:dyDescent="0.3">
      <c r="N675" s="22"/>
      <c r="O675" s="22"/>
    </row>
    <row r="676" spans="14:15" x14ac:dyDescent="0.3">
      <c r="N676" s="22"/>
      <c r="O676" s="22"/>
    </row>
    <row r="677" spans="14:15" x14ac:dyDescent="0.3">
      <c r="N677" s="22"/>
      <c r="O677" s="22"/>
    </row>
    <row r="678" spans="14:15" x14ac:dyDescent="0.3">
      <c r="N678" s="22"/>
      <c r="O678" s="22"/>
    </row>
    <row r="679" spans="14:15" x14ac:dyDescent="0.3">
      <c r="N679" s="22"/>
      <c r="O679" s="22"/>
    </row>
    <row r="680" spans="14:15" x14ac:dyDescent="0.3">
      <c r="N680" s="22"/>
      <c r="O680" s="22"/>
    </row>
    <row r="681" spans="14:15" x14ac:dyDescent="0.3">
      <c r="N681" s="22"/>
      <c r="O681" s="22"/>
    </row>
    <row r="682" spans="14:15" x14ac:dyDescent="0.3">
      <c r="N682" s="22"/>
      <c r="O682" s="22"/>
    </row>
    <row r="683" spans="14:15" x14ac:dyDescent="0.3">
      <c r="N683" s="22"/>
      <c r="O683" s="22"/>
    </row>
    <row r="684" spans="14:15" x14ac:dyDescent="0.3">
      <c r="N684" s="22"/>
      <c r="O684" s="22"/>
    </row>
    <row r="685" spans="14:15" x14ac:dyDescent="0.3">
      <c r="N685" s="22"/>
      <c r="O685" s="22"/>
    </row>
    <row r="686" spans="14:15" x14ac:dyDescent="0.3">
      <c r="N686" s="22"/>
      <c r="O686" s="22"/>
    </row>
    <row r="687" spans="14:15" x14ac:dyDescent="0.3">
      <c r="N687" s="22"/>
      <c r="O687" s="22"/>
    </row>
    <row r="688" spans="14:15" x14ac:dyDescent="0.3">
      <c r="N688" s="22"/>
      <c r="O688" s="22"/>
    </row>
    <row r="689" spans="14:15" x14ac:dyDescent="0.3">
      <c r="N689" s="22"/>
      <c r="O689" s="22"/>
    </row>
    <row r="690" spans="14:15" x14ac:dyDescent="0.3">
      <c r="N690" s="22"/>
      <c r="O690" s="22"/>
    </row>
    <row r="691" spans="14:15" x14ac:dyDescent="0.3">
      <c r="N691" s="22"/>
      <c r="O691" s="22"/>
    </row>
    <row r="692" spans="14:15" x14ac:dyDescent="0.3">
      <c r="N692" s="22"/>
      <c r="O692" s="22"/>
    </row>
    <row r="693" spans="14:15" x14ac:dyDescent="0.3">
      <c r="N693" s="22"/>
      <c r="O693" s="22"/>
    </row>
    <row r="694" spans="14:15" x14ac:dyDescent="0.3">
      <c r="N694" s="22"/>
      <c r="O694" s="22"/>
    </row>
    <row r="695" spans="14:15" x14ac:dyDescent="0.3">
      <c r="N695" s="22"/>
      <c r="O695" s="22"/>
    </row>
    <row r="696" spans="14:15" x14ac:dyDescent="0.3">
      <c r="N696" s="22"/>
      <c r="O696" s="22"/>
    </row>
    <row r="697" spans="14:15" x14ac:dyDescent="0.3">
      <c r="N697" s="22"/>
      <c r="O697" s="22"/>
    </row>
    <row r="698" spans="14:15" x14ac:dyDescent="0.3">
      <c r="N698" s="22"/>
      <c r="O698" s="22"/>
    </row>
    <row r="699" spans="14:15" x14ac:dyDescent="0.3">
      <c r="N699" s="22"/>
      <c r="O699" s="22"/>
    </row>
    <row r="700" spans="14:15" x14ac:dyDescent="0.3">
      <c r="N700" s="22"/>
      <c r="O700" s="22"/>
    </row>
    <row r="701" spans="14:15" x14ac:dyDescent="0.3">
      <c r="N701" s="22"/>
      <c r="O701" s="22"/>
    </row>
    <row r="702" spans="14:15" x14ac:dyDescent="0.3">
      <c r="N702" s="22"/>
      <c r="O702" s="22"/>
    </row>
    <row r="703" spans="14:15" x14ac:dyDescent="0.3">
      <c r="N703" s="22"/>
      <c r="O703" s="22"/>
    </row>
    <row r="704" spans="14:15" x14ac:dyDescent="0.3">
      <c r="N704" s="22"/>
      <c r="O704" s="22"/>
    </row>
    <row r="705" spans="14:15" x14ac:dyDescent="0.3">
      <c r="N705" s="22"/>
      <c r="O705" s="22"/>
    </row>
    <row r="706" spans="14:15" x14ac:dyDescent="0.3">
      <c r="N706" s="22"/>
      <c r="O706" s="22"/>
    </row>
    <row r="707" spans="14:15" x14ac:dyDescent="0.3">
      <c r="N707" s="22"/>
      <c r="O707" s="22"/>
    </row>
    <row r="708" spans="14:15" x14ac:dyDescent="0.3">
      <c r="N708" s="22"/>
      <c r="O708" s="22"/>
    </row>
    <row r="709" spans="14:15" x14ac:dyDescent="0.3">
      <c r="N709" s="22"/>
      <c r="O709" s="22"/>
    </row>
    <row r="710" spans="14:15" x14ac:dyDescent="0.3">
      <c r="N710" s="22"/>
      <c r="O710" s="22"/>
    </row>
    <row r="711" spans="14:15" x14ac:dyDescent="0.3">
      <c r="N711" s="22"/>
      <c r="O711" s="22"/>
    </row>
    <row r="712" spans="14:15" x14ac:dyDescent="0.3">
      <c r="N712" s="22"/>
      <c r="O712" s="22"/>
    </row>
    <row r="713" spans="14:15" x14ac:dyDescent="0.3">
      <c r="N713" s="22"/>
      <c r="O713" s="22"/>
    </row>
    <row r="714" spans="14:15" x14ac:dyDescent="0.3">
      <c r="N714" s="22"/>
      <c r="O714" s="22"/>
    </row>
    <row r="715" spans="14:15" x14ac:dyDescent="0.3">
      <c r="N715" s="22"/>
      <c r="O715" s="22"/>
    </row>
    <row r="716" spans="14:15" x14ac:dyDescent="0.3">
      <c r="N716" s="22"/>
      <c r="O716" s="22"/>
    </row>
    <row r="717" spans="14:15" x14ac:dyDescent="0.3">
      <c r="N717" s="22"/>
      <c r="O717" s="22"/>
    </row>
    <row r="718" spans="14:15" x14ac:dyDescent="0.3">
      <c r="N718" s="22"/>
      <c r="O718" s="22"/>
    </row>
    <row r="719" spans="14:15" x14ac:dyDescent="0.3">
      <c r="N719" s="22"/>
      <c r="O719" s="22"/>
    </row>
    <row r="720" spans="14:15" x14ac:dyDescent="0.3">
      <c r="N720" s="22"/>
      <c r="O720" s="22"/>
    </row>
    <row r="721" spans="14:15" x14ac:dyDescent="0.3">
      <c r="N721" s="22"/>
      <c r="O721" s="22"/>
    </row>
    <row r="722" spans="14:15" x14ac:dyDescent="0.3">
      <c r="N722" s="22"/>
      <c r="O722" s="22"/>
    </row>
    <row r="723" spans="14:15" x14ac:dyDescent="0.3">
      <c r="N723" s="22"/>
      <c r="O723" s="22"/>
    </row>
    <row r="724" spans="14:15" x14ac:dyDescent="0.3">
      <c r="N724" s="22"/>
      <c r="O724" s="22"/>
    </row>
    <row r="725" spans="14:15" x14ac:dyDescent="0.3">
      <c r="N725" s="22"/>
      <c r="O725" s="22"/>
    </row>
    <row r="726" spans="14:15" x14ac:dyDescent="0.3">
      <c r="N726" s="22"/>
      <c r="O726" s="22"/>
    </row>
    <row r="727" spans="14:15" x14ac:dyDescent="0.3">
      <c r="N727" s="22"/>
      <c r="O727" s="22"/>
    </row>
    <row r="728" spans="14:15" x14ac:dyDescent="0.3">
      <c r="N728" s="22"/>
      <c r="O728" s="22"/>
    </row>
    <row r="729" spans="14:15" x14ac:dyDescent="0.3">
      <c r="N729" s="22"/>
      <c r="O729" s="22"/>
    </row>
    <row r="730" spans="14:15" x14ac:dyDescent="0.3">
      <c r="N730" s="22"/>
      <c r="O730" s="22"/>
    </row>
    <row r="731" spans="14:15" x14ac:dyDescent="0.3">
      <c r="N731" s="22"/>
      <c r="O731" s="22"/>
    </row>
    <row r="732" spans="14:15" x14ac:dyDescent="0.3">
      <c r="N732" s="22"/>
      <c r="O732" s="22"/>
    </row>
    <row r="733" spans="14:15" x14ac:dyDescent="0.3">
      <c r="N733" s="22"/>
      <c r="O733" s="22"/>
    </row>
    <row r="734" spans="14:15" x14ac:dyDescent="0.3">
      <c r="N734" s="22"/>
      <c r="O734" s="22"/>
    </row>
    <row r="735" spans="14:15" x14ac:dyDescent="0.3">
      <c r="N735" s="22"/>
      <c r="O735" s="22"/>
    </row>
    <row r="736" spans="14:15" x14ac:dyDescent="0.3">
      <c r="N736" s="22"/>
      <c r="O736" s="22"/>
    </row>
    <row r="737" spans="14:15" x14ac:dyDescent="0.3">
      <c r="N737" s="22"/>
      <c r="O737" s="22"/>
    </row>
    <row r="738" spans="14:15" x14ac:dyDescent="0.3">
      <c r="N738" s="22"/>
      <c r="O738" s="22"/>
    </row>
    <row r="739" spans="14:15" x14ac:dyDescent="0.3">
      <c r="N739" s="22"/>
      <c r="O739" s="22"/>
    </row>
    <row r="740" spans="14:15" x14ac:dyDescent="0.3">
      <c r="N740" s="22"/>
      <c r="O740" s="22"/>
    </row>
    <row r="741" spans="14:15" x14ac:dyDescent="0.3">
      <c r="N741" s="22"/>
      <c r="O741" s="22"/>
    </row>
    <row r="742" spans="14:15" x14ac:dyDescent="0.3">
      <c r="N742" s="22"/>
      <c r="O742" s="22"/>
    </row>
    <row r="743" spans="14:15" x14ac:dyDescent="0.3">
      <c r="N743" s="22"/>
      <c r="O743" s="22"/>
    </row>
    <row r="744" spans="14:15" x14ac:dyDescent="0.3">
      <c r="N744" s="22"/>
      <c r="O744" s="22"/>
    </row>
    <row r="745" spans="14:15" x14ac:dyDescent="0.3">
      <c r="N745" s="22"/>
      <c r="O745" s="22"/>
    </row>
    <row r="746" spans="14:15" x14ac:dyDescent="0.3">
      <c r="N746" s="22"/>
      <c r="O746" s="22"/>
    </row>
    <row r="747" spans="14:15" x14ac:dyDescent="0.3">
      <c r="N747" s="22"/>
      <c r="O747" s="22"/>
    </row>
    <row r="748" spans="14:15" x14ac:dyDescent="0.3">
      <c r="N748" s="22"/>
      <c r="O748" s="22"/>
    </row>
    <row r="749" spans="14:15" x14ac:dyDescent="0.3">
      <c r="N749" s="22"/>
      <c r="O749" s="22"/>
    </row>
    <row r="750" spans="14:15" x14ac:dyDescent="0.3">
      <c r="N750" s="22"/>
      <c r="O750" s="22"/>
    </row>
    <row r="751" spans="14:15" x14ac:dyDescent="0.3">
      <c r="N751" s="22"/>
      <c r="O751" s="22"/>
    </row>
    <row r="752" spans="14:15" x14ac:dyDescent="0.3">
      <c r="N752" s="22"/>
      <c r="O752" s="22"/>
    </row>
    <row r="753" spans="14:15" x14ac:dyDescent="0.3">
      <c r="N753" s="22"/>
      <c r="O753" s="22"/>
    </row>
    <row r="754" spans="14:15" x14ac:dyDescent="0.3">
      <c r="N754" s="22"/>
      <c r="O754" s="22"/>
    </row>
    <row r="755" spans="14:15" x14ac:dyDescent="0.3">
      <c r="N755" s="22"/>
      <c r="O755" s="22"/>
    </row>
    <row r="756" spans="14:15" x14ac:dyDescent="0.3">
      <c r="N756" s="22"/>
      <c r="O756" s="22"/>
    </row>
    <row r="757" spans="14:15" x14ac:dyDescent="0.3">
      <c r="N757" s="22"/>
      <c r="O757" s="22"/>
    </row>
    <row r="758" spans="14:15" x14ac:dyDescent="0.3">
      <c r="N758" s="22"/>
      <c r="O758" s="22"/>
    </row>
    <row r="759" spans="14:15" x14ac:dyDescent="0.3">
      <c r="N759" s="22"/>
      <c r="O759" s="22"/>
    </row>
    <row r="760" spans="14:15" x14ac:dyDescent="0.3">
      <c r="N760" s="22"/>
      <c r="O760" s="22"/>
    </row>
    <row r="761" spans="14:15" x14ac:dyDescent="0.3">
      <c r="N761" s="22"/>
      <c r="O761" s="22"/>
    </row>
    <row r="762" spans="14:15" x14ac:dyDescent="0.3">
      <c r="N762" s="22"/>
      <c r="O762" s="22"/>
    </row>
    <row r="763" spans="14:15" x14ac:dyDescent="0.3">
      <c r="N763" s="22"/>
      <c r="O763" s="22"/>
    </row>
    <row r="764" spans="14:15" x14ac:dyDescent="0.3">
      <c r="N764" s="22"/>
      <c r="O764" s="22"/>
    </row>
    <row r="765" spans="14:15" x14ac:dyDescent="0.3">
      <c r="N765" s="22"/>
      <c r="O765" s="22"/>
    </row>
    <row r="766" spans="14:15" x14ac:dyDescent="0.3">
      <c r="N766" s="22"/>
      <c r="O766" s="22"/>
    </row>
    <row r="767" spans="14:15" x14ac:dyDescent="0.3">
      <c r="N767" s="22"/>
      <c r="O767" s="22"/>
    </row>
    <row r="768" spans="14:15" x14ac:dyDescent="0.3">
      <c r="N768" s="22"/>
      <c r="O768" s="22"/>
    </row>
    <row r="769" spans="14:15" x14ac:dyDescent="0.3">
      <c r="N769" s="22"/>
      <c r="O769" s="22"/>
    </row>
    <row r="770" spans="14:15" x14ac:dyDescent="0.3">
      <c r="N770" s="22"/>
      <c r="O770" s="22"/>
    </row>
    <row r="771" spans="14:15" x14ac:dyDescent="0.3">
      <c r="N771" s="22"/>
      <c r="O771" s="22"/>
    </row>
    <row r="772" spans="14:15" x14ac:dyDescent="0.3">
      <c r="N772" s="22"/>
      <c r="O772" s="22"/>
    </row>
    <row r="773" spans="14:15" x14ac:dyDescent="0.3">
      <c r="N773" s="22"/>
      <c r="O773" s="22"/>
    </row>
    <row r="774" spans="14:15" x14ac:dyDescent="0.3">
      <c r="N774" s="22"/>
      <c r="O774" s="22"/>
    </row>
    <row r="775" spans="14:15" x14ac:dyDescent="0.3">
      <c r="N775" s="22"/>
      <c r="O775" s="22"/>
    </row>
    <row r="776" spans="14:15" x14ac:dyDescent="0.3">
      <c r="N776" s="22"/>
      <c r="O776" s="22"/>
    </row>
    <row r="777" spans="14:15" x14ac:dyDescent="0.3">
      <c r="N777" s="22"/>
      <c r="O777" s="22"/>
    </row>
    <row r="778" spans="14:15" x14ac:dyDescent="0.3">
      <c r="N778" s="22"/>
      <c r="O778" s="22"/>
    </row>
    <row r="779" spans="14:15" x14ac:dyDescent="0.3">
      <c r="N779" s="22"/>
      <c r="O779" s="22"/>
    </row>
    <row r="780" spans="14:15" x14ac:dyDescent="0.3">
      <c r="N780" s="22"/>
      <c r="O780" s="22"/>
    </row>
    <row r="781" spans="14:15" x14ac:dyDescent="0.3">
      <c r="N781" s="22"/>
      <c r="O781" s="22"/>
    </row>
    <row r="782" spans="14:15" x14ac:dyDescent="0.3">
      <c r="N782" s="22"/>
      <c r="O782" s="22"/>
    </row>
    <row r="783" spans="14:15" x14ac:dyDescent="0.3">
      <c r="N783" s="22"/>
      <c r="O783" s="22"/>
    </row>
    <row r="784" spans="14:15" x14ac:dyDescent="0.3">
      <c r="N784" s="22"/>
      <c r="O784" s="22"/>
    </row>
    <row r="785" spans="14:15" x14ac:dyDescent="0.3">
      <c r="N785" s="22"/>
      <c r="O785" s="22"/>
    </row>
    <row r="786" spans="14:15" x14ac:dyDescent="0.3">
      <c r="N786" s="22"/>
      <c r="O786" s="22"/>
    </row>
    <row r="787" spans="14:15" x14ac:dyDescent="0.3">
      <c r="N787" s="22"/>
      <c r="O787" s="22"/>
    </row>
    <row r="788" spans="14:15" x14ac:dyDescent="0.3">
      <c r="N788" s="22"/>
      <c r="O788" s="22"/>
    </row>
    <row r="789" spans="14:15" x14ac:dyDescent="0.3">
      <c r="N789" s="22"/>
      <c r="O789" s="22"/>
    </row>
    <row r="790" spans="14:15" x14ac:dyDescent="0.3">
      <c r="N790" s="22"/>
      <c r="O790" s="22"/>
    </row>
    <row r="791" spans="14:15" x14ac:dyDescent="0.3">
      <c r="N791" s="22"/>
      <c r="O791" s="22"/>
    </row>
    <row r="792" spans="14:15" x14ac:dyDescent="0.3">
      <c r="N792" s="22"/>
      <c r="O792" s="22"/>
    </row>
    <row r="793" spans="14:15" x14ac:dyDescent="0.3">
      <c r="N793" s="22"/>
      <c r="O793" s="22"/>
    </row>
    <row r="794" spans="14:15" x14ac:dyDescent="0.3">
      <c r="N794" s="22"/>
      <c r="O794" s="22"/>
    </row>
    <row r="795" spans="14:15" x14ac:dyDescent="0.3">
      <c r="N795" s="22"/>
      <c r="O795" s="22"/>
    </row>
    <row r="796" spans="14:15" x14ac:dyDescent="0.3">
      <c r="N796" s="22"/>
      <c r="O796" s="22"/>
    </row>
    <row r="797" spans="14:15" x14ac:dyDescent="0.3">
      <c r="N797" s="22"/>
      <c r="O797" s="22"/>
    </row>
    <row r="798" spans="14:15" x14ac:dyDescent="0.3">
      <c r="N798" s="22"/>
      <c r="O798" s="22"/>
    </row>
    <row r="799" spans="14:15" x14ac:dyDescent="0.3">
      <c r="N799" s="22"/>
      <c r="O799" s="22"/>
    </row>
    <row r="800" spans="14:15" x14ac:dyDescent="0.3">
      <c r="N800" s="22"/>
      <c r="O800" s="22"/>
    </row>
    <row r="801" spans="14:15" x14ac:dyDescent="0.3">
      <c r="N801" s="22"/>
      <c r="O801" s="22"/>
    </row>
    <row r="802" spans="14:15" x14ac:dyDescent="0.3">
      <c r="N802" s="22"/>
      <c r="O802" s="22"/>
    </row>
    <row r="803" spans="14:15" x14ac:dyDescent="0.3">
      <c r="N803" s="22"/>
      <c r="O803" s="22"/>
    </row>
    <row r="804" spans="14:15" x14ac:dyDescent="0.3">
      <c r="N804" s="22"/>
      <c r="O804" s="22"/>
    </row>
    <row r="805" spans="14:15" x14ac:dyDescent="0.3">
      <c r="N805" s="22"/>
      <c r="O805" s="22"/>
    </row>
    <row r="806" spans="14:15" x14ac:dyDescent="0.3">
      <c r="N806" s="22"/>
      <c r="O806" s="22"/>
    </row>
    <row r="807" spans="14:15" x14ac:dyDescent="0.3">
      <c r="N807" s="22"/>
      <c r="O807" s="22"/>
    </row>
    <row r="808" spans="14:15" x14ac:dyDescent="0.3">
      <c r="N808" s="22"/>
      <c r="O808" s="22"/>
    </row>
    <row r="809" spans="14:15" x14ac:dyDescent="0.3">
      <c r="N809" s="22"/>
      <c r="O809" s="22"/>
    </row>
    <row r="810" spans="14:15" x14ac:dyDescent="0.3">
      <c r="N810" s="22"/>
      <c r="O810" s="22"/>
    </row>
    <row r="811" spans="14:15" x14ac:dyDescent="0.3">
      <c r="N811" s="22"/>
      <c r="O811" s="22"/>
    </row>
    <row r="812" spans="14:15" x14ac:dyDescent="0.3">
      <c r="N812" s="22"/>
      <c r="O812" s="22"/>
    </row>
    <row r="813" spans="14:15" x14ac:dyDescent="0.3">
      <c r="N813" s="22"/>
      <c r="O813" s="22"/>
    </row>
    <row r="814" spans="14:15" x14ac:dyDescent="0.3">
      <c r="N814" s="22"/>
      <c r="O814" s="22"/>
    </row>
    <row r="815" spans="14:15" x14ac:dyDescent="0.3">
      <c r="N815" s="22"/>
      <c r="O815" s="22"/>
    </row>
    <row r="816" spans="14:15" x14ac:dyDescent="0.3">
      <c r="N816" s="22"/>
      <c r="O816" s="22"/>
    </row>
    <row r="817" spans="14:15" x14ac:dyDescent="0.3">
      <c r="N817" s="22"/>
      <c r="O817" s="22"/>
    </row>
    <row r="818" spans="14:15" x14ac:dyDescent="0.3">
      <c r="N818" s="22"/>
      <c r="O818" s="22"/>
    </row>
    <row r="819" spans="14:15" x14ac:dyDescent="0.3">
      <c r="N819" s="22"/>
      <c r="O819" s="22"/>
    </row>
    <row r="820" spans="14:15" x14ac:dyDescent="0.3">
      <c r="N820" s="22"/>
      <c r="O820" s="22"/>
    </row>
    <row r="821" spans="14:15" x14ac:dyDescent="0.3">
      <c r="N821" s="22"/>
      <c r="O821" s="22"/>
    </row>
    <row r="822" spans="14:15" x14ac:dyDescent="0.3">
      <c r="N822" s="22"/>
      <c r="O822" s="22"/>
    </row>
    <row r="823" spans="14:15" x14ac:dyDescent="0.3">
      <c r="N823" s="22"/>
      <c r="O823" s="22"/>
    </row>
    <row r="824" spans="14:15" x14ac:dyDescent="0.3">
      <c r="N824" s="22"/>
      <c r="O824" s="22"/>
    </row>
    <row r="825" spans="14:15" x14ac:dyDescent="0.3">
      <c r="N825" s="22"/>
      <c r="O825" s="22"/>
    </row>
    <row r="826" spans="14:15" x14ac:dyDescent="0.3">
      <c r="N826" s="22"/>
      <c r="O826" s="22"/>
    </row>
    <row r="827" spans="14:15" x14ac:dyDescent="0.3">
      <c r="N827" s="22"/>
      <c r="O827" s="22"/>
    </row>
    <row r="828" spans="14:15" x14ac:dyDescent="0.3">
      <c r="N828" s="22"/>
      <c r="O828" s="22"/>
    </row>
    <row r="829" spans="14:15" x14ac:dyDescent="0.3">
      <c r="N829" s="22"/>
      <c r="O829" s="22"/>
    </row>
    <row r="830" spans="14:15" x14ac:dyDescent="0.3">
      <c r="N830" s="22"/>
      <c r="O830" s="22"/>
    </row>
    <row r="831" spans="14:15" x14ac:dyDescent="0.3">
      <c r="N831" s="22"/>
      <c r="O831" s="22"/>
    </row>
    <row r="832" spans="14:15" x14ac:dyDescent="0.3">
      <c r="N832" s="22"/>
      <c r="O832" s="22"/>
    </row>
    <row r="833" spans="14:15" x14ac:dyDescent="0.3">
      <c r="N833" s="22"/>
      <c r="O833" s="22"/>
    </row>
    <row r="834" spans="14:15" x14ac:dyDescent="0.3">
      <c r="N834" s="22"/>
      <c r="O834" s="22"/>
    </row>
    <row r="835" spans="14:15" x14ac:dyDescent="0.3">
      <c r="N835" s="22"/>
      <c r="O835" s="22"/>
    </row>
    <row r="836" spans="14:15" x14ac:dyDescent="0.3">
      <c r="N836" s="22"/>
      <c r="O836" s="22"/>
    </row>
    <row r="837" spans="14:15" x14ac:dyDescent="0.3">
      <c r="N837" s="22"/>
      <c r="O837" s="22"/>
    </row>
    <row r="838" spans="14:15" x14ac:dyDescent="0.3">
      <c r="N838" s="22"/>
      <c r="O838" s="22"/>
    </row>
    <row r="839" spans="14:15" x14ac:dyDescent="0.3">
      <c r="N839" s="22"/>
      <c r="O839" s="22"/>
    </row>
    <row r="840" spans="14:15" x14ac:dyDescent="0.3">
      <c r="N840" s="22"/>
      <c r="O840" s="22"/>
    </row>
    <row r="841" spans="14:15" x14ac:dyDescent="0.3">
      <c r="N841" s="22"/>
      <c r="O841" s="22"/>
    </row>
    <row r="842" spans="14:15" x14ac:dyDescent="0.3">
      <c r="N842" s="22"/>
      <c r="O842" s="22"/>
    </row>
    <row r="843" spans="14:15" x14ac:dyDescent="0.3">
      <c r="N843" s="22"/>
      <c r="O843" s="22"/>
    </row>
    <row r="844" spans="14:15" x14ac:dyDescent="0.3">
      <c r="N844" s="22"/>
      <c r="O844" s="22"/>
    </row>
    <row r="845" spans="14:15" x14ac:dyDescent="0.3">
      <c r="N845" s="22"/>
      <c r="O845" s="22"/>
    </row>
    <row r="846" spans="14:15" x14ac:dyDescent="0.3">
      <c r="N846" s="22"/>
      <c r="O846" s="22"/>
    </row>
    <row r="847" spans="14:15" x14ac:dyDescent="0.3">
      <c r="N847" s="22"/>
      <c r="O847" s="22"/>
    </row>
    <row r="848" spans="14:15" x14ac:dyDescent="0.3">
      <c r="N848" s="22"/>
      <c r="O848" s="22"/>
    </row>
    <row r="849" spans="14:15" x14ac:dyDescent="0.3">
      <c r="N849" s="22"/>
      <c r="O849" s="22"/>
    </row>
    <row r="850" spans="14:15" x14ac:dyDescent="0.3">
      <c r="N850" s="22"/>
      <c r="O850" s="22"/>
    </row>
    <row r="851" spans="14:15" x14ac:dyDescent="0.3">
      <c r="N851" s="22"/>
      <c r="O851" s="22"/>
    </row>
    <row r="852" spans="14:15" x14ac:dyDescent="0.3">
      <c r="N852" s="22"/>
      <c r="O852" s="22"/>
    </row>
    <row r="853" spans="14:15" x14ac:dyDescent="0.3">
      <c r="N853" s="22"/>
      <c r="O853" s="22"/>
    </row>
    <row r="854" spans="14:15" x14ac:dyDescent="0.3">
      <c r="N854" s="22"/>
      <c r="O854" s="22"/>
    </row>
    <row r="855" spans="14:15" x14ac:dyDescent="0.3">
      <c r="N855" s="22"/>
      <c r="O855" s="22"/>
    </row>
    <row r="856" spans="14:15" x14ac:dyDescent="0.3">
      <c r="N856" s="22"/>
      <c r="O856" s="22"/>
    </row>
    <row r="857" spans="14:15" x14ac:dyDescent="0.3">
      <c r="N857" s="22"/>
      <c r="O857" s="22"/>
    </row>
    <row r="858" spans="14:15" x14ac:dyDescent="0.3">
      <c r="N858" s="22"/>
      <c r="O858" s="22"/>
    </row>
    <row r="859" spans="14:15" x14ac:dyDescent="0.3">
      <c r="N859" s="22"/>
      <c r="O859" s="22"/>
    </row>
    <row r="860" spans="14:15" x14ac:dyDescent="0.3">
      <c r="N860" s="22"/>
      <c r="O860" s="22"/>
    </row>
    <row r="861" spans="14:15" x14ac:dyDescent="0.3">
      <c r="N861" s="22"/>
      <c r="O861" s="22"/>
    </row>
    <row r="862" spans="14:15" x14ac:dyDescent="0.3">
      <c r="N862" s="22"/>
      <c r="O862" s="22"/>
    </row>
    <row r="863" spans="14:15" x14ac:dyDescent="0.3">
      <c r="N863" s="22"/>
      <c r="O863" s="22"/>
    </row>
    <row r="864" spans="14:15" x14ac:dyDescent="0.3">
      <c r="N864" s="22"/>
      <c r="O864" s="22"/>
    </row>
    <row r="865" spans="14:15" x14ac:dyDescent="0.3">
      <c r="N865" s="22"/>
      <c r="O865" s="22"/>
    </row>
    <row r="866" spans="14:15" x14ac:dyDescent="0.3">
      <c r="N866" s="22"/>
      <c r="O866" s="22"/>
    </row>
    <row r="867" spans="14:15" x14ac:dyDescent="0.3">
      <c r="N867" s="22"/>
      <c r="O867" s="22"/>
    </row>
    <row r="868" spans="14:15" x14ac:dyDescent="0.3">
      <c r="N868" s="22"/>
      <c r="O868" s="22"/>
    </row>
    <row r="869" spans="14:15" x14ac:dyDescent="0.3">
      <c r="N869" s="22"/>
      <c r="O869" s="22"/>
    </row>
    <row r="870" spans="14:15" x14ac:dyDescent="0.3">
      <c r="N870" s="22"/>
      <c r="O870" s="22"/>
    </row>
    <row r="871" spans="14:15" x14ac:dyDescent="0.3">
      <c r="N871" s="22"/>
      <c r="O871" s="22"/>
    </row>
    <row r="872" spans="14:15" x14ac:dyDescent="0.3">
      <c r="N872" s="22"/>
      <c r="O872" s="22"/>
    </row>
    <row r="873" spans="14:15" x14ac:dyDescent="0.3">
      <c r="N873" s="22"/>
      <c r="O873" s="22"/>
    </row>
    <row r="874" spans="14:15" x14ac:dyDescent="0.3">
      <c r="N874" s="22"/>
      <c r="O874" s="22"/>
    </row>
    <row r="875" spans="14:15" x14ac:dyDescent="0.3">
      <c r="N875" s="22"/>
      <c r="O875" s="22"/>
    </row>
    <row r="876" spans="14:15" x14ac:dyDescent="0.3">
      <c r="N876" s="22"/>
      <c r="O876" s="22"/>
    </row>
    <row r="877" spans="14:15" x14ac:dyDescent="0.3">
      <c r="N877" s="22"/>
      <c r="O877" s="22"/>
    </row>
    <row r="878" spans="14:15" x14ac:dyDescent="0.3">
      <c r="N878" s="22"/>
      <c r="O878" s="22"/>
    </row>
    <row r="879" spans="14:15" x14ac:dyDescent="0.3">
      <c r="N879" s="22"/>
      <c r="O879" s="22"/>
    </row>
    <row r="880" spans="14:15" x14ac:dyDescent="0.3">
      <c r="N880" s="22"/>
      <c r="O880" s="22"/>
    </row>
    <row r="881" spans="14:15" x14ac:dyDescent="0.3">
      <c r="N881" s="22"/>
      <c r="O881" s="22"/>
    </row>
    <row r="882" spans="14:15" x14ac:dyDescent="0.3">
      <c r="N882" s="22"/>
      <c r="O882" s="22"/>
    </row>
    <row r="883" spans="14:15" x14ac:dyDescent="0.3">
      <c r="N883" s="22"/>
      <c r="O883" s="22"/>
    </row>
    <row r="884" spans="14:15" x14ac:dyDescent="0.3">
      <c r="N884" s="22"/>
      <c r="O884" s="22"/>
    </row>
    <row r="885" spans="14:15" x14ac:dyDescent="0.3">
      <c r="N885" s="22"/>
      <c r="O885" s="22"/>
    </row>
    <row r="886" spans="14:15" x14ac:dyDescent="0.3">
      <c r="N886" s="22"/>
      <c r="O886" s="22"/>
    </row>
    <row r="887" spans="14:15" x14ac:dyDescent="0.3">
      <c r="N887" s="22"/>
      <c r="O887" s="22"/>
    </row>
    <row r="888" spans="14:15" x14ac:dyDescent="0.3">
      <c r="N888" s="22"/>
      <c r="O888" s="22"/>
    </row>
    <row r="889" spans="14:15" x14ac:dyDescent="0.3">
      <c r="N889" s="22"/>
      <c r="O889" s="22"/>
    </row>
    <row r="890" spans="14:15" x14ac:dyDescent="0.3">
      <c r="N890" s="22"/>
      <c r="O890" s="22"/>
    </row>
    <row r="891" spans="14:15" x14ac:dyDescent="0.3">
      <c r="N891" s="22"/>
      <c r="O891" s="22"/>
    </row>
    <row r="892" spans="14:15" x14ac:dyDescent="0.3">
      <c r="N892" s="22"/>
      <c r="O892" s="22"/>
    </row>
    <row r="893" spans="14:15" x14ac:dyDescent="0.3">
      <c r="N893" s="22"/>
      <c r="O893" s="22"/>
    </row>
    <row r="894" spans="14:15" x14ac:dyDescent="0.3">
      <c r="N894" s="22"/>
      <c r="O894" s="22"/>
    </row>
    <row r="895" spans="14:15" x14ac:dyDescent="0.3">
      <c r="N895" s="22"/>
      <c r="O895" s="22"/>
    </row>
    <row r="896" spans="14:15" x14ac:dyDescent="0.3">
      <c r="N896" s="22"/>
      <c r="O896" s="22"/>
    </row>
    <row r="897" spans="14:15" x14ac:dyDescent="0.3">
      <c r="N897" s="22"/>
      <c r="O897" s="22"/>
    </row>
    <row r="898" spans="14:15" x14ac:dyDescent="0.3">
      <c r="N898" s="22"/>
      <c r="O898" s="22"/>
    </row>
    <row r="899" spans="14:15" x14ac:dyDescent="0.3">
      <c r="N899" s="22"/>
      <c r="O899" s="22"/>
    </row>
    <row r="900" spans="14:15" x14ac:dyDescent="0.3">
      <c r="N900" s="22"/>
      <c r="O900" s="22"/>
    </row>
    <row r="901" spans="14:15" x14ac:dyDescent="0.3">
      <c r="N901" s="22"/>
      <c r="O901" s="22"/>
    </row>
    <row r="902" spans="14:15" x14ac:dyDescent="0.3">
      <c r="N902" s="22"/>
      <c r="O902" s="22"/>
    </row>
    <row r="903" spans="14:15" x14ac:dyDescent="0.3">
      <c r="N903" s="22"/>
      <c r="O903" s="22"/>
    </row>
    <row r="904" spans="14:15" x14ac:dyDescent="0.3">
      <c r="N904" s="22"/>
      <c r="O904" s="22"/>
    </row>
    <row r="905" spans="14:15" x14ac:dyDescent="0.3">
      <c r="N905" s="22"/>
      <c r="O905" s="22"/>
    </row>
    <row r="906" spans="14:15" x14ac:dyDescent="0.3">
      <c r="N906" s="22"/>
      <c r="O906" s="22"/>
    </row>
    <row r="907" spans="14:15" x14ac:dyDescent="0.3">
      <c r="N907" s="22"/>
      <c r="O907" s="22"/>
    </row>
    <row r="908" spans="14:15" x14ac:dyDescent="0.3">
      <c r="N908" s="22"/>
      <c r="O908" s="22"/>
    </row>
    <row r="909" spans="14:15" x14ac:dyDescent="0.3">
      <c r="N909" s="22"/>
      <c r="O909" s="22"/>
    </row>
    <row r="910" spans="14:15" x14ac:dyDescent="0.3">
      <c r="N910" s="22"/>
      <c r="O910" s="22"/>
    </row>
    <row r="911" spans="14:15" x14ac:dyDescent="0.3">
      <c r="N911" s="22"/>
      <c r="O911" s="22"/>
    </row>
    <row r="912" spans="14:15" x14ac:dyDescent="0.3">
      <c r="N912" s="22"/>
      <c r="O912" s="22"/>
    </row>
    <row r="913" spans="14:15" x14ac:dyDescent="0.3">
      <c r="N913" s="22"/>
      <c r="O913" s="22"/>
    </row>
    <row r="914" spans="14:15" x14ac:dyDescent="0.3">
      <c r="N914" s="22"/>
      <c r="O914" s="22"/>
    </row>
    <row r="915" spans="14:15" x14ac:dyDescent="0.3">
      <c r="N915" s="22"/>
      <c r="O915" s="22"/>
    </row>
    <row r="916" spans="14:15" x14ac:dyDescent="0.3">
      <c r="N916" s="22"/>
      <c r="O916" s="22"/>
    </row>
    <row r="917" spans="14:15" x14ac:dyDescent="0.3">
      <c r="N917" s="22"/>
      <c r="O917" s="22"/>
    </row>
    <row r="918" spans="14:15" x14ac:dyDescent="0.3">
      <c r="N918" s="22"/>
      <c r="O918" s="22"/>
    </row>
    <row r="919" spans="14:15" x14ac:dyDescent="0.3">
      <c r="N919" s="22"/>
      <c r="O919" s="22"/>
    </row>
    <row r="920" spans="14:15" x14ac:dyDescent="0.3">
      <c r="N920" s="22"/>
      <c r="O920" s="22"/>
    </row>
    <row r="921" spans="14:15" x14ac:dyDescent="0.3">
      <c r="N921" s="22"/>
      <c r="O921" s="22"/>
    </row>
    <row r="922" spans="14:15" x14ac:dyDescent="0.3">
      <c r="N922" s="22"/>
      <c r="O922" s="22"/>
    </row>
    <row r="923" spans="14:15" x14ac:dyDescent="0.3">
      <c r="N923" s="22"/>
      <c r="O923" s="22"/>
    </row>
    <row r="924" spans="14:15" x14ac:dyDescent="0.3">
      <c r="N924" s="22"/>
      <c r="O924" s="22"/>
    </row>
    <row r="925" spans="14:15" x14ac:dyDescent="0.3">
      <c r="N925" s="22"/>
      <c r="O925" s="22"/>
    </row>
    <row r="926" spans="14:15" x14ac:dyDescent="0.3">
      <c r="N926" s="22"/>
      <c r="O926" s="22"/>
    </row>
    <row r="927" spans="14:15" x14ac:dyDescent="0.3">
      <c r="N927" s="22"/>
      <c r="O927" s="22"/>
    </row>
    <row r="928" spans="14:15" x14ac:dyDescent="0.3">
      <c r="N928" s="22"/>
      <c r="O928" s="22"/>
    </row>
    <row r="929" spans="14:15" x14ac:dyDescent="0.3">
      <c r="N929" s="22"/>
      <c r="O929" s="22"/>
    </row>
    <row r="930" spans="14:15" x14ac:dyDescent="0.3">
      <c r="N930" s="22"/>
      <c r="O930" s="22"/>
    </row>
    <row r="931" spans="14:15" x14ac:dyDescent="0.3">
      <c r="N931" s="22"/>
      <c r="O931" s="22"/>
    </row>
    <row r="932" spans="14:15" x14ac:dyDescent="0.3">
      <c r="N932" s="22"/>
      <c r="O932" s="22"/>
    </row>
    <row r="933" spans="14:15" x14ac:dyDescent="0.3">
      <c r="N933" s="22"/>
      <c r="O933" s="22"/>
    </row>
    <row r="934" spans="14:15" x14ac:dyDescent="0.3">
      <c r="N934" s="22"/>
      <c r="O934" s="22"/>
    </row>
    <row r="935" spans="14:15" x14ac:dyDescent="0.3">
      <c r="N935" s="22"/>
      <c r="O935" s="22"/>
    </row>
    <row r="936" spans="14:15" x14ac:dyDescent="0.3">
      <c r="N936" s="22"/>
      <c r="O936" s="22"/>
    </row>
    <row r="937" spans="14:15" x14ac:dyDescent="0.3">
      <c r="N937" s="22"/>
      <c r="O937" s="22"/>
    </row>
    <row r="938" spans="14:15" x14ac:dyDescent="0.3">
      <c r="N938" s="22"/>
      <c r="O938" s="22"/>
    </row>
    <row r="939" spans="14:15" x14ac:dyDescent="0.3">
      <c r="N939" s="22"/>
      <c r="O939" s="22"/>
    </row>
    <row r="940" spans="14:15" x14ac:dyDescent="0.3">
      <c r="N940" s="22"/>
      <c r="O940" s="22"/>
    </row>
    <row r="941" spans="14:15" x14ac:dyDescent="0.3">
      <c r="N941" s="22"/>
      <c r="O941" s="22"/>
    </row>
    <row r="942" spans="14:15" x14ac:dyDescent="0.3">
      <c r="N942" s="22"/>
      <c r="O942" s="22"/>
    </row>
    <row r="943" spans="14:15" x14ac:dyDescent="0.3">
      <c r="N943" s="22"/>
      <c r="O943" s="22"/>
    </row>
    <row r="944" spans="14:15" x14ac:dyDescent="0.3">
      <c r="N944" s="22"/>
      <c r="O944" s="22"/>
    </row>
    <row r="945" spans="14:15" x14ac:dyDescent="0.3">
      <c r="N945" s="22"/>
      <c r="O945" s="22"/>
    </row>
    <row r="946" spans="14:15" x14ac:dyDescent="0.3">
      <c r="N946" s="22"/>
      <c r="O946" s="22"/>
    </row>
    <row r="947" spans="14:15" x14ac:dyDescent="0.3">
      <c r="N947" s="22"/>
      <c r="O947" s="22"/>
    </row>
    <row r="948" spans="14:15" x14ac:dyDescent="0.3">
      <c r="N948" s="22"/>
      <c r="O948" s="22"/>
    </row>
    <row r="949" spans="14:15" x14ac:dyDescent="0.3">
      <c r="N949" s="22"/>
      <c r="O949" s="22"/>
    </row>
    <row r="950" spans="14:15" x14ac:dyDescent="0.3">
      <c r="N950" s="22"/>
      <c r="O950" s="22"/>
    </row>
    <row r="951" spans="14:15" x14ac:dyDescent="0.3">
      <c r="N951" s="22"/>
      <c r="O951" s="22"/>
    </row>
    <row r="952" spans="14:15" x14ac:dyDescent="0.3">
      <c r="N952" s="22"/>
      <c r="O952" s="22"/>
    </row>
    <row r="953" spans="14:15" x14ac:dyDescent="0.3">
      <c r="N953" s="22"/>
      <c r="O953" s="22"/>
    </row>
    <row r="954" spans="14:15" x14ac:dyDescent="0.3">
      <c r="N954" s="22"/>
      <c r="O954" s="22"/>
    </row>
    <row r="955" spans="14:15" x14ac:dyDescent="0.3">
      <c r="N955" s="22"/>
      <c r="O955" s="22"/>
    </row>
    <row r="956" spans="14:15" x14ac:dyDescent="0.3">
      <c r="N956" s="22"/>
      <c r="O956" s="22"/>
    </row>
    <row r="957" spans="14:15" x14ac:dyDescent="0.3">
      <c r="N957" s="22"/>
      <c r="O957" s="22"/>
    </row>
    <row r="958" spans="14:15" x14ac:dyDescent="0.3">
      <c r="N958" s="22"/>
      <c r="O958" s="22"/>
    </row>
    <row r="959" spans="14:15" x14ac:dyDescent="0.3">
      <c r="N959" s="22"/>
      <c r="O959" s="22"/>
    </row>
    <row r="960" spans="14:15" x14ac:dyDescent="0.3">
      <c r="N960" s="22"/>
      <c r="O960" s="22"/>
    </row>
    <row r="961" spans="14:15" x14ac:dyDescent="0.3">
      <c r="N961" s="22"/>
      <c r="O961" s="22"/>
    </row>
    <row r="962" spans="14:15" x14ac:dyDescent="0.3">
      <c r="N962" s="22"/>
      <c r="O962" s="22"/>
    </row>
    <row r="963" spans="14:15" x14ac:dyDescent="0.3">
      <c r="N963" s="22"/>
      <c r="O963" s="22"/>
    </row>
    <row r="964" spans="14:15" x14ac:dyDescent="0.3">
      <c r="N964" s="22"/>
      <c r="O964" s="22"/>
    </row>
    <row r="965" spans="14:15" x14ac:dyDescent="0.3">
      <c r="N965" s="22"/>
      <c r="O965" s="22"/>
    </row>
    <row r="966" spans="14:15" x14ac:dyDescent="0.3">
      <c r="N966" s="22"/>
      <c r="O966" s="22"/>
    </row>
    <row r="967" spans="14:15" x14ac:dyDescent="0.3">
      <c r="N967" s="22"/>
      <c r="O967" s="22"/>
    </row>
    <row r="968" spans="14:15" x14ac:dyDescent="0.3">
      <c r="N968" s="22"/>
      <c r="O968" s="22"/>
    </row>
    <row r="969" spans="14:15" x14ac:dyDescent="0.3">
      <c r="N969" s="22"/>
      <c r="O969" s="22"/>
    </row>
    <row r="970" spans="14:15" x14ac:dyDescent="0.3">
      <c r="N970" s="22"/>
      <c r="O970" s="22"/>
    </row>
    <row r="971" spans="14:15" x14ac:dyDescent="0.3">
      <c r="N971" s="22"/>
      <c r="O971" s="22"/>
    </row>
    <row r="972" spans="14:15" x14ac:dyDescent="0.3">
      <c r="N972" s="22"/>
      <c r="O972" s="22"/>
    </row>
    <row r="973" spans="14:15" x14ac:dyDescent="0.3">
      <c r="N973" s="22"/>
      <c r="O973" s="22"/>
    </row>
    <row r="974" spans="14:15" x14ac:dyDescent="0.3">
      <c r="N974" s="22"/>
      <c r="O974" s="22"/>
    </row>
    <row r="975" spans="14:15" x14ac:dyDescent="0.3">
      <c r="N975" s="22"/>
      <c r="O975" s="22"/>
    </row>
    <row r="976" spans="14:15" x14ac:dyDescent="0.3">
      <c r="N976" s="22"/>
      <c r="O976" s="22"/>
    </row>
    <row r="977" spans="14:15" x14ac:dyDescent="0.3">
      <c r="N977" s="22"/>
      <c r="O977" s="22"/>
    </row>
    <row r="978" spans="14:15" x14ac:dyDescent="0.3">
      <c r="N978" s="22"/>
      <c r="O978" s="22"/>
    </row>
    <row r="979" spans="14:15" x14ac:dyDescent="0.3">
      <c r="N979" s="22"/>
      <c r="O979" s="22"/>
    </row>
    <row r="980" spans="14:15" x14ac:dyDescent="0.3">
      <c r="N980" s="22"/>
      <c r="O980" s="22"/>
    </row>
    <row r="981" spans="14:15" x14ac:dyDescent="0.3">
      <c r="N981" s="22"/>
      <c r="O981" s="22"/>
    </row>
    <row r="982" spans="14:15" x14ac:dyDescent="0.3">
      <c r="N982" s="22"/>
      <c r="O982" s="22"/>
    </row>
    <row r="983" spans="14:15" x14ac:dyDescent="0.3">
      <c r="N983" s="22"/>
      <c r="O983" s="22"/>
    </row>
    <row r="984" spans="14:15" x14ac:dyDescent="0.3">
      <c r="N984" s="22"/>
      <c r="O984" s="22"/>
    </row>
    <row r="985" spans="14:15" x14ac:dyDescent="0.3">
      <c r="N985" s="22"/>
      <c r="O985" s="22"/>
    </row>
    <row r="986" spans="14:15" x14ac:dyDescent="0.3">
      <c r="N986" s="22"/>
      <c r="O986" s="22"/>
    </row>
    <row r="987" spans="14:15" x14ac:dyDescent="0.3">
      <c r="N987" s="22"/>
      <c r="O987" s="22"/>
    </row>
    <row r="988" spans="14:15" x14ac:dyDescent="0.3">
      <c r="N988" s="22"/>
      <c r="O988" s="22"/>
    </row>
    <row r="989" spans="14:15" x14ac:dyDescent="0.3">
      <c r="N989" s="22"/>
      <c r="O989" s="22"/>
    </row>
    <row r="990" spans="14:15" x14ac:dyDescent="0.3">
      <c r="N990" s="22"/>
      <c r="O990" s="22"/>
    </row>
    <row r="991" spans="14:15" x14ac:dyDescent="0.3">
      <c r="N991" s="22"/>
      <c r="O991" s="22"/>
    </row>
    <row r="992" spans="14:15" x14ac:dyDescent="0.3">
      <c r="N992" s="22"/>
      <c r="O992" s="22"/>
    </row>
    <row r="993" spans="14:15" x14ac:dyDescent="0.3">
      <c r="N993" s="22"/>
      <c r="O993" s="22"/>
    </row>
    <row r="994" spans="14:15" x14ac:dyDescent="0.3">
      <c r="N994" s="22"/>
      <c r="O994" s="22"/>
    </row>
    <row r="995" spans="14:15" x14ac:dyDescent="0.3">
      <c r="N995" s="22"/>
      <c r="O995" s="22"/>
    </row>
  </sheetData>
  <mergeCells count="18">
    <mergeCell ref="Q3:T3"/>
    <mergeCell ref="B3:E3"/>
    <mergeCell ref="G3:L3"/>
    <mergeCell ref="H53:L53"/>
    <mergeCell ref="N3:O3"/>
    <mergeCell ref="C26:E26"/>
    <mergeCell ref="C30:E30"/>
    <mergeCell ref="C18:E18"/>
    <mergeCell ref="G19:G20"/>
    <mergeCell ref="G25:G26"/>
    <mergeCell ref="G31:G32"/>
    <mergeCell ref="G37:G38"/>
    <mergeCell ref="G40:G41"/>
    <mergeCell ref="G43:G44"/>
    <mergeCell ref="G16:G17"/>
    <mergeCell ref="G22:G23"/>
    <mergeCell ref="G28:G29"/>
    <mergeCell ref="G34:G3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2:AP37"/>
  <sheetViews>
    <sheetView zoomScale="50" zoomScaleNormal="50" workbookViewId="0">
      <selection activeCell="R13" sqref="R13"/>
    </sheetView>
  </sheetViews>
  <sheetFormatPr defaultColWidth="11.5546875" defaultRowHeight="14.4" x14ac:dyDescent="0.3"/>
  <cols>
    <col min="12" max="41" width="3.6640625" customWidth="1"/>
  </cols>
  <sheetData>
    <row r="2" spans="2:41" x14ac:dyDescent="0.3">
      <c r="B2" s="27"/>
      <c r="C2" s="27"/>
      <c r="D2" s="27"/>
      <c r="E2" s="27"/>
      <c r="F2" s="27"/>
      <c r="G2" s="27"/>
    </row>
    <row r="3" spans="2:41" ht="14.4" customHeight="1" x14ac:dyDescent="0.3">
      <c r="C3" s="60" t="s">
        <v>58</v>
      </c>
      <c r="D3" s="60" t="s">
        <v>59</v>
      </c>
      <c r="E3" s="60" t="s">
        <v>90</v>
      </c>
      <c r="F3" s="60" t="s">
        <v>7</v>
      </c>
      <c r="G3" s="60" t="s">
        <v>8</v>
      </c>
      <c r="H3" s="60" t="s">
        <v>89</v>
      </c>
      <c r="I3" s="60" t="s">
        <v>118</v>
      </c>
      <c r="J3" s="60" t="s">
        <v>119</v>
      </c>
      <c r="K3" s="60" t="s">
        <v>120</v>
      </c>
      <c r="N3" s="147" t="s">
        <v>152</v>
      </c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</row>
    <row r="4" spans="2:41" ht="15" customHeight="1" x14ac:dyDescent="0.3">
      <c r="B4" s="105" t="s">
        <v>55</v>
      </c>
      <c r="C4" s="29">
        <f>IF(Body1Actif=TRUE,'Valeurs Initiales'!$E3,0)</f>
        <v>-19739.913708751279</v>
      </c>
      <c r="D4" s="29">
        <f>IF(Body1Actif=TRUE,'Valeurs Initiales'!$F3,0)</f>
        <v>61589.833388683801</v>
      </c>
      <c r="E4" s="29">
        <f>IF(Body1Actif=TRUE,'Valeurs Initiales'!$G3,0)</f>
        <v>85991.657558832609</v>
      </c>
      <c r="F4" s="29">
        <f>IF(Body1Actif=TRUE,'Valeurs Initiales'!$H3,0)</f>
        <v>292.62858179829414</v>
      </c>
      <c r="G4" s="29">
        <f>IF(Body1Actif=TRUE,'Valeurs Initiales'!$I3,0)</f>
        <v>1818.5394948091323</v>
      </c>
      <c r="H4" s="29">
        <f>IF(Body1Actif=TRUE,'Valeurs Initiales'!$J3,0)</f>
        <v>783.97724675065729</v>
      </c>
      <c r="I4" s="29">
        <f>'Valeurs Initiales'!K3</f>
        <v>0</v>
      </c>
      <c r="J4" s="29">
        <f>'Valeurs Initiales'!L3</f>
        <v>0</v>
      </c>
      <c r="K4" s="29">
        <f>'Valeurs Initiales'!M3</f>
        <v>0</v>
      </c>
      <c r="L4" s="149" t="s">
        <v>111</v>
      </c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</row>
    <row r="5" spans="2:41" x14ac:dyDescent="0.3">
      <c r="B5" s="105" t="s">
        <v>56</v>
      </c>
      <c r="C5" s="30">
        <f>IF(Body2Actif=TRUE,('Valeurs Initiales'!$E4),0)</f>
        <v>8311.4248642611055</v>
      </c>
      <c r="D5" s="30">
        <f>IF(Body2Actif=TRUE,('Valeurs Initiales'!$F4),0)</f>
        <v>5742.2158213895891</v>
      </c>
      <c r="E5" s="30">
        <f>IF(Body2Actif=TRUE,('Valeurs Initiales'!$G4),0)</f>
        <v>15762.196411267083</v>
      </c>
      <c r="F5" s="30">
        <f>IF(Body2Actif=TRUE,('Valeurs Initiales'!$H4),0)</f>
        <v>216.20752443205902</v>
      </c>
      <c r="G5" s="30">
        <f>IF(Body2Actif=TRUE,('Valeurs Initiales'!$I4),0)</f>
        <v>1591.4973912898267</v>
      </c>
      <c r="H5" s="30">
        <f>IF(Body2Actif=TRUE,('Valeurs Initiales'!$J4),0)</f>
        <v>1393.6911064085352</v>
      </c>
      <c r="I5" s="30">
        <f>'Valeurs Initiales'!K4</f>
        <v>0</v>
      </c>
      <c r="J5" s="30">
        <f>'Valeurs Initiales'!L4</f>
        <v>0</v>
      </c>
      <c r="K5" s="30">
        <f>'Valeurs Initiales'!M4</f>
        <v>0</v>
      </c>
      <c r="L5" s="149"/>
      <c r="N5" s="120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</row>
    <row r="6" spans="2:41" x14ac:dyDescent="0.3">
      <c r="B6" s="105" t="s">
        <v>57</v>
      </c>
      <c r="C6" s="30">
        <f>IF(Body3Actif=TRUE,('Valeurs Initiales'!$E5),0)</f>
        <v>36162.963789301153</v>
      </c>
      <c r="D6" s="30">
        <f>IF(Body3Actif=TRUE,('Valeurs Initiales'!$F5),0)</f>
        <v>99028.618103895365</v>
      </c>
      <c r="E6" s="30">
        <f>IF(Body3Actif=TRUE,('Valeurs Initiales'!$G5),0)</f>
        <v>-86953.224038707995</v>
      </c>
      <c r="F6" s="30">
        <f>IF(Body3Actif=TRUE,('Valeurs Initiales'!$H5),0)</f>
        <v>312.52532236448792</v>
      </c>
      <c r="G6" s="30">
        <f>IF(Body3Actif=TRUE,('Valeurs Initiales'!$I5),0)</f>
        <v>-353.52431210841996</v>
      </c>
      <c r="H6" s="30">
        <f>IF(Body3Actif=TRUE,('Valeurs Initiales'!$J5),0)</f>
        <v>735.20464685849083</v>
      </c>
      <c r="I6" s="30">
        <f>'Valeurs Initiales'!K5</f>
        <v>0</v>
      </c>
      <c r="J6" s="30">
        <f>'Valeurs Initiales'!L5</f>
        <v>0</v>
      </c>
      <c r="K6" s="30">
        <f>'Valeurs Initiales'!M5</f>
        <v>0</v>
      </c>
      <c r="L6" s="149"/>
      <c r="N6" s="146" t="s">
        <v>150</v>
      </c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  <c r="AH6" s="146"/>
      <c r="AI6" s="146"/>
      <c r="AJ6" s="146"/>
      <c r="AK6" s="146"/>
      <c r="AL6" s="146"/>
      <c r="AM6" s="146"/>
      <c r="AN6" s="146"/>
      <c r="AO6" s="146"/>
    </row>
    <row r="7" spans="2:41" x14ac:dyDescent="0.3">
      <c r="B7" s="104" t="s">
        <v>60</v>
      </c>
      <c r="C7" s="30">
        <f>IF(Body4Actif=TRUE,('Valeurs Initiales'!$E6),0)</f>
        <v>-30194.673994137178</v>
      </c>
      <c r="D7" s="30">
        <f>IF(Body4Actif=TRUE,('Valeurs Initiales'!$F6),0)</f>
        <v>-22767.486374106942</v>
      </c>
      <c r="E7" s="30">
        <f>IF(Body4Actif=TRUE,('Valeurs Initiales'!$G6),0)</f>
        <v>-86733.25927012894</v>
      </c>
      <c r="F7" s="30">
        <f>IF(Body4Actif=TRUE,('Valeurs Initiales'!$H6),0)</f>
        <v>1480.544698285938</v>
      </c>
      <c r="G7" s="30">
        <f>IF(Body4Actif=TRUE,('Valeurs Initiales'!$I6),0)</f>
        <v>-1178.5510571336017</v>
      </c>
      <c r="H7" s="30">
        <f>IF(Body4Actif=TRUE,('Valeurs Initiales'!$J6),0)</f>
        <v>746.42303591611335</v>
      </c>
      <c r="I7" s="30">
        <f>'Valeurs Initiales'!K6</f>
        <v>0</v>
      </c>
      <c r="J7" s="30">
        <f>'Valeurs Initiales'!L6</f>
        <v>0</v>
      </c>
      <c r="K7" s="30">
        <f>'Valeurs Initiales'!M6</f>
        <v>0</v>
      </c>
      <c r="L7" s="149"/>
      <c r="N7" s="146" t="s">
        <v>153</v>
      </c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</row>
    <row r="8" spans="2:41" x14ac:dyDescent="0.3">
      <c r="B8" s="104" t="s">
        <v>61</v>
      </c>
      <c r="C8" s="30">
        <f>IF(Body5Actif=TRUE,('Valeurs Initiales'!$E7),0)</f>
        <v>-2937.4020361835283</v>
      </c>
      <c r="D8" s="30">
        <f>IF(Body5Actif=TRUE,('Valeurs Initiales'!$F7),0)</f>
        <v>4625.3317601333838</v>
      </c>
      <c r="E8" s="30">
        <f>IF(Body5Actif=TRUE,('Valeurs Initiales'!$G7),0)</f>
        <v>-6788.3019803310017</v>
      </c>
      <c r="F8" s="30">
        <f>IF(Body5Actif=TRUE,('Valeurs Initiales'!$H7),0)</f>
        <v>1253.5596523874731</v>
      </c>
      <c r="G8" s="30">
        <f>IF(Body5Actif=TRUE,('Valeurs Initiales'!$I7),0)</f>
        <v>1804.3238648775457</v>
      </c>
      <c r="H8" s="30">
        <f>IF(Body5Actif=TRUE,('Valeurs Initiales'!$J7),0)</f>
        <v>1910.3031797554531</v>
      </c>
      <c r="I8" s="30">
        <f>'Valeurs Initiales'!K7</f>
        <v>0</v>
      </c>
      <c r="J8" s="30">
        <f>'Valeurs Initiales'!L7</f>
        <v>0</v>
      </c>
      <c r="K8" s="30">
        <f>'Valeurs Initiales'!M7</f>
        <v>0</v>
      </c>
      <c r="L8" s="149"/>
      <c r="N8" s="146" t="s">
        <v>151</v>
      </c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</row>
    <row r="9" spans="2:41" x14ac:dyDescent="0.3">
      <c r="B9" s="106" t="s">
        <v>62</v>
      </c>
      <c r="C9" s="30">
        <f>IF(Body6Actif=TRUE,('Valeurs Initiales'!$E8),0)</f>
        <v>45455.85245079462</v>
      </c>
      <c r="D9" s="30">
        <f>IF(Body6Actif=TRUE,('Valeurs Initiales'!$F8),0)</f>
        <v>53584.426948413318</v>
      </c>
      <c r="E9" s="30">
        <f>IF(Body6Actif=TRUE,('Valeurs Initiales'!$G8),0)</f>
        <v>54562.690324983421</v>
      </c>
      <c r="F9" s="30">
        <f>IF(Body6Actif=TRUE,('Valeurs Initiales'!$H8),0)</f>
        <v>948.49781871767163</v>
      </c>
      <c r="G9" s="30">
        <f>IF(Body6Actif=TRUE,('Valeurs Initiales'!$I8),0)</f>
        <v>-700.82907456220892</v>
      </c>
      <c r="H9" s="30">
        <f>IF(Body6Actif=TRUE,('Valeurs Initiales'!$J8),0)</f>
        <v>1796.1848356986882</v>
      </c>
      <c r="I9" s="30">
        <f>'Valeurs Initiales'!K8</f>
        <v>0</v>
      </c>
      <c r="J9" s="30">
        <f>'Valeurs Initiales'!L8</f>
        <v>0</v>
      </c>
      <c r="K9" s="30">
        <f>'Valeurs Initiales'!M8</f>
        <v>0</v>
      </c>
      <c r="L9" s="149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</row>
    <row r="10" spans="2:41" x14ac:dyDescent="0.3">
      <c r="B10" s="104" t="s">
        <v>63</v>
      </c>
      <c r="C10" s="30">
        <f>IF(Body7Actif=TRUE,('Valeurs Initiales'!$E9),0)</f>
        <v>-78086.588555708789</v>
      </c>
      <c r="D10" s="30">
        <f>IF(Body7Actif=TRUE,('Valeurs Initiales'!$F9),0)</f>
        <v>-83571.286689526896</v>
      </c>
      <c r="E10" s="30">
        <f>IF(Body7Actif=TRUE,('Valeurs Initiales'!$G9),0)</f>
        <v>48627.511843166845</v>
      </c>
      <c r="F10" s="30">
        <f>IF(Body7Actif=TRUE,('Valeurs Initiales'!$H9),0)</f>
        <v>-1078.1294688197681</v>
      </c>
      <c r="G10" s="30">
        <f>IF(Body7Actif=TRUE,('Valeurs Initiales'!$I9),0)</f>
        <v>1018.7076253555132</v>
      </c>
      <c r="H10" s="30">
        <f>IF(Body7Actif=TRUE,('Valeurs Initiales'!$J9),0)</f>
        <v>1311.8697344073462</v>
      </c>
      <c r="I10" s="30">
        <f>'Valeurs Initiales'!K9</f>
        <v>0</v>
      </c>
      <c r="J10" s="30">
        <f>'Valeurs Initiales'!L9</f>
        <v>0</v>
      </c>
      <c r="K10" s="30">
        <f>'Valeurs Initiales'!M9</f>
        <v>0</v>
      </c>
      <c r="L10" s="149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</row>
    <row r="11" spans="2:41" x14ac:dyDescent="0.3">
      <c r="B11" s="104" t="s">
        <v>64</v>
      </c>
      <c r="C11" s="30">
        <f>IF(Body8Actif=TRUE,('Valeurs Initiales'!$E10),0)</f>
        <v>72497.474231172499</v>
      </c>
      <c r="D11" s="30">
        <f>IF(Body8Actif=TRUE,('Valeurs Initiales'!$F10),0)</f>
        <v>14659.496114544265</v>
      </c>
      <c r="E11" s="30">
        <f>IF(Body8Actif=TRUE,('Valeurs Initiales'!$G10),0)</f>
        <v>-42245.444481099024</v>
      </c>
      <c r="F11" s="30">
        <f>IF(Body8Actif=TRUE,('Valeurs Initiales'!$H10),0)</f>
        <v>-1187.7061985874079</v>
      </c>
      <c r="G11" s="30">
        <f>IF(Body8Actif=TRUE,('Valeurs Initiales'!$I10),0)</f>
        <v>-1985.249196660438</v>
      </c>
      <c r="H11" s="30">
        <f>IF(Body8Actif=TRUE,('Valeurs Initiales'!$J10),0)</f>
        <v>1758.6472614272984</v>
      </c>
      <c r="I11" s="30">
        <f>'Valeurs Initiales'!K10</f>
        <v>0</v>
      </c>
      <c r="J11" s="30">
        <f>'Valeurs Initiales'!L10</f>
        <v>0</v>
      </c>
      <c r="K11" s="30">
        <f>'Valeurs Initiales'!M10</f>
        <v>0</v>
      </c>
      <c r="L11" s="149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  <c r="AK11" s="126"/>
      <c r="AL11" s="126"/>
      <c r="AM11" s="126"/>
      <c r="AN11" s="126"/>
      <c r="AO11" s="126"/>
    </row>
    <row r="12" spans="2:41" x14ac:dyDescent="0.3">
      <c r="B12" s="104" t="s">
        <v>65</v>
      </c>
      <c r="C12" s="30">
        <f>IF(Body9Actif=TRUE,('Valeurs Initiales'!$E11),0)</f>
        <v>-95906.233654415788</v>
      </c>
      <c r="D12" s="30">
        <f>IF(Body9Actif=TRUE,('Valeurs Initiales'!$F11),0)</f>
        <v>11103.056724254246</v>
      </c>
      <c r="E12" s="30">
        <f>IF(Body9Actif=TRUE,('Valeurs Initiales'!$G11),0)</f>
        <v>95480.526732266502</v>
      </c>
      <c r="F12" s="30">
        <f>IF(Body9Actif=TRUE,('Valeurs Initiales'!$H11),0)</f>
        <v>671.77402322459307</v>
      </c>
      <c r="G12" s="30">
        <f>IF(Body9Actif=TRUE,('Valeurs Initiales'!$I11),0)</f>
        <v>1790.2058439770242</v>
      </c>
      <c r="H12" s="30">
        <f>IF(Body9Actif=TRUE,('Valeurs Initiales'!$J11),0)</f>
        <v>1250.9254519028152</v>
      </c>
      <c r="I12" s="30">
        <f>'Valeurs Initiales'!K11</f>
        <v>0</v>
      </c>
      <c r="J12" s="30">
        <f>'Valeurs Initiales'!L11</f>
        <v>0</v>
      </c>
      <c r="K12" s="30">
        <f>'Valeurs Initiales'!M11</f>
        <v>0</v>
      </c>
      <c r="L12" s="149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</row>
    <row r="13" spans="2:41" x14ac:dyDescent="0.3">
      <c r="B13" s="104" t="s">
        <v>66</v>
      </c>
      <c r="C13" s="31">
        <f>IF(Body10Actif=TRUE,('Valeurs Initiales'!$E12),0)</f>
        <v>-69663.940600437665</v>
      </c>
      <c r="D13" s="31">
        <f>IF(Body10Actif=TRUE,('Valeurs Initiales'!$F12),0)</f>
        <v>85375.27749676886</v>
      </c>
      <c r="E13" s="31">
        <f>IF(Body10Actif=TRUE,('Valeurs Initiales'!$G12),0)</f>
        <v>62555.509106185658</v>
      </c>
      <c r="F13" s="31">
        <f>IF(Body10Actif=TRUE,('Valeurs Initiales'!$H12),0)</f>
        <v>-567.84092504566388</v>
      </c>
      <c r="G13" s="31">
        <f>IF(Body10Actif=TRUE,('Valeurs Initiales'!$I12),0)</f>
        <v>882.99372287808706</v>
      </c>
      <c r="H13" s="31">
        <f>IF(Body10Actif=TRUE,('Valeurs Initiales'!$J12),0)</f>
        <v>-1454.0059187374432</v>
      </c>
      <c r="I13" s="31">
        <f>'Valeurs Initiales'!K12</f>
        <v>0</v>
      </c>
      <c r="J13" s="31">
        <f>'Valeurs Initiales'!L12</f>
        <v>0</v>
      </c>
      <c r="K13" s="31">
        <f>'Valeurs Initiales'!M12</f>
        <v>0</v>
      </c>
      <c r="L13" s="149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</row>
    <row r="14" spans="2:41" x14ac:dyDescent="0.3">
      <c r="C14" s="25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</row>
    <row r="15" spans="2:41" x14ac:dyDescent="0.3">
      <c r="B15" s="25"/>
      <c r="C15" s="60" t="s">
        <v>58</v>
      </c>
      <c r="D15" s="60" t="s">
        <v>59</v>
      </c>
      <c r="E15" s="60" t="s">
        <v>90</v>
      </c>
      <c r="F15" s="60" t="s">
        <v>7</v>
      </c>
      <c r="G15" s="60" t="s">
        <v>8</v>
      </c>
      <c r="H15" s="60" t="s">
        <v>89</v>
      </c>
      <c r="I15" s="60" t="s">
        <v>118</v>
      </c>
      <c r="J15" s="60" t="s">
        <v>119</v>
      </c>
      <c r="K15" s="60" t="s">
        <v>120</v>
      </c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</row>
    <row r="16" spans="2:41" ht="15" customHeight="1" x14ac:dyDescent="0.3">
      <c r="B16" s="105" t="s">
        <v>55</v>
      </c>
      <c r="C16" s="50">
        <v>-19739.913708751279</v>
      </c>
      <c r="D16" s="50">
        <v>61589.833388683801</v>
      </c>
      <c r="E16" s="50">
        <v>85991.657558832609</v>
      </c>
      <c r="F16" s="50">
        <v>292.62858179829414</v>
      </c>
      <c r="G16" s="50">
        <v>1818.5394948091323</v>
      </c>
      <c r="H16" s="50">
        <v>783.97724675065729</v>
      </c>
      <c r="I16" s="50">
        <v>0</v>
      </c>
      <c r="J16" s="50">
        <v>0</v>
      </c>
      <c r="K16" s="50">
        <v>0</v>
      </c>
      <c r="L16" s="149" t="s">
        <v>113</v>
      </c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  <c r="AO16" s="126"/>
    </row>
    <row r="17" spans="2:42" x14ac:dyDescent="0.3">
      <c r="B17" s="105" t="s">
        <v>56</v>
      </c>
      <c r="C17" s="51">
        <v>8311.4248642611055</v>
      </c>
      <c r="D17" s="51">
        <v>5742.2158213895891</v>
      </c>
      <c r="E17" s="51">
        <v>15762.196411267083</v>
      </c>
      <c r="F17" s="51">
        <v>216.20752443205902</v>
      </c>
      <c r="G17" s="51">
        <v>1591.4973912898267</v>
      </c>
      <c r="H17" s="51">
        <v>1393.6911064085352</v>
      </c>
      <c r="I17" s="51">
        <v>0</v>
      </c>
      <c r="J17" s="51">
        <v>0</v>
      </c>
      <c r="K17" s="51">
        <v>0</v>
      </c>
      <c r="L17" s="149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</row>
    <row r="18" spans="2:42" x14ac:dyDescent="0.3">
      <c r="B18" s="105" t="s">
        <v>57</v>
      </c>
      <c r="C18" s="51">
        <v>36162.963789301153</v>
      </c>
      <c r="D18" s="51">
        <v>99028.618103895365</v>
      </c>
      <c r="E18" s="51">
        <v>-86953.224038707995</v>
      </c>
      <c r="F18" s="51">
        <v>312.52532236448792</v>
      </c>
      <c r="G18" s="51">
        <v>-353.52431210841996</v>
      </c>
      <c r="H18" s="51">
        <v>735.20464685849083</v>
      </c>
      <c r="I18" s="51">
        <v>0</v>
      </c>
      <c r="J18" s="51">
        <v>0</v>
      </c>
      <c r="K18" s="51">
        <v>0</v>
      </c>
      <c r="L18" s="149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</row>
    <row r="19" spans="2:42" x14ac:dyDescent="0.3">
      <c r="B19" s="104" t="s">
        <v>60</v>
      </c>
      <c r="C19" s="51">
        <v>-30194.673994137178</v>
      </c>
      <c r="D19" s="51">
        <v>-22767.486374106942</v>
      </c>
      <c r="E19" s="51">
        <v>-86733.25927012894</v>
      </c>
      <c r="F19" s="51">
        <v>1480.544698285938</v>
      </c>
      <c r="G19" s="51">
        <v>-1178.5510571336017</v>
      </c>
      <c r="H19" s="51">
        <v>746.42303591611335</v>
      </c>
      <c r="I19" s="51">
        <v>0</v>
      </c>
      <c r="J19" s="51">
        <v>0</v>
      </c>
      <c r="K19" s="51">
        <v>0</v>
      </c>
      <c r="L19" s="149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</row>
    <row r="20" spans="2:42" x14ac:dyDescent="0.3">
      <c r="B20" s="104" t="s">
        <v>61</v>
      </c>
      <c r="C20" s="51">
        <v>-2937.4020361835283</v>
      </c>
      <c r="D20" s="51">
        <v>4625.3317601333838</v>
      </c>
      <c r="E20" s="51">
        <v>-6788.3019803310017</v>
      </c>
      <c r="F20" s="51">
        <v>1253.5596523874731</v>
      </c>
      <c r="G20" s="51">
        <v>1804.3238648775457</v>
      </c>
      <c r="H20" s="51">
        <v>1910.3031797554531</v>
      </c>
      <c r="I20" s="51">
        <v>0</v>
      </c>
      <c r="J20" s="51">
        <v>0</v>
      </c>
      <c r="K20" s="51">
        <v>0</v>
      </c>
      <c r="L20" s="149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  <c r="AI20" s="126"/>
      <c r="AJ20" s="126"/>
      <c r="AK20" s="126"/>
      <c r="AL20" s="126"/>
      <c r="AM20" s="126"/>
      <c r="AN20" s="126"/>
      <c r="AO20" s="126"/>
    </row>
    <row r="21" spans="2:42" x14ac:dyDescent="0.3">
      <c r="B21" s="106" t="s">
        <v>62</v>
      </c>
      <c r="C21" s="51">
        <v>45455.85245079462</v>
      </c>
      <c r="D21" s="51">
        <v>53584.426948413318</v>
      </c>
      <c r="E21" s="51">
        <v>54562.690324983421</v>
      </c>
      <c r="F21" s="51">
        <v>948.49781871767163</v>
      </c>
      <c r="G21" s="51">
        <v>-700.82907456220892</v>
      </c>
      <c r="H21" s="51">
        <v>1796.1848356986882</v>
      </c>
      <c r="I21" s="51">
        <v>0</v>
      </c>
      <c r="J21" s="51">
        <v>0</v>
      </c>
      <c r="K21" s="51">
        <v>0</v>
      </c>
      <c r="L21" s="149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  <c r="AI21" s="126"/>
      <c r="AJ21" s="126"/>
      <c r="AK21" s="126"/>
      <c r="AL21" s="126"/>
      <c r="AM21" s="126"/>
      <c r="AN21" s="126"/>
      <c r="AO21" s="126"/>
    </row>
    <row r="22" spans="2:42" x14ac:dyDescent="0.3">
      <c r="B22" s="104" t="s">
        <v>63</v>
      </c>
      <c r="C22" s="51">
        <v>-78086.588555708789</v>
      </c>
      <c r="D22" s="51">
        <v>-83571.286689526896</v>
      </c>
      <c r="E22" s="51">
        <v>48627.511843166845</v>
      </c>
      <c r="F22" s="51">
        <v>-1078.1294688197681</v>
      </c>
      <c r="G22" s="51">
        <v>1018.7076253555132</v>
      </c>
      <c r="H22" s="51">
        <v>1311.8697344073462</v>
      </c>
      <c r="I22" s="51">
        <v>0</v>
      </c>
      <c r="J22" s="51">
        <v>0</v>
      </c>
      <c r="K22" s="51">
        <v>0</v>
      </c>
      <c r="L22" s="149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</row>
    <row r="23" spans="2:42" x14ac:dyDescent="0.3">
      <c r="B23" s="104" t="s">
        <v>64</v>
      </c>
      <c r="C23" s="51">
        <v>72497.474231172499</v>
      </c>
      <c r="D23" s="51">
        <v>14659.496114544265</v>
      </c>
      <c r="E23" s="51">
        <v>-42245.444481099024</v>
      </c>
      <c r="F23" s="51">
        <v>-1187.7061985874079</v>
      </c>
      <c r="G23" s="51">
        <v>-1985.249196660438</v>
      </c>
      <c r="H23" s="51">
        <v>1758.6472614272984</v>
      </c>
      <c r="I23" s="51">
        <v>0</v>
      </c>
      <c r="J23" s="51">
        <v>0</v>
      </c>
      <c r="K23" s="51">
        <v>0</v>
      </c>
      <c r="L23" s="149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  <c r="AK23" s="126"/>
      <c r="AL23" s="126"/>
      <c r="AM23" s="126"/>
      <c r="AN23" s="126"/>
      <c r="AO23" s="126"/>
    </row>
    <row r="24" spans="2:42" x14ac:dyDescent="0.3">
      <c r="B24" s="104" t="s">
        <v>65</v>
      </c>
      <c r="C24" s="51">
        <v>-95906.233654415788</v>
      </c>
      <c r="D24" s="51">
        <v>11103.056724254246</v>
      </c>
      <c r="E24" s="51">
        <v>95480.526732266502</v>
      </c>
      <c r="F24" s="51">
        <v>671.77402322459307</v>
      </c>
      <c r="G24" s="51">
        <v>1790.2058439770242</v>
      </c>
      <c r="H24" s="51">
        <v>1250.9254519028152</v>
      </c>
      <c r="I24" s="51">
        <v>0</v>
      </c>
      <c r="J24" s="51">
        <v>0</v>
      </c>
      <c r="K24" s="51">
        <v>0</v>
      </c>
      <c r="L24" s="149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</row>
    <row r="25" spans="2:42" x14ac:dyDescent="0.3">
      <c r="B25" s="104" t="s">
        <v>66</v>
      </c>
      <c r="C25" s="52">
        <v>-69663.940600437665</v>
      </c>
      <c r="D25" s="52">
        <v>85375.27749676886</v>
      </c>
      <c r="E25" s="52">
        <v>62555.509106185658</v>
      </c>
      <c r="F25" s="52">
        <v>-567.84092504566388</v>
      </c>
      <c r="G25" s="52">
        <v>882.99372287808706</v>
      </c>
      <c r="H25" s="52">
        <v>-1454.0059187374432</v>
      </c>
      <c r="I25" s="52">
        <v>0</v>
      </c>
      <c r="J25" s="52">
        <v>0</v>
      </c>
      <c r="K25" s="52">
        <v>0</v>
      </c>
      <c r="L25" s="150"/>
    </row>
    <row r="26" spans="2:42" x14ac:dyDescent="0.3">
      <c r="L26" s="142" t="s">
        <v>55</v>
      </c>
      <c r="M26" s="142"/>
      <c r="N26" s="142"/>
      <c r="O26" s="142" t="s">
        <v>56</v>
      </c>
      <c r="P26" s="142"/>
      <c r="Q26" s="142"/>
      <c r="R26" s="142" t="s">
        <v>57</v>
      </c>
      <c r="S26" s="142"/>
      <c r="T26" s="142"/>
      <c r="U26" s="142" t="s">
        <v>60</v>
      </c>
      <c r="V26" s="142"/>
      <c r="W26" s="142"/>
      <c r="X26" s="142" t="s">
        <v>61</v>
      </c>
      <c r="Y26" s="142"/>
      <c r="Z26" s="142"/>
      <c r="AA26" s="142" t="s">
        <v>62</v>
      </c>
      <c r="AB26" s="142"/>
      <c r="AC26" s="142"/>
      <c r="AD26" s="142" t="s">
        <v>63</v>
      </c>
      <c r="AE26" s="142"/>
      <c r="AF26" s="142"/>
      <c r="AG26" s="142" t="s">
        <v>64</v>
      </c>
      <c r="AH26" s="142"/>
      <c r="AI26" s="142"/>
      <c r="AJ26" s="142" t="s">
        <v>65</v>
      </c>
      <c r="AK26" s="142"/>
      <c r="AL26" s="142"/>
      <c r="AM26" s="142" t="s">
        <v>66</v>
      </c>
      <c r="AN26" s="142"/>
      <c r="AO26" s="142"/>
    </row>
    <row r="27" spans="2:42" x14ac:dyDescent="0.3">
      <c r="B27" s="25"/>
      <c r="C27" s="60" t="s">
        <v>58</v>
      </c>
      <c r="D27" s="60" t="s">
        <v>59</v>
      </c>
      <c r="E27" s="60" t="s">
        <v>90</v>
      </c>
      <c r="F27" s="60" t="s">
        <v>7</v>
      </c>
      <c r="G27" s="60" t="s">
        <v>8</v>
      </c>
      <c r="H27" s="60" t="s">
        <v>89</v>
      </c>
      <c r="I27" s="57" t="s">
        <v>40</v>
      </c>
      <c r="J27" s="57" t="s">
        <v>41</v>
      </c>
      <c r="K27" s="57" t="s">
        <v>88</v>
      </c>
      <c r="L27" s="60" t="s">
        <v>40</v>
      </c>
      <c r="M27" s="60" t="s">
        <v>41</v>
      </c>
      <c r="N27" s="60" t="s">
        <v>88</v>
      </c>
      <c r="O27" s="60" t="s">
        <v>40</v>
      </c>
      <c r="P27" s="60" t="s">
        <v>41</v>
      </c>
      <c r="Q27" s="60" t="s">
        <v>88</v>
      </c>
      <c r="R27" s="60" t="s">
        <v>40</v>
      </c>
      <c r="S27" s="60" t="s">
        <v>41</v>
      </c>
      <c r="T27" s="60" t="s">
        <v>88</v>
      </c>
      <c r="U27" s="60" t="s">
        <v>40</v>
      </c>
      <c r="V27" s="60" t="s">
        <v>41</v>
      </c>
      <c r="W27" s="60" t="s">
        <v>88</v>
      </c>
      <c r="X27" s="60" t="s">
        <v>40</v>
      </c>
      <c r="Y27" s="60" t="s">
        <v>41</v>
      </c>
      <c r="Z27" s="60" t="s">
        <v>88</v>
      </c>
      <c r="AA27" s="60" t="s">
        <v>40</v>
      </c>
      <c r="AB27" s="60" t="s">
        <v>41</v>
      </c>
      <c r="AC27" s="60" t="s">
        <v>88</v>
      </c>
      <c r="AD27" s="60" t="s">
        <v>40</v>
      </c>
      <c r="AE27" s="60" t="s">
        <v>41</v>
      </c>
      <c r="AF27" s="60" t="s">
        <v>88</v>
      </c>
      <c r="AG27" s="60" t="s">
        <v>40</v>
      </c>
      <c r="AH27" s="60" t="s">
        <v>41</v>
      </c>
      <c r="AI27" s="60" t="s">
        <v>88</v>
      </c>
      <c r="AJ27" s="60" t="s">
        <v>40</v>
      </c>
      <c r="AK27" s="60" t="s">
        <v>41</v>
      </c>
      <c r="AL27" s="60" t="s">
        <v>88</v>
      </c>
      <c r="AM27" s="60" t="s">
        <v>40</v>
      </c>
      <c r="AN27" s="60" t="s">
        <v>41</v>
      </c>
      <c r="AO27" s="60" t="s">
        <v>88</v>
      </c>
    </row>
    <row r="28" spans="2:42" x14ac:dyDescent="0.3">
      <c r="B28" s="105" t="s">
        <v>55</v>
      </c>
      <c r="C28" s="32">
        <f>IF(Body1Actif=TRUE,(C16+F16*BaseTemps+I28*BaseTemps^2),0)</f>
        <v>-19577.722850807586</v>
      </c>
      <c r="D28" s="32">
        <f>IF(Body1Actif=TRUE,(D16+G16*BaseTemps+J28*BaseTemps^2),0)</f>
        <v>62478.64794245654</v>
      </c>
      <c r="E28" s="32">
        <f>IF(Body1Actif=TRUE,(E16+H16*BaseTemps+K28*BaseTemps^2),0)</f>
        <v>86334.427525959763</v>
      </c>
      <c r="F28" s="32">
        <f>IF(Body1Actif=TRUE,(F16+I28*BaseTemps),0)</f>
        <v>324.38171588738373</v>
      </c>
      <c r="G28" s="32">
        <f>IF(Body1Actif=TRUE,(G16+J28*BaseTemps),0)</f>
        <v>1777.629107545486</v>
      </c>
      <c r="H28" s="49">
        <f>IF(Body1Actif=TRUE,(H16+K28*BaseTemps),0)</f>
        <v>685.53993425430042</v>
      </c>
      <c r="I28" s="32">
        <f>IF(Body1Actif=TRUE,(SUM(L28,O28,R28,U28,X28,AA28,AD28,AG28,AJ28,AM28,I16)),0)</f>
        <v>63.50626817817917</v>
      </c>
      <c r="J28" s="32">
        <f>IF(Body1Actif=TRUE,(SUM(M28,P28,S28,V28,Y28,AB28,AE28,AH28,AK28,AN28,J16)),0)</f>
        <v>-81.820774527292429</v>
      </c>
      <c r="K28" s="32">
        <f>IF(Body1Actif=TRUE,(SUM(N28,Q28,T28,W28,Z28,AC28,AF28,AI28,AL28,AO28,K16)),0)</f>
        <v>-196.87462499271365</v>
      </c>
      <c r="L28" s="42">
        <v>0</v>
      </c>
      <c r="M28" s="42">
        <v>0</v>
      </c>
      <c r="N28" s="42">
        <v>0</v>
      </c>
      <c r="O28" s="33">
        <f>IF(Body2Actif=TRUE,('Valeurs Initiales'!$Q$4*((($C$17-$C16)/(($C$17-$C16)^2+($D$17-$D16)^2+($E$17-$E16)^2+'Valeurs Initiales'!$R$4^2)^(3/2)))),0)</f>
        <v>28.708630745340365</v>
      </c>
      <c r="P28" s="33">
        <f>IF(Body2Actif=TRUE,('Valeurs Initiales'!$Q$4*((($D$17-$D16)/(($C$17-$C16)^2+($D$17-$D16)^2+($E$17-$E16)^2+'Valeurs Initiales'!$R$4^2)^(3/2)))),0)</f>
        <v>-57.156225417668423</v>
      </c>
      <c r="Q28" s="33">
        <f>IF(Body2Actif=TRUE,('Valeurs Initiales'!$Q$4*((($E$17-$E16)/(($C$17-$C16)^2+($D$17-$D16)^2+($E$17-$E16)^2+'Valeurs Initiales'!$R$4^2)^(3/2)))),0)</f>
        <v>-71.875060873901489</v>
      </c>
      <c r="R28" s="33">
        <f>IF(Body3Actif=TRUE,('Valeurs Initiales'!$Q$5*((($C$18-$C16)/(($C$18-$C16)^2+($D$18-$D16)^2+($E$18-$E16)^2+'Valeurs Initiales'!$R$5^2)^(3/2)))),0)</f>
        <v>0.65659985253473085</v>
      </c>
      <c r="S28" s="33">
        <f>IF(Body3Actif=TRUE,('Valeurs Initiales'!$Q$5*((($D$18-$D16)/(($C$18-$C16)^2+($D$18-$D16)^2+($E$18-$E16)^2+'Valeurs Initiales'!$R$5^2)^(3/2)))),0)</f>
        <v>0.43973229327853214</v>
      </c>
      <c r="T28" s="33">
        <f>IF(Body3Actif=TRUE,('Valeurs Initiales'!$Q$5*((($E$18-$E16)/(($C$18-$C16)^2+($D$18-$D16)^2+($E$18-$E16)^2+'Valeurs Initiales'!$R$5^2)^(3/2)))),0)</f>
        <v>-2.0313012287701602</v>
      </c>
      <c r="U28" s="33">
        <f>IF(Body4Actif=TRUE,('Valeurs Initiales'!$Q$6*((($C$19-$C16)/(($C$19-$C16)^2+($D$19-$D16)^2+($E$19-$E16)^2+'Valeurs Initiales'!$R$6^2)^(3/2)))),0)</f>
        <v>-0.24177754826165596</v>
      </c>
      <c r="V28" s="33">
        <f>IF(Body4Actif=TRUE,('Valeurs Initiales'!$Q$6*((($D$19-$D16)/(($C$19-$C16)^2+($D$19-$D16)^2+($E$19-$E16)^2+'Valeurs Initiales'!$R$6^2)^(3/2)))),0)</f>
        <v>-1.9508535244640717</v>
      </c>
      <c r="W28" s="33">
        <f>IF(Body4Actif=TRUE,('Valeurs Initiales'!$Q$6*((($E$19-$E16)/(($C$19-$C16)^2+($D$19-$D16)^2+($E$19-$E16)^2+'Valeurs Initiales'!$R$6^2)^(3/2)))),0)</f>
        <v>-3.9944490140993523</v>
      </c>
      <c r="X28" s="33">
        <f>IF(Body5Actif=TRUE,('Valeurs Initiales'!$Q$7*((($C$20-$C16)/(($C$20-$C16)^2+($D$20-$D16)^2+($E$20-$E16)^2+'Valeurs Initiales'!$R$7^2)^(3/2)))),0)</f>
        <v>3.0808333141237876</v>
      </c>
      <c r="Y28" s="33">
        <f>IF(Body5Actif=TRUE,('Valeurs Initiales'!$Q$7*((($D$20-$D16)/(($C$20-$C16)^2+($D$20-$D16)^2+($E$20-$E16)^2+'Valeurs Initiales'!$R$7^2)^(3/2)))),0)</f>
        <v>-10.444755984084214</v>
      </c>
      <c r="Z28" s="33">
        <f>IF(Body5Actif=TRUE,('Valeurs Initiales'!$Q$7*((($E$20-$E16)/(($C$20-$C16)^2+($D$20-$D16)^2+($E$20-$E16)^2+'Valeurs Initiales'!$R$7^2)^(3/2)))),0)</f>
        <v>-17.011717997969434</v>
      </c>
      <c r="AA28" s="33">
        <f>IF(Body6Actif=TRUE,('Valeurs Initiales'!$Q$8*((($C$21-$C16)/(($C$21-$C16)^2+($D$21-$D16)^2+($E$21-$E16)^2+'Valeurs Initiales'!$R$8^2)^(3/2)))),0)</f>
        <v>125.07699065970984</v>
      </c>
      <c r="AB28" s="33">
        <f>IF(Body6Actif=TRUE,('Valeurs Initiales'!$Q$8*((($D$21-$D16)/(($C$21-$C16)^2+($D$21-$D16)^2+($E$21-$E16)^2+'Valeurs Initiales'!$R$8^2)^(3/2)))),0)</f>
        <v>-15.358238817326695</v>
      </c>
      <c r="AC28" s="33">
        <f>IF(Body6Actif=TRUE,('Valeurs Initiales'!$Q$8*((($E$21-$E16)/(($C$21-$C16)^2+($D$21-$D16)^2+($E$21-$E16)^2+'Valeurs Initiales'!$R$8^2)^(3/2)))),0)</f>
        <v>-60.295949763555342</v>
      </c>
      <c r="AD28" s="33">
        <f>IF(Body7Actif=TRUE,('Valeurs Initiales'!$Q$9*((($C$22-$C16)/(($C$22-$C16)^2+($D$22-$D16)^2+($E$22-$E16)^2+'Valeurs Initiales'!$R$9^2)^(3/2)))),0)</f>
        <v>-10.593733960064405</v>
      </c>
      <c r="AE28" s="33">
        <f>IF(Body7Actif=TRUE,('Valeurs Initiales'!$Q$9*((($D$22-$D16)/(($C$22-$C16)^2+($D$22-$D16)^2+($E$22-$E16)^2+'Valeurs Initiales'!$R$9^2)^(3/2)))),0)</f>
        <v>-26.356228379546057</v>
      </c>
      <c r="AF28" s="33">
        <f>IF(Body7Actif=TRUE,('Valeurs Initiales'!$Q$9*((($E$22-$E16)/(($C$22-$C16)^2+($D$22-$D16)^2+($E$22-$E16)^2+'Valeurs Initiales'!$R$9^2)^(3/2)))),0)</f>
        <v>-6.7840338870225034</v>
      </c>
      <c r="AG28" s="33">
        <f>IF(Body8Actif=TRUE,('Valeurs Initiales'!$Q$10*((($C$23-$C16)/(($C$23-$C16)^2+($D$23-$D16)^2+($E$23-$E16)^2+'Valeurs Initiales'!$R$10^2)^(3/2)))),0)</f>
        <v>0.73183968602502136</v>
      </c>
      <c r="AH28" s="33">
        <f>IF(Body8Actif=TRUE,('Valeurs Initiales'!$Q$10*((($D$23-$D16)/(($C$23-$C16)^2+($D$23-$D16)^2+($E$23-$E16)^2+'Valeurs Initiales'!$R$10^2)^(3/2)))),0)</f>
        <v>-0.37235966957482142</v>
      </c>
      <c r="AI28" s="33">
        <f>IF(Body8Actif=TRUE,('Valeurs Initiales'!$Q$10*((($E$23-$E16)/(($C$23-$C16)^2+($D$23-$D16)^2+($E$23-$E16)^2+'Valeurs Initiales'!$R$10^2)^(3/2)))),0)</f>
        <v>-1.0174724435473832</v>
      </c>
      <c r="AJ28" s="33">
        <f>IF(Body9Actif=TRUE,('Valeurs Initiales'!$Q$11*((($C$24-$C16)/(($C$24-$C16)^2+($D$24-$D16)^2+($E$24-$E16)^2+'Valeurs Initiales'!$R$11^2)^(3/2)))),0)</f>
        <v>-9.3048133541789362</v>
      </c>
      <c r="AK28" s="33">
        <f>IF(Body9Actif=TRUE,('Valeurs Initiales'!$Q$11*((($D$24-$D16)/(($C$24-$C16)^2+($D$24-$D16)^2+($E$24-$E16)^2+'Valeurs Initiales'!$R$11^2)^(3/2)))),0)</f>
        <v>-6.1676871621440803</v>
      </c>
      <c r="AL28" s="33">
        <f>IF(Body9Actif=TRUE,('Valeurs Initiales'!$Q$11*((($E$24-$E16)/(($C$24-$C16)^2+($D$24-$D16)^2+($E$24-$E16)^2+'Valeurs Initiales'!$R$11^2)^(3/2)))),0)</f>
        <v>1.1592020812349912</v>
      </c>
      <c r="AM28" s="33">
        <f>IF(Body10Actif=TRUE,('Valeurs Initiales'!$Q$12*((($C$25-$C16)/(($C$25-$C16)^2+($D$25-$D16)^2+($E$25-$E16)^2+'Valeurs Initiales'!$R$12^2)^(3/2)))),0)</f>
        <v>-74.608301217049558</v>
      </c>
      <c r="AN28" s="33">
        <f>IF(Body10Actif=TRUE,('Valeurs Initiales'!$Q$12*((($D$25-$D16)/(($C$25-$C16)^2+($D$25-$D16)^2+($E$25-$E16)^2+'Valeurs Initiales'!$R$12^2)^(3/2)))),0)</f>
        <v>35.545842134237397</v>
      </c>
      <c r="AO28" s="34">
        <f>IF(Body10Actif=TRUE,('Valeurs Initiales'!$Q$12*((($E$25-$E16)/(($C$25-$C16)^2+($D$25-$D16)^2+($E$25-$E16)^2+'Valeurs Initiales'!$R$12^2)^(3/2)))),0)</f>
        <v>-35.023841865082971</v>
      </c>
      <c r="AP28" s="151" t="s">
        <v>112</v>
      </c>
    </row>
    <row r="29" spans="2:42" x14ac:dyDescent="0.3">
      <c r="B29" s="105" t="s">
        <v>56</v>
      </c>
      <c r="C29" s="35">
        <f>IF(Body2Actif=TRUE,(C17+F17*BaseTemps+I29*BaseTemps^2),0)</f>
        <v>8383.9374494988897</v>
      </c>
      <c r="D29" s="35">
        <f>IF(Body2Actif=TRUE,(D17+G17*BaseTemps+J29*BaseTemps^2),0)</f>
        <v>6553.5994671325316</v>
      </c>
      <c r="E29" s="35">
        <f>IF(Body2Actif=TRUE,(E17+H17*BaseTemps+K29*BaseTemps^2),0)</f>
        <v>16396.907773797127</v>
      </c>
      <c r="F29" s="35">
        <f>IF(Body2Actif=TRUE,(F17+I29*BaseTemps),0)</f>
        <v>145.02517047557046</v>
      </c>
      <c r="G29" s="35">
        <f>IF(Body2Actif=TRUE,(G17+J29*BaseTemps),0)</f>
        <v>1622.7672914858836</v>
      </c>
      <c r="H29" s="36">
        <f>IF(Body2Actif=TRUE,(H17+K29*BaseTemps),0)</f>
        <v>1269.4227250600893</v>
      </c>
      <c r="I29" s="35">
        <f>IF(Body2Actif=TRUE,(SUM(L29,O29,R29,U29,X29,AA29,AD29,AG29,AJ29,AM29,I17)),0)</f>
        <v>-142.36470791297714</v>
      </c>
      <c r="J29" s="35">
        <f>IF(Body2Actif=TRUE,(SUM(M29,P29,S29,V29,Y29,AB29,AE29,AH29,AK29,AN29,J17)),0)</f>
        <v>62.539800392113676</v>
      </c>
      <c r="K29" s="35">
        <f>IF(Body2Actif=TRUE,(SUM(N29,Q29,T29,W29,Z29,AC29,AF29,AI29,AL29,AO29,K17)),0)</f>
        <v>-248.5367626968918</v>
      </c>
      <c r="L29" s="37">
        <f>IF(Body1Actif=TRUE,('Valeurs Initiales'!$Q$3*((($C$16-$C17)/(($C$16-$C17)^2+($D$16-$D17)^2+($E$16-$E17)^2+'Valeurs Initiales'!$R$3^2)^(3/2)))),0)</f>
        <v>-0.48742863590722568</v>
      </c>
      <c r="M29" s="37">
        <f>IF(Body1Actif=TRUE,('Valeurs Initiales'!$Q$3*((($D$16-$D17)/(($C$16-$C17)^2+($D$16-$D17)^2+($E$16-$E17)^2+'Valeurs Initiales'!$R$3^2)^(3/2)))),0)</f>
        <v>0.97042527858845551</v>
      </c>
      <c r="N29" s="37">
        <f>IF(Body1Actif=TRUE,('Valeurs Initiales'!$Q$3*((($E$16-$E17)/(($C$16-$C17)^2+($D$16-$D17)^2+($E$16-$E17)^2+'Valeurs Initiales'!$R$3^2)^(3/2)))),0)</f>
        <v>1.2203285899729266</v>
      </c>
      <c r="O29" s="28">
        <v>0</v>
      </c>
      <c r="P29" s="28">
        <v>0</v>
      </c>
      <c r="Q29" s="28">
        <v>0</v>
      </c>
      <c r="R29" s="37">
        <f>IF(Body3Actif=TRUE,('Valeurs Initiales'!$Q$5*((($C$18-$C17)/(($C$18-$C17)^2+($D$18-$D17)^2+($E$18-$E17)^2+'Valeurs Initiales'!$R$5^2)^(3/2)))),0)</f>
        <v>0.73736442373090783</v>
      </c>
      <c r="S29" s="37">
        <f>IF(Body3Actif=TRUE,('Valeurs Initiales'!$Q$5*((($D$18-$D17)/(($C$18-$C17)^2+($D$18-$D17)^2+($E$18-$E17)^2+'Valeurs Initiales'!$R$5^2)^(3/2)))),0)</f>
        <v>2.4697405212006829</v>
      </c>
      <c r="T29" s="37">
        <f>IF(Body3Actif=TRUE,('Valeurs Initiales'!$Q$5*((($E$18-$E17)/(($C$18-$C17)^2+($D$18-$D17)^2+($E$18-$E17)^2+'Valeurs Initiales'!$R$5^2)^(3/2)))),0)</f>
        <v>-2.7193720609915952</v>
      </c>
      <c r="U29" s="37">
        <f>IF(Body4Actif=TRUE,('Valeurs Initiales'!$Q$6*((($C$19-$C17)/(($C$19-$C17)^2+($D$19-$D17)^2+($E$19-$E17)^2+'Valeurs Initiales'!$R$6^2)^(3/2)))),0)</f>
        <v>-4.382631263121489</v>
      </c>
      <c r="V29" s="37">
        <f>IF(Body4Actif=TRUE,('Valeurs Initiales'!$Q$6*((($D$19-$D17)/(($C$19-$C17)^2+($D$19-$D17)^2+($E$19-$E17)^2+'Valeurs Initiales'!$R$6^2)^(3/2)))),0)</f>
        <v>-3.2448758988477757</v>
      </c>
      <c r="W29" s="37">
        <f>IF(Body4Actif=TRUE,('Valeurs Initiales'!$Q$6*((($E$19-$E17)/(($C$19-$C17)^2+($D$19-$D17)^2+($E$19-$E17)^2+'Valeurs Initiales'!$R$6^2)^(3/2)))),0)</f>
        <v>-11.665678988906391</v>
      </c>
      <c r="X29" s="37">
        <f>IF(Body5Actif=TRUE,('Valeurs Initiales'!$Q$7*((($C$20-$C17)/(($C$20-$C17)^2+($D$20-$D17)^2+($E$20-$E17)^2+'Valeurs Initiales'!$R$7^2)^(3/2)))),0)</f>
        <v>-166.15766986591146</v>
      </c>
      <c r="Y29" s="37">
        <f>IF(Body5Actif=TRUE,('Valeurs Initiales'!$Q$7*((($D$20-$D17)/(($C$20-$C17)^2+($D$20-$D17)^2+($E$20-$E17)^2+'Valeurs Initiales'!$R$7^2)^(3/2)))),0)</f>
        <v>-16.497618353552191</v>
      </c>
      <c r="Z29" s="37">
        <f>IF(Body5Actif=TRUE,('Valeurs Initiales'!$Q$7*((($E$20-$E17)/(($C$20-$C17)^2+($D$20-$D17)^2+($E$20-$E17)^2+'Valeurs Initiales'!$R$7^2)^(3/2)))),0)</f>
        <v>-333.09591304270282</v>
      </c>
      <c r="AA29" s="37">
        <f>IF(Body6Actif=TRUE,('Valeurs Initiales'!$Q$8*((($C$21-$C17)/(($C$21-$C17)^2+($D$21-$D17)^2+($E$21-$E17)^2+'Valeurs Initiales'!$R$8^2)^(3/2)))),0)</f>
        <v>73.911356437903578</v>
      </c>
      <c r="AB29" s="37">
        <f>IF(Body6Actif=TRUE,('Valeurs Initiales'!$Q$8*((($D$21-$D17)/(($C$21-$C17)^2+($D$21-$D17)^2+($E$21-$E17)^2+'Valeurs Initiales'!$R$8^2)^(3/2)))),0)</f>
        <v>95.198201968493194</v>
      </c>
      <c r="AC29" s="37">
        <f>IF(Body6Actif=TRUE,('Valeurs Initiales'!$Q$8*((($E$21-$E17)/(($C$21-$C17)^2+($D$21-$D17)^2+($E$21-$E17)^2+'Valeurs Initiales'!$R$8^2)^(3/2)))),0)</f>
        <v>77.206658493859763</v>
      </c>
      <c r="AD29" s="37">
        <f>IF(Body7Actif=TRUE,('Valeurs Initiales'!$Q$9*((($C$22-$C17)/(($C$22-$C17)^2+($D$22-$D17)^2+($E$22-$E17)^2+'Valeurs Initiales'!$R$9^2)^(3/2)))),0)</f>
        <v>-30.70796604580007</v>
      </c>
      <c r="AE29" s="37">
        <f>IF(Body7Actif=TRUE,('Valeurs Initiales'!$Q$9*((($D$22-$D17)/(($C$22-$C17)^2+($D$22-$D17)^2+($E$22-$E17)^2+'Valeurs Initiales'!$R$9^2)^(3/2)))),0)</f>
        <v>-31.744202140448454</v>
      </c>
      <c r="AF29" s="37">
        <f>IF(Body7Actif=TRUE,('Valeurs Initiales'!$Q$9*((($E$22-$E17)/(($C$22-$C17)^2+($D$22-$D17)^2+($E$22-$E17)^2+'Valeurs Initiales'!$R$9^2)^(3/2)))),0)</f>
        <v>11.681136526387029</v>
      </c>
      <c r="AG29" s="37">
        <f>IF(Body8Actif=TRUE,('Valeurs Initiales'!$Q$10*((($C$23-$C17)/(($C$23-$C17)^2+($D$23-$D17)^2+($E$23-$E17)^2+'Valeurs Initiales'!$R$10^2)^(3/2)))),0)</f>
        <v>3.461909500556537</v>
      </c>
      <c r="AH29" s="37">
        <f>IF(Body8Actif=TRUE,('Valeurs Initiales'!$Q$10*((($D$23-$D17)/(($C$23-$C17)^2+($D$23-$D17)^2+($E$23-$E17)^2+'Valeurs Initiales'!$R$10^2)^(3/2)))),0)</f>
        <v>0.48095836510405321</v>
      </c>
      <c r="AI29" s="37">
        <f>IF(Body8Actif=TRUE,('Valeurs Initiales'!$Q$10*((($E$23-$E17)/(($C$23-$C17)^2+($D$23-$D17)^2+($E$23-$E17)^2+'Valeurs Initiales'!$R$10^2)^(3/2)))),0)</f>
        <v>-3.1286736773937913</v>
      </c>
      <c r="AJ29" s="37">
        <f>IF(Body9Actif=TRUE,('Valeurs Initiales'!$Q$11*((($C$24-$C17)/(($C$24-$C17)^2+($D$24-$D17)^2+($E$24-$E17)^2+'Valeurs Initiales'!$R$11^2)^(3/2)))),0)</f>
        <v>-4.3625216072791106</v>
      </c>
      <c r="AK29" s="37">
        <f>IF(Body9Actif=TRUE,('Valeurs Initiales'!$Q$11*((($D$24-$D17)/(($C$24-$C17)^2+($D$24-$D17)^2+($E$24-$E17)^2+'Valeurs Initiales'!$R$11^2)^(3/2)))),0)</f>
        <v>0.22440327871827559</v>
      </c>
      <c r="AL29" s="37">
        <f>IF(Body9Actif=TRUE,('Valeurs Initiales'!$Q$11*((($E$24-$E17)/(($C$24-$C17)^2+($D$24-$D17)^2+($E$24-$E17)^2+'Valeurs Initiales'!$R$11^2)^(3/2)))),0)</f>
        <v>3.3369866821489653</v>
      </c>
      <c r="AM29" s="37">
        <f>IF(Body10Actif=TRUE,('Valeurs Initiales'!$Q$12*((($C$25-$C17)/(($C$25-$C17)^2+($D$25-$D17)^2+($E$25-$E17)^2+'Valeurs Initiales'!$R$12^2)^(3/2)))),0)</f>
        <v>-14.377120857148821</v>
      </c>
      <c r="AN29" s="37">
        <f>IF(Body10Actif=TRUE,('Valeurs Initiales'!$Q$12*((($D$25-$D17)/(($C$25-$C17)^2+($D$25-$D17)^2+($E$25-$E17)^2+'Valeurs Initiales'!$R$12^2)^(3/2)))),0)</f>
        <v>14.682767372857437</v>
      </c>
      <c r="AO29" s="38">
        <f>IF(Body10Actif=TRUE,('Valeurs Initiales'!$Q$12*((($E$25-$E17)/(($C$25-$C17)^2+($D$25-$D17)^2+($E$25-$E17)^2+'Valeurs Initiales'!$R$12^2)^(3/2)))),0)</f>
        <v>8.6277647807341307</v>
      </c>
      <c r="AP29" s="151"/>
    </row>
    <row r="30" spans="2:42" x14ac:dyDescent="0.3">
      <c r="B30" s="105" t="s">
        <v>57</v>
      </c>
      <c r="C30" s="35">
        <f>IF(Body3Actif=TRUE,(C18+F18*BaseTemps+I30*BaseTemps^2),0)</f>
        <v>36312.882679783157</v>
      </c>
      <c r="D30" s="35">
        <f>IF(Body3Actif=TRUE,(D18+G18*BaseTemps+J30*BaseTemps^2),0)</f>
        <v>98834.602411532527</v>
      </c>
      <c r="E30" s="35">
        <f>IF(Body3Actif=TRUE,(E18+H18*BaseTemps+K30*BaseTemps^2),0)</f>
        <v>-86563.360140439574</v>
      </c>
      <c r="F30" s="35">
        <f>IF(Body3Actif=TRUE,(F18+I30*BaseTemps),0)</f>
        <v>299.83778096401164</v>
      </c>
      <c r="G30" s="35">
        <f>IF(Body3Actif=TRUE,(G18+J30*BaseTemps),0)</f>
        <v>-388.03138472569032</v>
      </c>
      <c r="H30" s="36">
        <f>IF(Body3Actif=TRUE,(H18+K30*BaseTemps),0)</f>
        <v>779.72779653683676</v>
      </c>
      <c r="I30" s="35">
        <f>IF(Body3Actif=TRUE,(SUM(L30,O30,R30,U30,X30,AA30,AD30,AG30,AJ30,AM30,I18)),0)</f>
        <v>-25.37508280095259</v>
      </c>
      <c r="J30" s="35">
        <f>IF(Body3Actif=TRUE,(SUM(M30,P30,S30,V30,Y30,AB30,AE30,AH30,AK30,AN30,J18)),0)</f>
        <v>-69.014145234540734</v>
      </c>
      <c r="K30" s="35">
        <f>IF(Body3Actif=TRUE,(SUM(N30,Q30,T30,W30,Z30,AC30,AF30,AI30,AL30,AO30,K18)),0)</f>
        <v>89.046299356691776</v>
      </c>
      <c r="L30" s="37">
        <f>IF(Body1Actif=TRUE,('Valeurs Initiales'!$Q$3*((($C$16-$C18)/(($C$16-$C18)^2+($D$16-$D18)^2+($E$16-$E18)^2+'Valeurs Initiales'!$R$3^2)^(3/2)))),0)</f>
        <v>-0.12633267075317231</v>
      </c>
      <c r="M30" s="37">
        <f>IF(Body1Actif=TRUE,('Valeurs Initiales'!$Q$3*((($D$16-$D18)/(($C$16-$C18)^2+($D$16-$D18)^2+($E$16-$E18)^2+'Valeurs Initiales'!$R$3^2)^(3/2)))),0)</f>
        <v>-8.4606408015231407E-2</v>
      </c>
      <c r="N30" s="37">
        <f>IF(Body1Actif=TRUE,('Valeurs Initiales'!$Q$3*((($E$16-$E18)/(($C$16-$C18)^2+($D$16-$D18)^2+($E$16-$E18)^2+'Valeurs Initiales'!$R$3^2)^(3/2)))),0)</f>
        <v>0.39083120159726364</v>
      </c>
      <c r="O30" s="37">
        <f>IF(Body2Actif=TRUE,('Valeurs Initiales'!$Q$4*((($C$17-$C18)/(($C$17-$C18)^2+($D$17-$D18)^2+($E$17-$E18)^2+'Valeurs Initiales'!$R$4^2)^(3/2)))),0)</f>
        <v>-8.3828314275376066</v>
      </c>
      <c r="P30" s="37">
        <f>IF(Body2Actif=TRUE,('Valeurs Initiales'!$Q$4*((($D$17-$D18)/(($C$17-$C18)^2+($D$17-$D18)^2+($E$17-$E18)^2+'Valeurs Initiales'!$R$4^2)^(3/2)))),0)</f>
        <v>-28.07759337537507</v>
      </c>
      <c r="Q30" s="37">
        <f>IF(Body2Actif=TRUE,('Valeurs Initiales'!$Q$4*((($E$17-$E18)/(($C$17-$C18)^2+($D$17-$D18)^2+($E$17-$E18)^2+'Valeurs Initiales'!$R$4^2)^(3/2)))),0)</f>
        <v>30.915564736233041</v>
      </c>
      <c r="R30" s="28">
        <v>0</v>
      </c>
      <c r="S30" s="28">
        <v>0</v>
      </c>
      <c r="T30" s="28">
        <v>0</v>
      </c>
      <c r="U30" s="37">
        <f>IF(Body4Actif=TRUE,('Valeurs Initiales'!$Q$6*((($C$19-$C18)/(($C$19-$C18)^2+($D$19-$D18)^2+($E$19-$E18)^2+'Valeurs Initiales'!$R$6^2)^(3/2)))),0)</f>
        <v>-4.1013065623463794</v>
      </c>
      <c r="V30" s="37">
        <f>IF(Body4Actif=TRUE,('Valeurs Initiales'!$Q$6*((($D$19-$D18)/(($C$19-$C18)^2+($D$19-$D18)^2+($E$19-$E18)^2+'Valeurs Initiales'!$R$6^2)^(3/2)))),0)</f>
        <v>-7.5277417830043376</v>
      </c>
      <c r="W30" s="37">
        <f>IF(Body4Actif=TRUE,('Valeurs Initiales'!$Q$6*((($E$19-$E18)/(($C$19-$C18)^2+($D$19-$D18)^2+($E$19-$E18)^2+'Valeurs Initiales'!$R$6^2)^(3/2)))),0)</f>
        <v>1.3595163706738215E-2</v>
      </c>
      <c r="X30" s="37">
        <f>IF(Body5Actif=TRUE,('Valeurs Initiales'!$Q$7*((($C$20-$C18)/(($C$20-$C18)^2+($D$20-$D18)^2+($E$20-$E18)^2+'Valeurs Initiales'!$R$7^2)^(3/2)))),0)</f>
        <v>-4.3774094778116588</v>
      </c>
      <c r="Y30" s="37">
        <f>IF(Body5Actif=TRUE,('Valeurs Initiales'!$Q$7*((($D$20-$D18)/(($C$20-$C18)^2+($D$20-$D18)^2+($E$20-$E18)^2+'Valeurs Initiales'!$R$7^2)^(3/2)))),0)</f>
        <v>-10.568746139669376</v>
      </c>
      <c r="Z30" s="37">
        <f>IF(Body5Actif=TRUE,('Valeurs Initiales'!$Q$7*((($E$20-$E18)/(($C$20-$C18)^2+($D$20-$D18)^2+($E$20-$E18)^2+'Valeurs Initiales'!$R$7^2)^(3/2)))),0)</f>
        <v>8.9747162768910602</v>
      </c>
      <c r="AA30" s="37">
        <f>IF(Body6Actif=TRUE,('Valeurs Initiales'!$Q$8*((($C$21-$C18)/(($C$21-$C18)^2+($D$21-$D18)^2+($E$21-$E18)^2+'Valeurs Initiales'!$R$8^2)^(3/2)))),0)</f>
        <v>2.0983208112409795</v>
      </c>
      <c r="AB30" s="37">
        <f>IF(Body6Actif=TRUE,('Valeurs Initiales'!$Q$8*((($D$21-$D18)/(($C$21-$C18)^2+($D$21-$D18)^2+($E$21-$E18)^2+'Valeurs Initiales'!$R$8^2)^(3/2)))),0)</f>
        <v>-10.261232596779699</v>
      </c>
      <c r="AC30" s="37">
        <f>IF(Body6Actif=TRUE,('Valeurs Initiales'!$Q$8*((($E$21-$E18)/(($C$21-$C18)^2+($D$21-$D18)^2+($E$21-$E18)^2+'Valeurs Initiales'!$R$8^2)^(3/2)))),0)</f>
        <v>31.95408866368658</v>
      </c>
      <c r="AD30" s="37">
        <f>IF(Body7Actif=TRUE,('Valeurs Initiales'!$Q$9*((($C$22-$C18)/(($C$22-$C18)^2+($D$22-$D18)^2+($E$22-$E18)^2+'Valeurs Initiales'!$R$9^2)^(3/2)))),0)</f>
        <v>-5.2417954582278661</v>
      </c>
      <c r="AE30" s="37">
        <f>IF(Body7Actif=TRUE,('Valeurs Initiales'!$Q$9*((($D$22-$D18)/(($C$22-$C18)^2+($D$22-$D18)^2+($E$22-$E18)^2+'Valeurs Initiales'!$R$9^2)^(3/2)))),0)</f>
        <v>-8.3777251811771052</v>
      </c>
      <c r="AF30" s="37">
        <f>IF(Body7Actif=TRUE,('Valeurs Initiales'!$Q$9*((($E$22-$E18)/(($C$22-$C18)^2+($D$22-$D18)^2+($E$22-$E18)^2+'Valeurs Initiales'!$R$9^2)^(3/2)))),0)</f>
        <v>6.2204750126519324</v>
      </c>
      <c r="AG30" s="37">
        <f>IF(Body8Actif=TRUE,('Valeurs Initiales'!$Q$10*((($C$23-$C18)/(($C$23-$C18)^2+($D$23-$D18)^2+($E$23-$E18)^2+'Valeurs Initiales'!$R$10^2)^(3/2)))),0)</f>
        <v>1.2094008870079052</v>
      </c>
      <c r="AH30" s="37">
        <f>IF(Body8Actif=TRUE,('Valeurs Initiales'!$Q$10*((($D$23-$D18)/(($C$23-$C18)^2+($D$23-$D18)^2+($E$23-$E18)^2+'Valeurs Initiales'!$R$10^2)^(3/2)))),0)</f>
        <v>-2.8082417990257138</v>
      </c>
      <c r="AI30" s="37">
        <f>IF(Body8Actif=TRUE,('Valeurs Initiales'!$Q$10*((($E$23-$E18)/(($C$23-$C18)^2+($D$23-$D18)^2+($E$23-$E18)^2+'Valeurs Initiales'!$R$10^2)^(3/2)))),0)</f>
        <v>1.4881066951384363</v>
      </c>
      <c r="AJ30" s="37">
        <f>IF(Body9Actif=TRUE,('Valeurs Initiales'!$Q$11*((($C$24-$C18)/(($C$24-$C18)^2+($D$24-$D18)^2+($E$24-$E18)^2+'Valeurs Initiales'!$R$11^2)^(3/2)))),0)</f>
        <v>-0.88628443231715726</v>
      </c>
      <c r="AK30" s="37">
        <f>IF(Body9Actif=TRUE,('Valeurs Initiales'!$Q$11*((($D$24-$D18)/(($C$24-$C18)^2+($D$24-$D18)^2+($E$24-$E18)^2+'Valeurs Initiales'!$R$11^2)^(3/2)))),0)</f>
        <v>-0.59004717043678767</v>
      </c>
      <c r="AL30" s="37">
        <f>IF(Body9Actif=TRUE,('Valeurs Initiales'!$Q$11*((($E$24-$E18)/(($C$24-$C18)^2+($D$24-$D18)^2+($E$24-$E18)^2+'Valeurs Initiales'!$R$11^2)^(3/2)))),0)</f>
        <v>1.2242687649135484</v>
      </c>
      <c r="AM30" s="37">
        <f>IF(Body10Actif=TRUE,('Valeurs Initiales'!$Q$12*((($C$25-$C18)/(($C$25-$C18)^2+($D$25-$D18)^2+($E$25-$E18)^2+'Valeurs Initiales'!$R$12^2)^(3/2)))),0)</f>
        <v>-5.5668444702076361</v>
      </c>
      <c r="AN30" s="37">
        <f>IF(Body10Actif=TRUE,('Valeurs Initiales'!$Q$12*((($D$25-$D18)/(($C$25-$C18)^2+($D$25-$D18)^2+($E$25-$E18)^2+'Valeurs Initiales'!$R$12^2)^(3/2)))),0)</f>
        <v>-0.71821078105742309</v>
      </c>
      <c r="AO30" s="38">
        <f>IF(Body10Actif=TRUE,('Valeurs Initiales'!$Q$12*((($E$25-$E18)/(($C$25-$C18)^2+($D$25-$D18)^2+($E$25-$E18)^2+'Valeurs Initiales'!$R$12^2)^(3/2)))),0)</f>
        <v>7.8646528418731769</v>
      </c>
      <c r="AP30" s="151"/>
    </row>
    <row r="31" spans="2:42" x14ac:dyDescent="0.3">
      <c r="B31" s="104" t="s">
        <v>60</v>
      </c>
      <c r="C31" s="35">
        <f>IF(Body4Actif=TRUE,(C19+F19*BaseTemps+I31*BaseTemps^2),0)</f>
        <v>-29445.878126872452</v>
      </c>
      <c r="D31" s="35">
        <f>IF(Body4Actif=TRUE,(D19+G19*BaseTemps+J31*BaseTemps^2),0)</f>
        <v>-23348.135528427931</v>
      </c>
      <c r="E31" s="35">
        <f>IF(Body4Actif=TRUE,(E19+H19*BaseTemps+K31*BaseTemps^2),0)</f>
        <v>-86323.82020148533</v>
      </c>
      <c r="F31" s="35">
        <f>IF(Body4Actif=TRUE,(F19+I31*BaseTemps),0)</f>
        <v>1497.5917345294563</v>
      </c>
      <c r="G31" s="35">
        <f>IF(Body4Actif=TRUE,(G19+J31*BaseTemps),0)</f>
        <v>-1161.2983086419745</v>
      </c>
      <c r="H31" s="36">
        <f>IF(Body4Actif=TRUE,(H19+K31*BaseTemps),0)</f>
        <v>818.87813728720744</v>
      </c>
      <c r="I31" s="35">
        <f>IF(Body4Actif=TRUE,(SUM(L31,O31,R31,U31,X31,AA31,AD31,AG31,AJ31,AM31,I19)),0)</f>
        <v>34.094072487036698</v>
      </c>
      <c r="J31" s="35">
        <f>IF(Body4Actif=TRUE,(SUM(M31,P31,S31,V31,Y31,AB31,AE31,AH31,AK31,AN31,J19)),0)</f>
        <v>34.505496983254538</v>
      </c>
      <c r="K31" s="35">
        <f>IF(Body4Actif=TRUE,(SUM(N31,Q31,T31,W31,Z31,AC31,AF31,AI31,AL31,AO31,K19)),0)</f>
        <v>144.91020274218818</v>
      </c>
      <c r="L31" s="37">
        <f>IF(Body1Actif=TRUE,('Valeurs Initiales'!$Q$3*((($C$16-$C19)/(($C$16-$C19)^2+($D$16-$D19)^2+($E$16-$E19)^2+'Valeurs Initiales'!$R$3^2)^(3/2)))),0)</f>
        <v>2.1163360588097101E-2</v>
      </c>
      <c r="M31" s="37">
        <f>IF(Body1Actif=TRUE,('Valeurs Initiales'!$Q$3*((($D$16-$D19)/(($C$16-$C19)^2+($D$16-$D19)^2+($E$16-$E19)^2+'Valeurs Initiales'!$R$3^2)^(3/2)))),0)</f>
        <v>0.1707628226427052</v>
      </c>
      <c r="N31" s="37">
        <f>IF(Body1Actif=TRUE,('Valeurs Initiales'!$Q$3*((($E$16-$E19)/(($C$16-$C19)^2+($D$16-$D19)^2+($E$16-$E19)^2+'Valeurs Initiales'!$R$3^2)^(3/2)))),0)</f>
        <v>0.34964356882578368</v>
      </c>
      <c r="O31" s="37">
        <f>IF(Body2Actif=TRUE,('Valeurs Initiales'!$Q$4*((($C$17-$C19)/(($C$17-$C19)^2+($D$17-$D19)^2+($E$17-$E19)^2+'Valeurs Initiales'!$R$4^2)^(3/2)))),0)</f>
        <v>22.649108851084453</v>
      </c>
      <c r="P31" s="37">
        <f>IF(Body2Actif=TRUE,('Valeurs Initiales'!$Q$4*((($D$17-$D19)/(($C$17-$C19)^2+($D$17-$D19)^2+($E$17-$E19)^2+'Valeurs Initiales'!$R$4^2)^(3/2)))),0)</f>
        <v>16.76927467288651</v>
      </c>
      <c r="Q31" s="37">
        <f>IF(Body2Actif=TRUE,('Valeurs Initiales'!$Q$4*((($E$17-$E19)/(($C$17-$C19)^2+($D$17-$D19)^2+($E$17-$E19)^2+'Valeurs Initiales'!$R$4^2)^(3/2)))),0)</f>
        <v>60.287351907712946</v>
      </c>
      <c r="R31" s="37">
        <f>IF(Body3Actif=TRUE,('Valeurs Initiales'!$Q$5*((($C$18-$C19)/(($C$18-$C19)^2+($D$18-$D19)^2+($E$18-$E19)^2+'Valeurs Initiales'!$R$5^2)^(3/2)))),0)</f>
        <v>1.866203917223521</v>
      </c>
      <c r="S31" s="37">
        <f>IF(Body3Actif=TRUE,('Valeurs Initiales'!$Q$5*((($D$18-$D19)/(($C$18-$C19)^2+($D$18-$D19)^2+($E$18-$E19)^2+'Valeurs Initiales'!$R$5^2)^(3/2)))),0)</f>
        <v>3.4253233670132572</v>
      </c>
      <c r="T31" s="37">
        <f>IF(Body3Actif=TRUE,('Valeurs Initiales'!$Q$5*((($E$18-$E19)/(($C$18-$C19)^2+($D$18-$D19)^2+($E$18-$E19)^2+'Valeurs Initiales'!$R$5^2)^(3/2)))),0)</f>
        <v>-6.1861622336992087E-3</v>
      </c>
      <c r="U31" s="28">
        <v>0</v>
      </c>
      <c r="V31" s="28">
        <v>0</v>
      </c>
      <c r="W31" s="28">
        <v>0</v>
      </c>
      <c r="X31" s="37">
        <f>IF(Body5Actif=TRUE,('Valeurs Initiales'!$Q$7*((($C$20-$C19)/(($C$20-$C19)^2+($D$20-$D19)^2+($E$20-$E19)^2+'Valeurs Initiales'!$R$7^2)^(3/2)))),0)</f>
        <v>9.533632601404852</v>
      </c>
      <c r="Y31" s="37">
        <f>IF(Body5Actif=TRUE,('Valeurs Initiales'!$Q$7*((($D$20-$D19)/(($C$20-$C19)^2+($D$20-$D19)^2+($E$20-$E19)^2+'Valeurs Initiales'!$R$7^2)^(3/2)))),0)</f>
        <v>9.5810418743223984</v>
      </c>
      <c r="Z31" s="37">
        <f>IF(Body5Actif=TRUE,('Valeurs Initiales'!$Q$7*((($E$20-$E19)/(($C$20-$C19)^2+($D$20-$D19)^2+($E$20-$E19)^2+'Valeurs Initiales'!$R$7^2)^(3/2)))),0)</f>
        <v>27.961927089095092</v>
      </c>
      <c r="AA31" s="37">
        <f>IF(Body6Actif=TRUE,('Valeurs Initiales'!$Q$8*((($C$21-$C19)/(($C$21-$C19)^2+($D$21-$D19)^2+($E$21-$E19)^2+'Valeurs Initiales'!$R$8^2)^(3/2)))),0)</f>
        <v>10.089739106547233</v>
      </c>
      <c r="AB31" s="37">
        <f>IF(Body6Actif=TRUE,('Valeurs Initiales'!$Q$8*((($D$21-$D19)/(($C$21-$C19)^2+($D$21-$D19)^2+($E$21-$E19)^2+'Valeurs Initiales'!$R$8^2)^(3/2)))),0)</f>
        <v>10.183285191950549</v>
      </c>
      <c r="AC31" s="37">
        <f>IF(Body6Actif=TRUE,('Valeurs Initiales'!$Q$8*((($E$21-$E19)/(($C$21-$C19)^2+($D$21-$D19)^2+($E$21-$E19)^2+'Valeurs Initiales'!$R$8^2)^(3/2)))),0)</f>
        <v>18.845067380519762</v>
      </c>
      <c r="AD31" s="37">
        <f>IF(Body7Actif=TRUE,('Valeurs Initiales'!$Q$9*((($C$22-$C19)/(($C$22-$C19)^2+($D$22-$D19)^2+($E$22-$E19)^2+'Valeurs Initiales'!$R$9^2)^(3/2)))),0)</f>
        <v>-9.5439365304196677</v>
      </c>
      <c r="AE31" s="37">
        <f>IF(Body7Actif=TRUE,('Valeurs Initiales'!$Q$9*((($D$22-$D19)/(($C$22-$C19)^2+($D$22-$D19)^2+($E$22-$E19)^2+'Valeurs Initiales'!$R$9^2)^(3/2)))),0)</f>
        <v>-12.117026774375756</v>
      </c>
      <c r="AF31" s="37">
        <f>IF(Body7Actif=TRUE,('Valeurs Initiales'!$Q$9*((($E$22-$E19)/(($C$22-$C19)^2+($D$22-$D19)^2+($E$22-$E19)^2+'Valeurs Initiales'!$R$9^2)^(3/2)))),0)</f>
        <v>26.974795642238881</v>
      </c>
      <c r="AG31" s="37">
        <f>IF(Body8Actif=TRUE,('Valeurs Initiales'!$Q$10*((($C$23-$C19)/(($C$23-$C19)^2+($D$23-$D19)^2+($E$23-$E19)^2+'Valeurs Initiales'!$R$10^2)^(3/2)))),0)</f>
        <v>2.2182116982318587</v>
      </c>
      <c r="AH31" s="37">
        <f>IF(Body8Actif=TRUE,('Valeurs Initiales'!$Q$10*((($D$23-$D19)/(($C$23-$C19)^2+($D$23-$D19)^2+($E$23-$E19)^2+'Valeurs Initiales'!$R$10^2)^(3/2)))),0)</f>
        <v>0.80844516178290982</v>
      </c>
      <c r="AI31" s="37">
        <f>IF(Body8Actif=TRUE,('Valeurs Initiales'!$Q$10*((($E$23-$E19)/(($C$23-$C19)^2+($D$23-$D19)^2+($E$23-$E19)^2+'Valeurs Initiales'!$R$10^2)^(3/2)))),0)</f>
        <v>0.9609633540558925</v>
      </c>
      <c r="AJ31" s="37">
        <f>IF(Body9Actif=TRUE,('Valeurs Initiales'!$Q$11*((($C$24-$C19)/(($C$24-$C19)^2+($D$24-$D19)^2+($E$24-$E19)^2+'Valeurs Initiales'!$R$11^2)^(3/2)))),0)</f>
        <v>-0.81957901260258703</v>
      </c>
      <c r="AK31" s="37">
        <f>IF(Body9Actif=TRUE,('Valeurs Initiales'!$Q$11*((($D$24-$D19)/(($C$24-$C19)^2+($D$24-$D19)^2+($E$24-$E19)^2+'Valeurs Initiales'!$R$11^2)^(3/2)))),0)</f>
        <v>0.42244601120993286</v>
      </c>
      <c r="AL31" s="37">
        <f>IF(Body9Actif=TRUE,('Valeurs Initiales'!$Q$11*((($E$24-$E19)/(($C$24-$C19)^2+($D$24-$D19)^2+($E$24-$E19)^2+'Valeurs Initiales'!$R$11^2)^(3/2)))),0)</f>
        <v>2.2726381109577392</v>
      </c>
      <c r="AM31" s="37">
        <f>IF(Body10Actif=TRUE,('Valeurs Initiales'!$Q$12*((($C$25-$C19)/(($C$25-$C19)^2+($D$25-$D19)^2+($E$25-$E19)^2+'Valeurs Initiales'!$R$12^2)^(3/2)))),0)</f>
        <v>-1.9204715050210612</v>
      </c>
      <c r="AN31" s="37">
        <f>IF(Body10Actif=TRUE,('Valeurs Initiales'!$Q$12*((($D$25-$D19)/(($C$25-$C19)^2+($D$25-$D19)^2+($E$25-$E19)^2+'Valeurs Initiales'!$R$12^2)^(3/2)))),0)</f>
        <v>5.2619446558220382</v>
      </c>
      <c r="AO31" s="38">
        <f>IF(Body10Actif=TRUE,('Valeurs Initiales'!$Q$12*((($E$25-$E19)/(($C$25-$C19)^2+($D$25-$D19)^2+($E$25-$E19)^2+'Valeurs Initiales'!$R$12^2)^(3/2)))),0)</f>
        <v>7.2640018510157658</v>
      </c>
      <c r="AP31" s="151"/>
    </row>
    <row r="32" spans="2:42" x14ac:dyDescent="0.3">
      <c r="B32" s="104" t="s">
        <v>61</v>
      </c>
      <c r="C32" s="35">
        <f>IF(Body5Actif=TRUE,(C20+F20*BaseTemps+I32*BaseTemps^2),0)</f>
        <v>-2171.2067073441299</v>
      </c>
      <c r="D32" s="35">
        <f>IF(Body5Actif=TRUE,(D20+G20*BaseTemps+J32*BaseTemps^2),0)</f>
        <v>5547.8586520358413</v>
      </c>
      <c r="E32" s="35">
        <f>IF(Body5Actif=TRUE,(E20+H20*BaseTemps+K32*BaseTemps^2),0)</f>
        <v>-5538.1428887362626</v>
      </c>
      <c r="F32" s="35">
        <f>IF(Body5Actif=TRUE,(F20+I32*BaseTemps),0)</f>
        <v>1532.3906576787965</v>
      </c>
      <c r="G32" s="35">
        <f>IF(Body5Actif=TRUE,(G20+J32*BaseTemps),0)</f>
        <v>1845.053783804914</v>
      </c>
      <c r="H32" s="36">
        <f>IF(Body5Actif=TRUE,(H20+K32*BaseTemps),0)</f>
        <v>2500.3181831894772</v>
      </c>
      <c r="I32" s="35">
        <f>IF(Body5Actif=TRUE,(SUM(L32,O32,R32,U32,X32,AA32,AD32,AG32,AJ32,AM32,I20)),0)</f>
        <v>557.66201058264699</v>
      </c>
      <c r="J32" s="35">
        <f>IF(Body5Actif=TRUE,(SUM(M32,P32,S32,V32,Y32,AB32,AE32,AH32,AK32,AN32,J20)),0)</f>
        <v>81.459837854736605</v>
      </c>
      <c r="K32" s="35">
        <f>IF(Body5Actif=TRUE,(SUM(N32,Q32,T32,W32,Z32,AC32,AF32,AI32,AL32,AO32,K20)),0)</f>
        <v>1180.0300068680483</v>
      </c>
      <c r="L32" s="37">
        <f>IF(Body1Actif=TRUE,('Valeurs Initiales'!$Q$3*((($C$16-$C20)/(($C$16-$C20)^2+($D$16-$D20)^2+($E$16-$E20)^2+'Valeurs Initiales'!$R$3^2)^(3/2)))),0)</f>
        <v>-0.18147969783364507</v>
      </c>
      <c r="M32" s="37">
        <f>IF(Body1Actif=TRUE,('Valeurs Initiales'!$Q$3*((($D$16-$D20)/(($C$16-$C20)^2+($D$16-$D20)^2+($E$16-$E20)^2+'Valeurs Initiales'!$R$3^2)^(3/2)))),0)</f>
        <v>0.61525923887149903</v>
      </c>
      <c r="N32" s="37">
        <f>IF(Body1Actif=TRUE,('Valeurs Initiales'!$Q$3*((($E$16-$E20)/(($C$16-$C20)^2+($D$16-$D20)^2+($E$16-$E20)^2+'Valeurs Initiales'!$R$3^2)^(3/2)))),0)</f>
        <v>1.0020929817102815</v>
      </c>
      <c r="O32" s="37">
        <f>IF(Body2Actif=TRUE,('Valeurs Initiales'!$Q$4*((($C$17-$C20)/(($C$17-$C20)^2+($D$17-$D20)^2+($E$17-$E20)^2+'Valeurs Initiales'!$R$4^2)^(3/2)))),0)</f>
        <v>553.5790880638209</v>
      </c>
      <c r="P32" s="37">
        <f>IF(Body2Actif=TRUE,('Valeurs Initiales'!$Q$4*((($D$17-$D20)/(($C$17-$C20)^2+($D$17-$D20)^2+($E$17-$E20)^2+'Valeurs Initiales'!$R$4^2)^(3/2)))),0)</f>
        <v>54.964278993286655</v>
      </c>
      <c r="Q32" s="37">
        <f>IF(Body2Actif=TRUE,('Valeurs Initiales'!$Q$4*((($E$17-$E20)/(($C$17-$C20)^2+($D$17-$D20)^2+($E$17-$E20)^2+'Valeurs Initiales'!$R$4^2)^(3/2)))),0)</f>
        <v>1109.7587726691829</v>
      </c>
      <c r="R32" s="37">
        <f>IF(Body3Actif=TRUE,('Valeurs Initiales'!$Q$5*((($C$18-$C20)/(($C$18-$C20)^2+($D$18-$D20)^2+($E$18-$E20)^2+'Valeurs Initiales'!$R$5^2)^(3/2)))),0)</f>
        <v>1.3393050752546478</v>
      </c>
      <c r="S32" s="37">
        <f>IF(Body3Actif=TRUE,('Valeurs Initiales'!$Q$5*((($D$18-$D20)/(($C$18-$C20)^2+($D$18-$D20)^2+($E$18-$E20)^2+'Valeurs Initiales'!$R$5^2)^(3/2)))),0)</f>
        <v>3.2335963577739988</v>
      </c>
      <c r="T32" s="37">
        <f>IF(Body3Actif=TRUE,('Valeurs Initiales'!$Q$5*((($E$18-$E20)/(($C$18-$C20)^2+($D$18-$D20)^2+($E$18-$E20)^2+'Valeurs Initiales'!$R$5^2)^(3/2)))),0)</f>
        <v>-2.7458895768233313</v>
      </c>
      <c r="U32" s="37">
        <f>IF(Body4Actif=TRUE,('Valeurs Initiales'!$Q$6*((($C$19-$C20)/(($C$19-$C20)^2+($D$19-$D20)^2+($E$19-$E20)^2+'Valeurs Initiales'!$R$6^2)^(3/2)))),0)</f>
        <v>-6.4123249283174113</v>
      </c>
      <c r="V32" s="37">
        <f>IF(Body4Actif=TRUE,('Valeurs Initiales'!$Q$6*((($D$19-$D20)/(($C$19-$C20)^2+($D$19-$D20)^2+($E$19-$E20)^2+'Valeurs Initiales'!$R$6^2)^(3/2)))),0)</f>
        <v>-6.4442124233859532</v>
      </c>
      <c r="W32" s="37">
        <f>IF(Body4Actif=TRUE,('Valeurs Initiales'!$Q$6*((($E$19-$E20)/(($C$19-$C20)^2+($D$19-$D20)^2+($E$19-$E20)^2+'Valeurs Initiales'!$R$6^2)^(3/2)))),0)</f>
        <v>-18.807202837958851</v>
      </c>
      <c r="X32" s="28">
        <v>0</v>
      </c>
      <c r="Y32" s="28">
        <v>0</v>
      </c>
      <c r="Z32" s="28">
        <v>0</v>
      </c>
      <c r="AA32" s="37">
        <f>IF(Body6Actif=TRUE,('Valeurs Initiales'!$Q$8*((($C$21-$C20)/(($C$21-$C20)^2+($D$21-$D20)^2+($E$21-$E20)^2+'Valeurs Initiales'!$R$8^2)^(3/2)))),0)</f>
        <v>45.873113578471127</v>
      </c>
      <c r="AB32" s="37">
        <f>IF(Body6Actif=TRUE,('Valeurs Initiales'!$Q$8*((($D$21-$D20)/(($C$21-$C20)^2+($D$21-$D20)^2+($E$21-$E20)^2+'Valeurs Initiales'!$R$8^2)^(3/2)))),0)</f>
        <v>46.409487398196838</v>
      </c>
      <c r="AC32" s="37">
        <f>IF(Body6Actif=TRUE,('Valeurs Initiales'!$Q$8*((($E$21-$E20)/(($C$21-$C20)^2+($D$21-$D20)^2+($E$21-$E20)^2+'Valeurs Initiales'!$R$8^2)^(3/2)))),0)</f>
        <v>58.156060550358241</v>
      </c>
      <c r="AD32" s="37">
        <f>IF(Body7Actif=TRUE,('Valeurs Initiales'!$Q$9*((($C$22-$C20)/(($C$22-$C20)^2+($D$22-$D20)^2+($E$22-$E20)^2+'Valeurs Initiales'!$R$9^2)^(3/2)))),0)</f>
        <v>-26.769729946927772</v>
      </c>
      <c r="AE32" s="37">
        <f>IF(Body7Actif=TRUE,('Valeurs Initiales'!$Q$9*((($D$22-$D20)/(($C$22-$C20)^2+($D$22-$D20)^2+($E$22-$E20)^2+'Valeurs Initiales'!$R$9^2)^(3/2)))),0)</f>
        <v>-31.417501206299793</v>
      </c>
      <c r="AF32" s="37">
        <f>IF(Body7Actif=TRUE,('Valeurs Initiales'!$Q$9*((($E$22-$E20)/(($C$22-$C20)^2+($D$22-$D20)^2+($E$22-$E20)^2+'Valeurs Initiales'!$R$9^2)^(3/2)))),0)</f>
        <v>19.74028515210647</v>
      </c>
      <c r="AG32" s="37">
        <f>IF(Body8Actif=TRUE,('Valeurs Initiales'!$Q$10*((($C$23-$C20)/(($C$23-$C20)^2+($D$23-$D20)^2+($E$23-$E20)^2+'Valeurs Initiales'!$R$10^2)^(3/2)))),0)</f>
        <v>4.5231634030285512</v>
      </c>
      <c r="AH32" s="37">
        <f>IF(Body8Actif=TRUE,('Valeurs Initiales'!$Q$10*((($D$23-$D20)/(($C$23-$C20)^2+($D$23-$D20)^2+($E$23-$E20)^2+'Valeurs Initiales'!$R$10^2)^(3/2)))),0)</f>
        <v>0.60166022977206746</v>
      </c>
      <c r="AI32" s="37">
        <f>IF(Body8Actif=TRUE,('Valeurs Initiales'!$Q$10*((($E$23-$E20)/(($C$23-$C20)^2+($D$23-$D20)^2+($E$23-$E20)^2+'Valeurs Initiales'!$R$10^2)^(3/2)))),0)</f>
        <v>-2.1260517319207821</v>
      </c>
      <c r="AJ32" s="37">
        <f>IF(Body9Actif=TRUE,('Valeurs Initiales'!$Q$11*((($C$24-$C20)/(($C$24-$C20)^2+($D$24-$D20)^2+($E$24-$E20)^2+'Valeurs Initiales'!$R$11^2)^(3/2)))),0)</f>
        <v>-3.3274339263206887</v>
      </c>
      <c r="AK32" s="37">
        <f>IF(Body9Actif=TRUE,('Valeurs Initiales'!$Q$11*((($D$24-$D20)/(($C$24-$C20)^2+($D$24-$D20)^2+($E$24-$E20)^2+'Valeurs Initiales'!$R$11^2)^(3/2)))),0)</f>
        <v>0.23184331174022407</v>
      </c>
      <c r="AL32" s="37">
        <f>IF(Body9Actif=TRUE,('Valeurs Initiales'!$Q$11*((($E$24-$E20)/(($C$24-$C20)^2+($D$24-$D20)^2+($E$24-$E20)^2+'Valeurs Initiales'!$R$11^2)^(3/2)))),0)</f>
        <v>3.6602887692593202</v>
      </c>
      <c r="AM32" s="37">
        <f>IF(Body10Actif=TRUE,('Valeurs Initiales'!$Q$12*((($C$25-$C20)/(($C$25-$C20)^2+($D$25-$D20)^2+($E$25-$E20)^2+'Valeurs Initiales'!$R$12^2)^(3/2)))),0)</f>
        <v>-10.961691038528706</v>
      </c>
      <c r="AN32" s="37">
        <f>IF(Body10Actif=TRUE,('Valeurs Initiales'!$Q$12*((($D$25-$D20)/(($C$25-$C20)^2+($D$25-$D20)^2+($E$25-$E20)^2+'Valeurs Initiales'!$R$12^2)^(3/2)))),0)</f>
        <v>13.265425954781064</v>
      </c>
      <c r="AO32" s="38">
        <f>IF(Body10Actif=TRUE,('Valeurs Initiales'!$Q$12*((($E$25-$E20)/(($C$25-$C20)^2+($D$25-$D20)^2+($E$25-$E20)^2+'Valeurs Initiales'!$R$12^2)^(3/2)))),0)</f>
        <v>11.391650892133965</v>
      </c>
      <c r="AP32" s="151"/>
    </row>
    <row r="33" spans="2:42" x14ac:dyDescent="0.3">
      <c r="B33" s="106" t="s">
        <v>62</v>
      </c>
      <c r="C33" s="35">
        <f>IF(Body6Actif=TRUE,(C21+F21*BaseTemps+I33*BaseTemps^2),0)</f>
        <v>45894.061768979773</v>
      </c>
      <c r="D33" s="35">
        <f>IF(Body6Actif=TRUE,(D21+G21*BaseTemps+J33*BaseTemps^2),0)</f>
        <v>53199.583686286387</v>
      </c>
      <c r="E33" s="35">
        <f>IF(Body6Actif=TRUE,(E21+H21*BaseTemps+K33*BaseTemps^2),0)</f>
        <v>55432.154319920519</v>
      </c>
      <c r="F33" s="35">
        <f>IF(Body6Actif=TRUE,(F21+I33*BaseTemps),0)</f>
        <v>876.41863637029724</v>
      </c>
      <c r="G33" s="35">
        <f>IF(Body6Actif=TRUE,(G21+J33*BaseTemps),0)</f>
        <v>-769.68652425386745</v>
      </c>
      <c r="H33" s="36">
        <f>IF(Body6Actif=TRUE,(H21+K33*BaseTemps),0)</f>
        <v>1738.9279898742013</v>
      </c>
      <c r="I33" s="35">
        <f>IF(Body6Actif=TRUE,(SUM(L33,O33,R33,U33,X33,AA33,AD33,AG33,AJ33,AM33,I21)),0)</f>
        <v>-144.15836469474874</v>
      </c>
      <c r="J33" s="35">
        <f>IF(Body6Actif=TRUE,(SUM(M33,P33,S33,V33,Y33,AB33,AE33,AH33,AK33,AN33,J21)),0)</f>
        <v>-137.71489938331709</v>
      </c>
      <c r="K33" s="35">
        <f>IF(Body6Actif=TRUE,(SUM(N33,Q33,T33,W33,Z33,AC33,AF33,AI33,AL33,AO33,K21)),0)</f>
        <v>-114.51369164897356</v>
      </c>
      <c r="L33" s="37">
        <f>IF(Body1Actif=TRUE,('Valeurs Initiales'!$Q$3*((($C$16-$C21)/(($C$16-$C21)^2+($D$16-$D21)^2+($E$16-$E21)^2+'Valeurs Initiales'!$R$3^2)^(3/2)))),0)</f>
        <v>-2.4372124842220426</v>
      </c>
      <c r="M33" s="37">
        <f>IF(Body1Actif=TRUE,('Valeurs Initiales'!$Q$3*((($D$16-$D21)/(($C$16-$C21)^2+($D$16-$D21)^2+($E$16-$E21)^2+'Valeurs Initiales'!$R$3^2)^(3/2)))),0)</f>
        <v>0.29926600555244798</v>
      </c>
      <c r="N33" s="37">
        <f>IF(Body1Actif=TRUE,('Valeurs Initiales'!$Q$3*((($E$16-$E21)/(($C$16-$C21)^2+($D$16-$D21)^2+($E$16-$E21)^2+'Valeurs Initiales'!$R$3^2)^(3/2)))),0)</f>
        <v>1.1749086761414982</v>
      </c>
      <c r="O33" s="37">
        <f>IF(Body2Actif=TRUE,('Valeurs Initiales'!$Q$4*((($C$17-$C21)/(($C$17-$C21)^2+($D$17-$D21)^2+($E$17-$E21)^2+'Valeurs Initiales'!$R$4^2)^(3/2)))),0)</f>
        <v>-84.515481599031901</v>
      </c>
      <c r="P33" s="37">
        <f>IF(Body2Actif=TRUE,('Valeurs Initiales'!$Q$4*((($D$17-$D21)/(($C$17-$C21)^2+($D$17-$D21)^2+($E$17-$E21)^2+'Valeurs Initiales'!$R$4^2)^(3/2)))),0)</f>
        <v>-108.8563689598729</v>
      </c>
      <c r="Q33" s="37">
        <f>IF(Body2Actif=TRUE,('Valeurs Initiales'!$Q$4*((($E$17-$E21)/(($C$17-$C21)^2+($D$17-$D21)^2+($E$17-$E21)^2+'Valeurs Initiales'!$R$4^2)^(3/2)))),0)</f>
        <v>-88.283563443225916</v>
      </c>
      <c r="R33" s="37">
        <f>IF(Body3Actif=TRUE,('Valeurs Initiales'!$Q$5*((($C$18-$C21)/(($C$18-$C21)^2+($D$18-$D21)^2+($E$18-$E21)^2+'Valeurs Initiales'!$R$5^2)^(3/2)))),0)</f>
        <v>-0.21114780403305999</v>
      </c>
      <c r="S33" s="37">
        <f>IF(Body3Actif=TRUE,('Valeurs Initiales'!$Q$5*((($D$18-$D21)/(($C$18-$C21)^2+($D$18-$D21)^2+($E$18-$E21)^2+'Valeurs Initiales'!$R$5^2)^(3/2)))),0)</f>
        <v>1.0325574230001104</v>
      </c>
      <c r="T33" s="37">
        <f>IF(Body3Actif=TRUE,('Valeurs Initiales'!$Q$5*((($E$18-$E21)/(($C$18-$C21)^2+($D$18-$D21)^2+($E$18-$E21)^2+'Valeurs Initiales'!$R$5^2)^(3/2)))),0)</f>
        <v>-3.2154452336698776</v>
      </c>
      <c r="U33" s="37">
        <f>IF(Body4Actif=TRUE,('Valeurs Initiales'!$Q$6*((($C$19-$C21)/(($C$19-$C21)^2+($D$19-$D21)^2+($E$19-$E21)^2+'Valeurs Initiales'!$R$6^2)^(3/2)))),0)</f>
        <v>-2.2305101774099514</v>
      </c>
      <c r="V33" s="37">
        <f>IF(Body4Actif=TRUE,('Valeurs Initiales'!$Q$6*((($D$19-$D21)/(($C$19-$C21)^2+($D$19-$D21)^2+($E$19-$E21)^2+'Valeurs Initiales'!$R$6^2)^(3/2)))),0)</f>
        <v>-2.25119014676749</v>
      </c>
      <c r="W33" s="37">
        <f>IF(Body4Actif=TRUE,('Valeurs Initiales'!$Q$6*((($E$19-$E21)/(($C$19-$C21)^2+($D$19-$D21)^2+($E$19-$E21)^2+'Valeurs Initiales'!$R$6^2)^(3/2)))),0)</f>
        <v>-4.1660259142825282</v>
      </c>
      <c r="X33" s="37">
        <f>IF(Body5Actif=TRUE,('Valeurs Initiales'!$Q$7*((($C$20-$C21)/(($C$20-$C21)^2+($D$20-$D21)^2+($E$20-$E21)^2+'Valeurs Initiales'!$R$7^2)^(3/2)))),0)</f>
        <v>-15.117084313160765</v>
      </c>
      <c r="Y33" s="37">
        <f>IF(Body5Actif=TRUE,('Valeurs Initiales'!$Q$7*((($D$20-$D21)/(($C$20-$C21)^2+($D$20-$D21)^2+($E$20-$E21)^2+'Valeurs Initiales'!$R$7^2)^(3/2)))),0)</f>
        <v>-15.293841625312583</v>
      </c>
      <c r="Z33" s="37">
        <f>IF(Body5Actif=TRUE,('Valeurs Initiales'!$Q$7*((($E$20-$E21)/(($C$20-$C21)^2+($D$20-$D21)^2+($E$20-$E21)^2+'Valeurs Initiales'!$R$7^2)^(3/2)))),0)</f>
        <v>-19.16482231268569</v>
      </c>
      <c r="AA33" s="28">
        <v>0</v>
      </c>
      <c r="AB33" s="28">
        <v>0</v>
      </c>
      <c r="AC33" s="28">
        <v>0</v>
      </c>
      <c r="AD33" s="37">
        <f>IF(Body7Actif=TRUE,('Valeurs Initiales'!$Q$9*((($C$22-$C21)/(($C$22-$C21)^2+($D$22-$D21)^2+($E$22-$E21)^2+'Valeurs Initiales'!$R$9^2)^(3/2)))),0)</f>
        <v>-14.82437952858047</v>
      </c>
      <c r="AE33" s="37">
        <f>IF(Body7Actif=TRUE,('Valeurs Initiales'!$Q$9*((($D$22-$D21)/(($C$22-$C21)^2+($D$22-$D21)^2+($E$22-$E21)^2+'Valeurs Initiales'!$R$9^2)^(3/2)))),0)</f>
        <v>-16.457893634909592</v>
      </c>
      <c r="AF33" s="37">
        <f>IF(Body7Actif=TRUE,('Valeurs Initiales'!$Q$9*((($E$22-$E21)/(($C$22-$C21)^2+($D$22-$D21)^2+($E$22-$E21)^2+'Valeurs Initiales'!$R$9^2)^(3/2)))),0)</f>
        <v>-0.71218714530402816</v>
      </c>
      <c r="AG33" s="37">
        <f>IF(Body8Actif=TRUE,('Valeurs Initiales'!$Q$10*((($C$23-$C21)/(($C$23-$C21)^2+($D$23-$D21)^2+($E$23-$E21)^2+'Valeurs Initiales'!$R$10^2)^(3/2)))),0)</f>
        <v>0.76643033846765152</v>
      </c>
      <c r="AH33" s="37">
        <f>IF(Body8Actif=TRUE,('Valeurs Initiales'!$Q$10*((($D$23-$D21)/(($C$23-$C21)^2+($D$23-$D21)^2+($E$23-$E21)^2+'Valeurs Initiales'!$R$10^2)^(3/2)))),0)</f>
        <v>-1.1032344197447499</v>
      </c>
      <c r="AI33" s="37">
        <f>IF(Body8Actif=TRUE,('Valeurs Initiales'!$Q$10*((($E$23-$E21)/(($C$23-$C21)^2+($D$23-$D21)^2+($E$23-$E21)^2+'Valeurs Initiales'!$R$10^2)^(3/2)))),0)</f>
        <v>-2.7437959205422691</v>
      </c>
      <c r="AJ33" s="37">
        <f>IF(Body9Actif=TRUE,('Valeurs Initiales'!$Q$11*((($C$24-$C21)/(($C$24-$C21)^2+($D$24-$D21)^2+($E$24-$E21)^2+'Valeurs Initiales'!$R$11^2)^(3/2)))),0)</f>
        <v>-3.7295323965817988</v>
      </c>
      <c r="AK33" s="37">
        <f>IF(Body9Actif=TRUE,('Valeurs Initiales'!$Q$11*((($D$24-$D21)/(($C$24-$C21)^2+($D$24-$D21)^2+($E$24-$E21)^2+'Valeurs Initiales'!$R$11^2)^(3/2)))),0)</f>
        <v>-1.1207789221805133</v>
      </c>
      <c r="AL33" s="37">
        <f>IF(Body9Actif=TRUE,('Valeurs Initiales'!$Q$11*((($E$24-$E21)/(($C$24-$C21)^2+($D$24-$D21)^2+($E$24-$E21)^2+'Valeurs Initiales'!$R$11^2)^(3/2)))),0)</f>
        <v>1.0795284696450986</v>
      </c>
      <c r="AM33" s="37">
        <f>IF(Body10Actif=TRUE,('Valeurs Initiales'!$Q$12*((($C$25-$C21)/(($C$25-$C21)^2+($D$25-$D21)^2+($E$25-$E21)^2+'Valeurs Initiales'!$R$12^2)^(3/2)))),0)</f>
        <v>-21.859446730196407</v>
      </c>
      <c r="AN33" s="37">
        <f>IF(Body10Actif=TRUE,('Valeurs Initiales'!$Q$12*((($D$25-$D21)/(($C$25-$C21)^2+($D$25-$D21)^2+($E$25-$E21)^2+'Valeurs Initiales'!$R$12^2)^(3/2)))),0)</f>
        <v>6.0365848969181606</v>
      </c>
      <c r="AO33" s="38">
        <f>IF(Body10Actif=TRUE,('Valeurs Initiales'!$Q$12*((($E$25-$E21)/(($C$25-$C21)^2+($D$25-$D21)^2+($E$25-$E21)^2+'Valeurs Initiales'!$R$12^2)^(3/2)))),0)</f>
        <v>1.517711174950148</v>
      </c>
      <c r="AP33" s="151"/>
    </row>
    <row r="34" spans="2:42" x14ac:dyDescent="0.3">
      <c r="B34" s="104" t="s">
        <v>63</v>
      </c>
      <c r="C34" s="35">
        <f>IF(Body7Actif=TRUE,(C22+F22*BaseTemps+I34*BaseTemps^2),0)</f>
        <v>-78610.485235521934</v>
      </c>
      <c r="D34" s="35">
        <f>IF(Body7Actif=TRUE,(D22+G22*BaseTemps+J34*BaseTemps^2),0)</f>
        <v>-83040.611682736009</v>
      </c>
      <c r="E34" s="35">
        <f>IF(Body7Actif=TRUE,(E22+H22*BaseTemps+K34*BaseTemps^2),0)</f>
        <v>49278.162186069683</v>
      </c>
      <c r="F34" s="35">
        <f>IF(Body7Actif=TRUE,(F22+I34*BaseTemps),0)</f>
        <v>-1047.7933596263026</v>
      </c>
      <c r="G34" s="35">
        <f>IF(Body7Actif=TRUE,(G22+J34*BaseTemps),0)</f>
        <v>1061.3500135817701</v>
      </c>
      <c r="H34" s="36">
        <f>IF(Body7Actif=TRUE,(H22+K34*BaseTemps),0)</f>
        <v>1301.3006858056733</v>
      </c>
      <c r="I34" s="35">
        <f>IF(Body7Actif=TRUE,(SUM(L34,O34,R34,U34,X34,AA34,AD34,AG34,AJ34,AM34,I22)),0)</f>
        <v>60.672218386931064</v>
      </c>
      <c r="J34" s="35">
        <f>IF(Body7Actif=TRUE,(SUM(M34,P34,S34,V34,Y34,AB34,AE34,AH34,AK34,AN34,J22)),0)</f>
        <v>85.284776452514024</v>
      </c>
      <c r="K34" s="35">
        <f>IF(Body7Actif=TRUE,(SUM(N34,Q34,T34,W34,Z34,AC34,AF34,AI34,AL34,AO34,K22)),0)</f>
        <v>-21.138097203345954</v>
      </c>
      <c r="L34" s="37">
        <f>IF(Body1Actif=TRUE,('Valeurs Initiales'!$Q$3*((($C$16-$C22)/(($C$16-$C22)^2+($D$16-$D22)^2+($E$16-$E22)^2+'Valeurs Initiales'!$R$3^2)^(3/2)))),0)</f>
        <v>0.20247293333800007</v>
      </c>
      <c r="M34" s="37">
        <f>IF(Body1Actif=TRUE,('Valeurs Initiales'!$Q$3*((($D$16-$D22)/(($C$16-$C22)^2+($D$16-$D22)^2+($E$16-$E22)^2+'Valeurs Initiales'!$R$3^2)^(3/2)))),0)</f>
        <v>0.5037338951355439</v>
      </c>
      <c r="N34" s="37">
        <f>IF(Body1Actif=TRUE,('Valeurs Initiales'!$Q$3*((($E$16-$E22)/(($C$16-$C22)^2+($D$16-$D22)^2+($E$16-$E22)^2+'Valeurs Initiales'!$R$3^2)^(3/2)))),0)</f>
        <v>0.12965997127621753</v>
      </c>
      <c r="O34" s="37">
        <f>IF(Body2Actif=TRUE,('Valeurs Initiales'!$Q$4*((($C$17-$C22)/(($C$17-$C22)^2+($D$17-$D22)^2+($E$17-$E22)^2+'Valeurs Initiales'!$R$4^2)^(3/2)))),0)</f>
        <v>34.689622017646201</v>
      </c>
      <c r="P34" s="37">
        <f>IF(Body2Actif=TRUE,('Valeurs Initiales'!$Q$4*((($D$17-$D22)/(($C$17-$C22)^2+($D$17-$D22)^2+($E$17-$E22)^2+'Valeurs Initiales'!$R$4^2)^(3/2)))),0)</f>
        <v>35.860218545947063</v>
      </c>
      <c r="Q34" s="37">
        <f>IF(Body2Actif=TRUE,('Valeurs Initiales'!$Q$4*((($E$17-$E22)/(($C$17-$C22)^2+($D$17-$D22)^2+($E$17-$E22)^2+'Valeurs Initiales'!$R$4^2)^(3/2)))),0)</f>
        <v>-13.195735928342536</v>
      </c>
      <c r="R34" s="37">
        <f>IF(Body3Actif=TRUE,('Valeurs Initiales'!$Q$5*((($C$18-$C22)/(($C$18-$C22)^2+($D$18-$D22)^2+($E$18-$E22)^2+'Valeurs Initiales'!$R$5^2)^(3/2)))),0)</f>
        <v>0.52020567386534666</v>
      </c>
      <c r="S34" s="37">
        <f>IF(Body3Actif=TRUE,('Valeurs Initiales'!$Q$5*((($D$18-$D22)/(($C$18-$C22)^2+($D$18-$D22)^2+($E$18-$E22)^2+'Valeurs Initiales'!$R$5^2)^(3/2)))),0)</f>
        <v>0.83142125786157794</v>
      </c>
      <c r="T34" s="37">
        <f>IF(Body3Actif=TRUE,('Valeurs Initiales'!$Q$5*((($E$18-$E22)/(($C$18-$C22)^2+($D$18-$D22)^2+($E$18-$E22)^2+'Valeurs Initiales'!$R$5^2)^(3/2)))),0)</f>
        <v>-0.61733167986168302</v>
      </c>
      <c r="U34" s="37">
        <f>IF(Body4Actif=TRUE,('Valeurs Initiales'!$Q$6*((($C$19-$C22)/(($C$19-$C22)^2+($D$19-$D22)^2+($E$19-$E22)^2+'Valeurs Initiales'!$R$6^2)^(3/2)))),0)</f>
        <v>2.0837182978091113</v>
      </c>
      <c r="V34" s="37">
        <f>IF(Body4Actif=TRUE,('Valeurs Initiales'!$Q$6*((($D$19-$D22)/(($C$19-$C22)^2+($D$19-$D22)^2+($E$19-$E22)^2+'Valeurs Initiales'!$R$6^2)^(3/2)))),0)</f>
        <v>2.6454985659569816</v>
      </c>
      <c r="W34" s="37">
        <f>IF(Body4Actif=TRUE,('Valeurs Initiales'!$Q$6*((($E$19-$E22)/(($C$19-$C22)^2+($D$19-$D22)^2+($E$19-$E22)^2+'Valeurs Initiales'!$R$6^2)^(3/2)))),0)</f>
        <v>-5.8893806638635589</v>
      </c>
      <c r="X34" s="37">
        <f>IF(Body5Actif=TRUE,('Valeurs Initiales'!$Q$7*((($C$20-$C22)/(($C$20-$C22)^2+($D$20-$D22)^2+($E$20-$E22)^2+'Valeurs Initiales'!$R$7^2)^(3/2)))),0)</f>
        <v>8.6977642779054296</v>
      </c>
      <c r="Y34" s="37">
        <f>IF(Body5Actif=TRUE,('Valeurs Initiales'!$Q$7*((($D$20-$D22)/(($C$20-$C22)^2+($D$20-$D22)^2+($E$20-$E22)^2+'Valeurs Initiales'!$R$7^2)^(3/2)))),0)</f>
        <v>10.207873603318365</v>
      </c>
      <c r="Z34" s="37">
        <f>IF(Body5Actif=TRUE,('Valeurs Initiales'!$Q$7*((($E$20-$E22)/(($C$20-$C22)^2+($D$20-$D22)^2+($E$20-$E22)^2+'Valeurs Initiales'!$R$7^2)^(3/2)))),0)</f>
        <v>-6.4138243968861319</v>
      </c>
      <c r="AA34" s="37">
        <f>IF(Body6Actif=TRUE,('Valeurs Initiales'!$Q$8*((($C$21-$C22)/(($C$21-$C22)^2+($D$21-$D22)^2+($E$21-$E22)^2+'Valeurs Initiales'!$R$8^2)^(3/2)))),0)</f>
        <v>14.636547635469991</v>
      </c>
      <c r="AB34" s="37">
        <f>IF(Body6Actif=TRUE,('Valeurs Initiales'!$Q$8*((($D$21-$D22)/(($C$21-$C22)^2+($D$21-$D22)^2+($E$21-$E22)^2+'Valeurs Initiales'!$R$8^2)^(3/2)))),0)</f>
        <v>16.249364346240469</v>
      </c>
      <c r="AC34" s="37">
        <f>IF(Body6Actif=TRUE,('Valeurs Initiales'!$Q$8*((($E$21-$E22)/(($C$21-$C22)^2+($D$21-$D22)^2+($E$21-$E22)^2+'Valeurs Initiales'!$R$8^2)^(3/2)))),0)</f>
        <v>0.70316339766632763</v>
      </c>
      <c r="AD34" s="28">
        <v>0</v>
      </c>
      <c r="AE34" s="28">
        <v>0</v>
      </c>
      <c r="AF34" s="28">
        <v>0</v>
      </c>
      <c r="AG34" s="37">
        <f>IF(Body8Actif=TRUE,('Valeurs Initiales'!$Q$10*((($C$23-$C22)/(($C$23-$C22)^2+($D$23-$D22)^2+($E$23-$E22)^2+'Valeurs Initiales'!$R$10^2)^(3/2)))),0)</f>
        <v>0.65400691179030135</v>
      </c>
      <c r="AH34" s="37">
        <f>IF(Body8Actif=TRUE,('Valeurs Initiales'!$Q$10*((($D$23-$D22)/(($C$23-$C22)^2+($D$23-$D22)^2+($E$23-$E22)^2+'Valeurs Initiales'!$R$10^2)^(3/2)))),0)</f>
        <v>0.42662954973765826</v>
      </c>
      <c r="AI34" s="37">
        <f>IF(Body8Actif=TRUE,('Valeurs Initiales'!$Q$10*((($E$23-$E22)/(($C$23-$C22)^2+($D$23-$D22)^2+($E$23-$E22)^2+'Valeurs Initiales'!$R$10^2)^(3/2)))),0)</f>
        <v>-0.394673516114387</v>
      </c>
      <c r="AJ34" s="37">
        <f>IF(Body9Actif=TRUE,('Valeurs Initiales'!$Q$11*((($C$24-$C22)/(($C$24-$C22)^2+($D$24-$D22)^2+($E$24-$E22)^2+'Valeurs Initiales'!$R$11^2)^(3/2)))),0)</f>
        <v>-1.3735878651195428</v>
      </c>
      <c r="AK34" s="37">
        <f>IF(Body9Actif=TRUE,('Valeurs Initiales'!$Q$11*((($D$24-$D22)/(($C$24-$C22)^2+($D$24-$D22)^2+($E$24-$E22)^2+'Valeurs Initiales'!$R$11^2)^(3/2)))),0)</f>
        <v>7.2977620222507174</v>
      </c>
      <c r="AL34" s="37">
        <f>IF(Body9Actif=TRUE,('Valeurs Initiales'!$Q$11*((($E$24-$E22)/(($C$24-$C22)^2+($D$24-$D22)^2+($E$24-$E22)^2+'Valeurs Initiales'!$R$11^2)^(3/2)))),0)</f>
        <v>3.6115608554180638</v>
      </c>
      <c r="AM34" s="37">
        <f>IF(Body10Actif=TRUE,('Valeurs Initiales'!$Q$12*((($C$25-$C22)/(($C$25-$C22)^2+($D$25-$D22)^2+($E$25-$E22)^2+'Valeurs Initiales'!$R$12^2)^(3/2)))),0)</f>
        <v>0.56146850422622607</v>
      </c>
      <c r="AN34" s="37">
        <f>IF(Body10Actif=TRUE,('Valeurs Initiales'!$Q$12*((($D$25-$D22)/(($C$25-$C22)^2+($D$25-$D22)^2+($E$25-$E22)^2+'Valeurs Initiales'!$R$12^2)^(3/2)))),0)</f>
        <v>11.262274666065641</v>
      </c>
      <c r="AO34" s="38">
        <f>IF(Body10Actif=TRUE,('Valeurs Initiales'!$Q$12*((($E$25-$E22)/(($C$25-$C22)^2+($D$25-$D22)^2+($E$25-$E22)^2+'Valeurs Initiales'!$R$12^2)^(3/2)))),0)</f>
        <v>0.92846475736173795</v>
      </c>
      <c r="AP34" s="151"/>
    </row>
    <row r="35" spans="2:42" x14ac:dyDescent="0.3">
      <c r="B35" s="104" t="s">
        <v>64</v>
      </c>
      <c r="C35" s="35">
        <f>IF(Body8Actif=TRUE,(C23+F23*BaseTemps+I35*BaseTemps^2),0)</f>
        <v>71862.24043853207</v>
      </c>
      <c r="D35" s="35">
        <f>IF(Body8Actif=TRUE,(D23+G23*BaseTemps+J35*BaseTemps^2),0)</f>
        <v>13667.879724330471</v>
      </c>
      <c r="E35" s="35">
        <f>IF(Body8Actif=TRUE,(E23+H23*BaseTemps+K35*BaseTemps^2),0)</f>
        <v>-41327.483125207451</v>
      </c>
      <c r="F35" s="35">
        <f>IF(Body8Actif=TRUE,(F23+I35*BaseTemps),0)</f>
        <v>-1270.4675852808537</v>
      </c>
      <c r="G35" s="35">
        <f>IF(Body8Actif=TRUE,(G23+J35*BaseTemps),0)</f>
        <v>-1983.2327804275888</v>
      </c>
      <c r="H35" s="36">
        <f>IF(Body8Actif=TRUE,(H23+K35*BaseTemps),0)</f>
        <v>1835.9227117831479</v>
      </c>
      <c r="I35" s="35">
        <f>IF(Body8Actif=TRUE,(SUM(L35,O35,R35,U35,X35,AA35,AD35,AG35,AJ35,AM35,I23)),0)</f>
        <v>-165.52277338689126</v>
      </c>
      <c r="J35" s="35">
        <f>IF(Body8Actif=TRUE,(SUM(M35,P35,S35,V35,Y35,AB35,AE35,AH35,AK35,AN35,J23)),0)</f>
        <v>4.0328324656984798</v>
      </c>
      <c r="K35" s="35">
        <f>IF(Body8Actif=TRUE,(SUM(N35,Q35,T35,W35,Z35,AC35,AF35,AI35,AL35,AO35,K23)),0)</f>
        <v>154.55090071169892</v>
      </c>
      <c r="L35" s="37">
        <f>IF(Body1Actif=TRUE,('Valeurs Initiales'!$Q$3*((($C$16-$C23)/(($C$16-$C23)^2+($D$16-$D23)^2+($E$16-$E23)^2+'Valeurs Initiales'!$R$3^2)^(3/2)))),0)</f>
        <v>-0.29767083999624078</v>
      </c>
      <c r="M35" s="37">
        <f>IF(Body1Actif=TRUE,('Valeurs Initiales'!$Q$3*((($D$16-$D23)/(($C$16-$C23)^2+($D$16-$D23)^2+($E$16-$E23)^2+'Valeurs Initiales'!$R$3^2)^(3/2)))),0)</f>
        <v>0.15145477587460343</v>
      </c>
      <c r="N35" s="37">
        <f>IF(Body1Actif=TRUE,('Valeurs Initiales'!$Q$3*((($E$16-$E23)/(($C$16-$C23)^2+($D$16-$D23)^2+($E$16-$E23)^2+'Valeurs Initiales'!$R$3^2)^(3/2)))),0)</f>
        <v>0.41385003126685072</v>
      </c>
      <c r="O35" s="37">
        <f>IF(Body2Actif=TRUE,('Valeurs Initiales'!$Q$4*((($C$17-$C23)/(($C$17-$C23)^2+($D$17-$D23)^2+($E$17-$E23)^2+'Valeurs Initiales'!$R$4^2)^(3/2)))),0)</f>
        <v>-82.880752588469292</v>
      </c>
      <c r="P35" s="37">
        <f>IF(Body2Actif=TRUE,('Valeurs Initiales'!$Q$4*((($D$17-$D23)/(($C$17-$C23)^2+($D$17-$D23)^2+($E$17-$E23)^2+'Valeurs Initiales'!$R$4^2)^(3/2)))),0)</f>
        <v>-11.514509913426524</v>
      </c>
      <c r="Q35" s="37">
        <f>IF(Body2Actif=TRUE,('Valeurs Initiales'!$Q$4*((($E$17-$E23)/(($C$17-$C23)^2+($D$17-$D23)^2+($E$17-$E23)^2+'Valeurs Initiales'!$R$4^2)^(3/2)))),0)</f>
        <v>74.90283294362402</v>
      </c>
      <c r="R35" s="37">
        <f>IF(Body3Actif=TRUE,('Valeurs Initiales'!$Q$5*((($C$18-$C23)/(($C$18-$C23)^2+($D$18-$D23)^2+($E$18-$E23)^2+'Valeurs Initiales'!$R$5^2)^(3/2)))),0)</f>
        <v>-2.5559315988339382</v>
      </c>
      <c r="S35" s="37">
        <f>IF(Body3Actif=TRUE,('Valeurs Initiales'!$Q$5*((($D$18-$D23)/(($C$18-$C23)^2+($D$18-$D23)^2+($E$18-$E23)^2+'Valeurs Initiales'!$R$5^2)^(3/2)))),0)</f>
        <v>5.9349005184326211</v>
      </c>
      <c r="T35" s="37">
        <f>IF(Body3Actif=TRUE,('Valeurs Initiales'!$Q$5*((($E$18-$E23)/(($C$18-$C23)^2+($D$18-$D23)^2+($E$18-$E23)^2+'Valeurs Initiales'!$R$5^2)^(3/2)))),0)</f>
        <v>-3.1449447122125442</v>
      </c>
      <c r="U35" s="37">
        <f>IF(Body4Actif=TRUE,('Valeurs Initiales'!$Q$6*((($C$19-$C23)/(($C$19-$C23)^2+($D$19-$D23)^2+($E$19-$E23)^2+'Valeurs Initiales'!$R$6^2)^(3/2)))),0)</f>
        <v>-10.302107322719719</v>
      </c>
      <c r="V35" s="37">
        <f>IF(Body4Actif=TRUE,('Valeurs Initiales'!$Q$6*((($D$19-$D23)/(($C$19-$C23)^2+($D$19-$D23)^2+($E$19-$E23)^2+'Valeurs Initiales'!$R$6^2)^(3/2)))),0)</f>
        <v>-3.754686186111027</v>
      </c>
      <c r="W35" s="37">
        <f>IF(Body4Actif=TRUE,('Valeurs Initiales'!$Q$6*((($E$19-$E23)/(($C$19-$C23)^2+($D$19-$D23)^2+($E$19-$E23)^2+'Valeurs Initiales'!$R$6^2)^(3/2)))),0)</f>
        <v>-4.4630310148376644</v>
      </c>
      <c r="X35" s="37">
        <f>IF(Body5Actif=TRUE,('Valeurs Initiales'!$Q$7*((($C$20-$C23)/(($C$20-$C23)^2+($D$20-$D23)^2+($E$20-$E23)^2+'Valeurs Initiales'!$R$7^2)^(3/2)))),0)</f>
        <v>-31.205829386081152</v>
      </c>
      <c r="Y35" s="37">
        <f>IF(Body5Actif=TRUE,('Valeurs Initiales'!$Q$7*((($D$20-$D23)/(($C$20-$C23)^2+($D$20-$D23)^2+($E$20-$E23)^2+'Valeurs Initiales'!$R$7^2)^(3/2)))),0)</f>
        <v>-4.1509237685479672</v>
      </c>
      <c r="Z35" s="37">
        <f>IF(Body5Actif=TRUE,('Valeurs Initiales'!$Q$7*((($E$20-$E23)/(($C$20-$C23)^2+($D$20-$D23)^2+($E$20-$E23)^2+'Valeurs Initiales'!$R$7^2)^(3/2)))),0)</f>
        <v>14.667877699903531</v>
      </c>
      <c r="AA35" s="37">
        <f>IF(Body6Actif=TRUE,('Valeurs Initiales'!$Q$8*((($C$21-$C23)/(($C$21-$C23)^2+($D$21-$D23)^2+($E$21-$E23)^2+'Valeurs Initiales'!$R$8^2)^(3/2)))),0)</f>
        <v>-16.072831441314772</v>
      </c>
      <c r="AB35" s="37">
        <f>IF(Body6Actif=TRUE,('Valeurs Initiales'!$Q$8*((($D$21-$D23)/(($C$21-$C23)^2+($D$21-$D23)^2+($E$21-$E23)^2+'Valeurs Initiales'!$R$8^2)^(3/2)))),0)</f>
        <v>23.135958976084417</v>
      </c>
      <c r="AC35" s="37">
        <f>IF(Body6Actif=TRUE,('Valeurs Initiales'!$Q$8*((($E$21-$E23)/(($C$21-$C23)^2+($D$21-$D23)^2+($E$21-$E23)^2+'Valeurs Initiales'!$R$8^2)^(3/2)))),0)</f>
        <v>57.540218760669973</v>
      </c>
      <c r="AD35" s="37">
        <f>IF(Body7Actif=TRUE,('Valeurs Initiales'!$Q$9*((($C$22-$C23)/(($C$22-$C23)^2+($D$22-$D23)^2+($E$22-$E23)^2+'Valeurs Initiales'!$R$9^2)^(3/2)))),0)</f>
        <v>-13.926452246730614</v>
      </c>
      <c r="AE35" s="37">
        <f>IF(Body7Actif=TRUE,('Valeurs Initiales'!$Q$9*((($D$22-$D23)/(($C$22-$C23)^2+($D$22-$D23)^2+($E$22-$E23)^2+'Valeurs Initiales'!$R$9^2)^(3/2)))),0)</f>
        <v>-9.084668593488388</v>
      </c>
      <c r="AF35" s="37">
        <f>IF(Body7Actif=TRUE,('Valeurs Initiales'!$Q$9*((($E$22-$E23)/(($C$22-$C23)^2+($D$22-$D23)^2+($E$22-$E23)^2+'Valeurs Initiales'!$R$9^2)^(3/2)))),0)</f>
        <v>8.4041953932416913</v>
      </c>
      <c r="AG35" s="28">
        <v>0</v>
      </c>
      <c r="AH35" s="28">
        <v>0</v>
      </c>
      <c r="AI35" s="28">
        <v>0</v>
      </c>
      <c r="AJ35" s="37">
        <f>IF(Body9Actif=TRUE,('Valeurs Initiales'!$Q$11*((($C$24-$C23)/(($C$24-$C23)^2+($D$24-$D23)^2+($E$24-$E23)^2+'Valeurs Initiales'!$R$11^2)^(3/2)))),0)</f>
        <v>-1.5505394290353771</v>
      </c>
      <c r="AK35" s="37">
        <f>IF(Body9Actif=TRUE,('Valeurs Initiales'!$Q$11*((($D$24-$D23)/(($C$24-$C23)^2+($D$24-$D23)^2+($E$24-$E23)^2+'Valeurs Initiales'!$R$11^2)^(3/2)))),0)</f>
        <v>-3.2745119278285939E-2</v>
      </c>
      <c r="AL35" s="37">
        <f>IF(Body9Actif=TRUE,('Valeurs Initiales'!$Q$11*((($E$24-$E23)/(($C$24-$C23)^2+($D$24-$D23)^2+($E$24-$E23)^2+'Valeurs Initiales'!$R$11^2)^(3/2)))),0)</f>
        <v>1.2680810384151273</v>
      </c>
      <c r="AM35" s="37">
        <f>IF(Body10Actif=TRUE,('Valeurs Initiales'!$Q$12*((($C$25-$C23)/(($C$25-$C23)^2+($D$25-$D23)^2+($E$25-$E23)^2+'Valeurs Initiales'!$R$12^2)^(3/2)))),0)</f>
        <v>-6.7306585337101765</v>
      </c>
      <c r="AN35" s="37">
        <f>IF(Body10Actif=TRUE,('Valeurs Initiales'!$Q$12*((($D$25-$D23)/(($C$25-$C23)^2+($D$25-$D23)^2+($E$25-$E23)^2+'Valeurs Initiales'!$R$12^2)^(3/2)))),0)</f>
        <v>3.3480517761590307</v>
      </c>
      <c r="AO35" s="38">
        <f>IF(Body10Actif=TRUE,('Valeurs Initiales'!$Q$12*((($E$25-$E23)/(($C$25-$C23)^2+($D$25-$D23)^2+($E$25-$E23)^2+'Valeurs Initiales'!$R$12^2)^(3/2)))),0)</f>
        <v>4.9618205716279764</v>
      </c>
      <c r="AP35" s="151"/>
    </row>
    <row r="36" spans="2:42" x14ac:dyDescent="0.3">
      <c r="B36" s="104" t="s">
        <v>65</v>
      </c>
      <c r="C36" s="35">
        <f>IF(Body9Actif=TRUE,(C24+F24*BaseTemps+I36*BaseTemps^2),0)</f>
        <v>-95543.858793179126</v>
      </c>
      <c r="D36" s="35">
        <f>IF(Body9Actif=TRUE,(D24+G24*BaseTemps+J36*BaseTemps^2),0)</f>
        <v>11995.06518478571</v>
      </c>
      <c r="E36" s="35">
        <f>IF(Body9Actif=TRUE,(E24+H24*BaseTemps+K36*BaseTemps^2),0)</f>
        <v>96081.118982337852</v>
      </c>
      <c r="F36" s="35">
        <f>IF(Body9Actif=TRUE,(F24+I36*BaseTemps),0)</f>
        <v>724.74972247331948</v>
      </c>
      <c r="G36" s="35">
        <f>IF(Body9Actif=TRUE,(G24+J36*BaseTemps),0)</f>
        <v>1784.0169210629306</v>
      </c>
      <c r="H36" s="36">
        <f>IF(Body9Actif=TRUE,(H24+K36*BaseTemps),0)</f>
        <v>1201.1845001427048</v>
      </c>
      <c r="I36" s="35">
        <f>IF(Body9Actif=TRUE,(SUM(L36,O36,R36,U36,X36,AA36,AD36,AG36,AJ36,AM36,I24)),0)</f>
        <v>105.9513984974528</v>
      </c>
      <c r="J36" s="35">
        <f>IF(Body9Actif=TRUE,(SUM(M36,P36,S36,V36,Y36,AB36,AE36,AH36,AK36,AN36,J24)),0)</f>
        <v>-12.377845828187326</v>
      </c>
      <c r="K36" s="35">
        <f>IF(Body9Actif=TRUE,(SUM(N36,Q36,T36,W36,Z36,AC36,AF36,AI36,AL36,AO36,K24)),0)</f>
        <v>-99.481903520220754</v>
      </c>
      <c r="L36" s="37">
        <f>IF(Body1Actif=TRUE,('Valeurs Initiales'!$Q$3*((($C$16-$C24)/(($C$16-$C24)^2+($D$16-$D24)^2+($E$16-$E24)^2+'Valeurs Initiales'!$R$3^2)^(3/2)))),0)</f>
        <v>1.418111766854504</v>
      </c>
      <c r="M36" s="37">
        <f>IF(Body1Actif=TRUE,('Valeurs Initiales'!$Q$3*((($D$16-$D24)/(($C$16-$C24)^2+($D$16-$D24)^2+($E$16-$E24)^2+'Valeurs Initiales'!$R$3^2)^(3/2)))),0)</f>
        <v>0.93999410906891623</v>
      </c>
      <c r="N36" s="37">
        <f>IF(Body1Actif=TRUE,('Valeurs Initiales'!$Q$3*((($E$16-$E24)/(($C$16-$C24)^2+($D$16-$D24)^2+($E$16-$E24)^2+'Valeurs Initiales'!$R$3^2)^(3/2)))),0)</f>
        <v>-0.17666964924377346</v>
      </c>
      <c r="O36" s="37">
        <f>IF(Body2Actif=TRUE,('Valeurs Initiales'!$Q$4*((($C$17-$C24)/(($C$17-$C24)^2+($D$17-$D24)^2+($E$17-$E24)^2+'Valeurs Initiales'!$R$4^2)^(3/2)))),0)</f>
        <v>39.244328328205562</v>
      </c>
      <c r="P36" s="37">
        <f>IF(Body2Actif=TRUE,('Valeurs Initiales'!$Q$4*((($D$17-$D24)/(($C$17-$C24)^2+($D$17-$D24)^2+($E$17-$E24)^2+'Valeurs Initiales'!$R$4^2)^(3/2)))),0)</f>
        <v>-2.0186847747072707</v>
      </c>
      <c r="Q36" s="37">
        <f>IF(Body2Actif=TRUE,('Valeurs Initiales'!$Q$4*((($E$17-$E24)/(($C$17-$C24)^2+($D$17-$D24)^2+($E$17-$E24)^2+'Valeurs Initiales'!$R$4^2)^(3/2)))),0)</f>
        <v>-30.018831485577728</v>
      </c>
      <c r="R36" s="37">
        <f>IF(Body3Actif=TRUE,('Valeurs Initiales'!$Q$5*((($C$18-$C24)/(($C$18-$C24)^2+($D$18-$D24)^2+($E$18-$E24)^2+'Valeurs Initiales'!$R$5^2)^(3/2)))),0)</f>
        <v>0.70148579812322498</v>
      </c>
      <c r="S36" s="37">
        <f>IF(Body3Actif=TRUE,('Valeurs Initiales'!$Q$5*((($D$18-$D24)/(($C$18-$C24)^2+($D$18-$D24)^2+($E$18-$E24)^2+'Valeurs Initiales'!$R$5^2)^(3/2)))),0)</f>
        <v>0.46701678963495863</v>
      </c>
      <c r="T36" s="37">
        <f>IF(Body3Actif=TRUE,('Valeurs Initiales'!$Q$5*((($E$18-$E24)/(($C$18-$C24)^2+($D$18-$D24)^2+($E$18-$E24)^2+'Valeurs Initiales'!$R$5^2)^(3/2)))),0)</f>
        <v>-0.96899722070870253</v>
      </c>
      <c r="U36" s="37">
        <f>IF(Body4Actif=TRUE,('Valeurs Initiales'!$Q$6*((($C$19-$C24)/(($C$19-$C24)^2+($D$19-$D24)^2+($E$19-$E24)^2+'Valeurs Initiales'!$R$6^2)^(3/2)))),0)</f>
        <v>1.4258924109142803</v>
      </c>
      <c r="V36" s="37">
        <f>IF(Body4Actif=TRUE,('Valeurs Initiales'!$Q$6*((($D$19-$D24)/(($C$19-$C24)^2+($D$19-$D24)^2+($E$19-$E24)^2+'Valeurs Initiales'!$R$6^2)^(3/2)))),0)</f>
        <v>-0.7349658204307109</v>
      </c>
      <c r="W36" s="37">
        <f>IF(Body4Actif=TRUE,('Valeurs Initiales'!$Q$6*((($E$19-$E24)/(($C$19-$C24)^2+($D$19-$D24)^2+($E$19-$E24)^2+'Valeurs Initiales'!$R$6^2)^(3/2)))),0)</f>
        <v>-3.9539048527839005</v>
      </c>
      <c r="X36" s="37">
        <f>IF(Body5Actif=TRUE,('Valeurs Initiales'!$Q$7*((($C$20-$C24)/(($C$20-$C24)^2+($D$20-$D24)^2+($E$20-$E24)^2+'Valeurs Initiales'!$R$7^2)^(3/2)))),0)</f>
        <v>8.6090871997617153</v>
      </c>
      <c r="Y36" s="37">
        <f>IF(Body5Actif=TRUE,('Valeurs Initiales'!$Q$7*((($D$20-$D24)/(($C$20-$C24)^2+($D$20-$D24)^2+($E$20-$E24)^2+'Valeurs Initiales'!$R$7^2)^(3/2)))),0)</f>
        <v>-0.59984941298598848</v>
      </c>
      <c r="Z36" s="37">
        <f>IF(Body5Actif=TRUE,('Valeurs Initiales'!$Q$7*((($E$20-$E24)/(($C$20-$C24)^2+($D$20-$D24)^2+($E$20-$E24)^2+'Valeurs Initiales'!$R$7^2)^(3/2)))),0)</f>
        <v>-9.4702842756989316</v>
      </c>
      <c r="AA36" s="37">
        <f>IF(Body6Actif=TRUE,('Valeurs Initiales'!$Q$8*((($C$21-$C24)/(($C$21-$C24)^2+($D$21-$D24)^2+($E$21-$E24)^2+'Valeurs Initiales'!$R$8^2)^(3/2)))),0)</f>
        <v>29.338947486385113</v>
      </c>
      <c r="AB36" s="37">
        <f>IF(Body6Actif=TRUE,('Valeurs Initiales'!$Q$8*((($D$21-$D24)/(($C$21-$C24)^2+($D$21-$D24)^2+($E$21-$E24)^2+'Valeurs Initiales'!$R$8^2)^(3/2)))),0)</f>
        <v>8.8167819568584331</v>
      </c>
      <c r="AC36" s="37">
        <f>IF(Body6Actif=TRUE,('Valeurs Initiales'!$Q$8*((($E$21-$E24)/(($C$21-$C24)^2+($D$21-$D24)^2+($E$21-$E24)^2+'Valeurs Initiales'!$R$8^2)^(3/2)))),0)</f>
        <v>-8.4922788470757222</v>
      </c>
      <c r="AD36" s="37">
        <f>IF(Body7Actif=TRUE,('Valeurs Initiales'!$Q$9*((($C$22-$C24)/(($C$22-$C24)^2+($D$22-$D24)^2+($E$22-$E24)^2+'Valeurs Initiales'!$R$9^2)^(3/2)))),0)</f>
        <v>10.926701719068287</v>
      </c>
      <c r="AE36" s="37">
        <f>IF(Body7Actif=TRUE,('Valeurs Initiales'!$Q$9*((($D$22-$D24)/(($C$22-$C24)^2+($D$22-$D24)^2+($E$22-$E24)^2+'Valeurs Initiales'!$R$9^2)^(3/2)))),0)</f>
        <v>-58.052688771342929</v>
      </c>
      <c r="AF36" s="37">
        <f>IF(Body7Actif=TRUE,('Valeurs Initiales'!$Q$9*((($E$22-$E24)/(($C$22-$C24)^2+($D$22-$D24)^2+($E$22-$E24)^2+'Valeurs Initiales'!$R$9^2)^(3/2)))),0)</f>
        <v>-28.729467702440637</v>
      </c>
      <c r="AG36" s="37">
        <f>IF(Body8Actif=TRUE,('Valeurs Initiales'!$Q$10*((($C$23-$C24)/(($C$23-$C24)^2+($D$23-$D24)^2+($E$23-$E24)^2+'Valeurs Initiales'!$R$10^2)^(3/2)))),0)</f>
        <v>0.58052616392174106</v>
      </c>
      <c r="AH36" s="37">
        <f>IF(Body8Actif=TRUE,('Valeurs Initiales'!$Q$10*((($D$23-$D24)/(($C$23-$C24)^2+($D$23-$D24)^2+($E$23-$E24)^2+'Valeurs Initiales'!$R$10^2)^(3/2)))),0)</f>
        <v>1.225986139134129E-2</v>
      </c>
      <c r="AI36" s="37">
        <f>IF(Body8Actif=TRUE,('Valeurs Initiales'!$Q$10*((($E$23-$E24)/(($C$23-$C24)^2+($D$23-$D24)^2+($E$23-$E24)^2+'Valeurs Initiales'!$R$10^2)^(3/2)))),0)</f>
        <v>-0.47477297706064059</v>
      </c>
      <c r="AJ36" s="28">
        <v>0</v>
      </c>
      <c r="AK36" s="28">
        <v>0</v>
      </c>
      <c r="AL36" s="28">
        <v>0</v>
      </c>
      <c r="AM36" s="37">
        <f>IF(Body10Actif=TRUE,('Valeurs Initiales'!$Q$12*((($C$25-$C24)/(($C$25-$C24)^2+($D$25-$D24)^2+($E$25-$E24)^2+'Valeurs Initiales'!$R$12^2)^(3/2)))),0)</f>
        <v>13.706317624218366</v>
      </c>
      <c r="AN36" s="37">
        <f>IF(Body10Actif=TRUE,('Valeurs Initiales'!$Q$12*((($D$25-$D24)/(($C$25-$C24)^2+($D$25-$D24)^2+($E$25-$E24)^2+'Valeurs Initiales'!$R$12^2)^(3/2)))),0)</f>
        <v>38.792290234325925</v>
      </c>
      <c r="AO36" s="38">
        <f>IF(Body10Actif=TRUE,('Valeurs Initiales'!$Q$12*((($E$25-$E24)/(($C$25-$C24)^2+($D$25-$D24)^2+($E$25-$E24)^2+'Valeurs Initiales'!$R$12^2)^(3/2)))),0)</f>
        <v>-17.196696509630723</v>
      </c>
      <c r="AP36" s="151"/>
    </row>
    <row r="37" spans="2:42" x14ac:dyDescent="0.3">
      <c r="B37" s="104" t="s">
        <v>66</v>
      </c>
      <c r="C37" s="39">
        <f>IF(Body10Actif=TRUE,(C25+F25*BaseTemps+I37*BaseTemps^2),0)</f>
        <v>-69923.635047302319</v>
      </c>
      <c r="D37" s="39">
        <f>IF(Body10Actif=TRUE,(D25+G25*BaseTemps+J37*BaseTemps^2),0)</f>
        <v>85790.752286509116</v>
      </c>
      <c r="E37" s="39">
        <f>IF(Body10Actif=TRUE,(E25+H25*BaseTemps+K37*BaseTemps^2),0)</f>
        <v>61819.446347771038</v>
      </c>
      <c r="F37" s="39">
        <f>IF(Body10Actif=TRUE,(F25+I37*BaseTemps),0)</f>
        <v>-519.3888937293118</v>
      </c>
      <c r="G37" s="39">
        <f>IF(Body10Actif=TRUE,(G25+J37*BaseTemps),0)</f>
        <v>830.94957948051092</v>
      </c>
      <c r="H37" s="40">
        <f>IF(Body10Actif=TRUE,(H25+K37*BaseTemps),0)</f>
        <v>-1472.1255168292435</v>
      </c>
      <c r="I37" s="39">
        <f>IF(Body10Actif=TRUE,(SUM(L37,O37,R37,U37,X37,AA37,AD37,AG37,AJ37,AM37,I25)),0)</f>
        <v>96.904062632704054</v>
      </c>
      <c r="J37" s="39">
        <f>IF(Body10Actif=TRUE,(SUM(M37,P37,S37,V37,Y37,AB37,AE37,AH37,AK37,AN37,J25)),0)</f>
        <v>-104.08828679515224</v>
      </c>
      <c r="K37" s="39">
        <f>IF(Body10Actif=TRUE,(SUM(N37,Q37,T37,W37,Z37,AC37,AF37,AI37,AL37,AO37,K25)),0)</f>
        <v>-36.239196183600491</v>
      </c>
      <c r="L37" s="41">
        <f>IF(Body1Actif=TRUE,('Valeurs Initiales'!$Q$3*((($C$16-$C25)/(($C$16-$C25)^2+($D$16-$D25)^2+($E$16-$E25)^2+'Valeurs Initiales'!$R$3^2)^(3/2)))),0)</f>
        <v>3.3247730861302336</v>
      </c>
      <c r="M37" s="41">
        <f>IF(Body1Actif=TRUE,('Valeurs Initiales'!$Q$3*((($D$16-$D25)/(($C$16-$C25)^2+($D$16-$D25)^2+($E$16-$E25)^2+'Valeurs Initiales'!$R$3^2)^(3/2)))),0)</f>
        <v>-1.5840309633633574</v>
      </c>
      <c r="N37" s="41">
        <f>IF(Body1Actif=TRUE,('Valeurs Initiales'!$Q$3*((($E$16-$E25)/(($C$16-$C25)^2+($D$16-$D25)^2+($E$16-$E25)^2+'Valeurs Initiales'!$R$3^2)^(3/2)))),0)</f>
        <v>1.560769041867673</v>
      </c>
      <c r="O37" s="41">
        <f>IF(Body2Actif=TRUE,('Valeurs Initiales'!$Q$4*((($C$17-$C25)/(($C$17-$C25)^2+($D$17-$D25)^2+($E$17-$E25)^2+'Valeurs Initiales'!$R$4^2)^(3/2)))),0)</f>
        <v>37.629306736507495</v>
      </c>
      <c r="P37" s="41">
        <f>IF(Body2Actif=TRUE,('Valeurs Initiales'!$Q$4*((($D$17-$D25)/(($C$17-$C25)^2+($D$17-$D25)^2+($E$17-$E25)^2+'Valeurs Initiales'!$R$4^2)^(3/2)))),0)</f>
        <v>-38.429276814440406</v>
      </c>
      <c r="Q37" s="41">
        <f>IF(Body2Actif=TRUE,('Valeurs Initiales'!$Q$4*((($E$17-$E25)/(($C$17-$C25)^2+($D$17-$D25)^2+($E$17-$E25)^2+'Valeurs Initiales'!$R$4^2)^(3/2)))),0)</f>
        <v>-22.58148975796151</v>
      </c>
      <c r="R37" s="41">
        <f>IF(Body3Actif=TRUE,('Valeurs Initiales'!$Q$5*((($C$18-$C25)/(($C$18-$C25)^2+($D$18-$D25)^2+($E$18-$E25)^2+'Valeurs Initiales'!$R$5^2)^(3/2)))),0)</f>
        <v>1.281746281300262</v>
      </c>
      <c r="S37" s="41">
        <f>IF(Body3Actif=TRUE,('Valeurs Initiales'!$Q$5*((($D$18-$D25)/(($C$18-$C25)^2+($D$18-$D25)^2+($E$18-$E25)^2+'Valeurs Initiales'!$R$5^2)^(3/2)))),0)</f>
        <v>0.16536549615077945</v>
      </c>
      <c r="T37" s="41">
        <f>IF(Body3Actif=TRUE,('Valeurs Initiales'!$Q$5*((($E$18-$E25)/(($C$18-$C25)^2+($D$18-$D25)^2+($E$18-$E25)^2+'Valeurs Initiales'!$R$5^2)^(3/2)))),0)</f>
        <v>-1.8108085447216551</v>
      </c>
      <c r="U37" s="41">
        <f>IF(Body4Actif=TRUE,('Valeurs Initiales'!$Q$6*((($C$19-$C25)/(($C$19-$C25)^2+($D$19-$D25)^2+($E$19-$E25)^2+'Valeurs Initiales'!$R$6^2)^(3/2)))),0)</f>
        <v>0.97191050730097051</v>
      </c>
      <c r="V37" s="41">
        <f>IF(Body4Actif=TRUE,('Valeurs Initiales'!$Q$6*((($D$19-$D25)/(($C$19-$C25)^2+($D$19-$D25)^2+($E$19-$E25)^2+'Valeurs Initiales'!$R$6^2)^(3/2)))),0)</f>
        <v>-2.6629602607790543</v>
      </c>
      <c r="W37" s="41">
        <f>IF(Body4Actif=TRUE,('Valeurs Initiales'!$Q$6*((($E$19-$E25)/(($C$19-$C25)^2+($D$19-$D25)^2+($E$19-$E25)^2+'Valeurs Initiales'!$R$6^2)^(3/2)))),0)</f>
        <v>-3.6761595814349235</v>
      </c>
      <c r="X37" s="41">
        <f>IF(Body5Actif=TRUE,('Valeurs Initiales'!$Q$7*((($C$20-$C25)/(($C$20-$C25)^2+($D$20-$D25)^2+($E$20-$E25)^2+'Valeurs Initiales'!$R$7^2)^(3/2)))),0)</f>
        <v>8.2534638239786347</v>
      </c>
      <c r="Y37" s="41">
        <f>IF(Body5Actif=TRUE,('Valeurs Initiales'!$Q$7*((($D$20-$D25)/(($C$20-$C25)^2+($D$20-$D25)^2+($E$20-$E25)^2+'Valeurs Initiales'!$R$7^2)^(3/2)))),0)</f>
        <v>-9.9880313030742087</v>
      </c>
      <c r="Z37" s="41">
        <f>IF(Body5Actif=TRUE,('Valeurs Initiales'!$Q$7*((($E$20-$E25)/(($C$20-$C25)^2+($D$20-$D25)^2+($E$20-$E25)^2+'Valeurs Initiales'!$R$7^2)^(3/2)))),0)</f>
        <v>-8.5771965477911518</v>
      </c>
      <c r="AA37" s="41">
        <f>IF(Body6Actif=TRUE,('Valeurs Initiales'!$Q$8*((($C$21-$C25)/(($C$21-$C25)^2+($D$21-$D25)^2+($E$21-$E25)^2+'Valeurs Initiales'!$R$8^2)^(3/2)))),0)</f>
        <v>50.005297820862964</v>
      </c>
      <c r="AB37" s="41">
        <f>IF(Body6Actif=TRUE,('Valeurs Initiales'!$Q$8*((($D$21-$D25)/(($C$21-$C25)^2+($D$21-$D25)^2+($E$21-$E25)^2+'Valeurs Initiales'!$R$8^2)^(3/2)))),0)</f>
        <v>-13.809188737349338</v>
      </c>
      <c r="AC37" s="41">
        <f>IF(Body6Actif=TRUE,('Valeurs Initiales'!$Q$8*((($E$21-$E25)/(($C$21-$C25)^2+($D$21-$D25)^2+($E$21-$E25)^2+'Valeurs Initiales'!$R$8^2)^(3/2)))),0)</f>
        <v>-3.4718902196456511</v>
      </c>
      <c r="AD37" s="41">
        <f>IF(Body7Actif=TRUE,('Valeurs Initiales'!$Q$9*((($C$22-$C25)/(($C$22-$C25)^2+($D$22-$D25)^2+($E$22-$E25)^2+'Valeurs Initiales'!$R$9^2)^(3/2)))),0)</f>
        <v>-1.3018049276573977</v>
      </c>
      <c r="AE37" s="41">
        <f>IF(Body7Actif=TRUE,('Valeurs Initiales'!$Q$9*((($D$22-$D25)/(($C$22-$C25)^2+($D$22-$D25)^2+($E$22-$E25)^2+'Valeurs Initiales'!$R$9^2)^(3/2)))),0)</f>
        <v>-26.112390181387671</v>
      </c>
      <c r="AF37" s="41">
        <f>IF(Body7Actif=TRUE,('Valeurs Initiales'!$Q$9*((($E$22-$E25)/(($C$22-$C25)^2+($D$22-$D25)^2+($E$22-$E25)^2+'Valeurs Initiales'!$R$9^2)^(3/2)))),0)</f>
        <v>-2.1527120171334513</v>
      </c>
      <c r="AG37" s="41">
        <f>IF(Body8Actif=TRUE,('Valeurs Initiales'!$Q$10*((($C$23-$C25)/(($C$23-$C25)^2+($D$23-$D25)^2+($E$23-$E25)^2+'Valeurs Initiales'!$R$10^2)^(3/2)))),0)</f>
        <v>0.73305613173013751</v>
      </c>
      <c r="AH37" s="41">
        <f>IF(Body8Actif=TRUE,('Valeurs Initiales'!$Q$10*((($D$23-$D25)/(($C$23-$C25)^2+($D$23-$D25)^2+($E$23-$E25)^2+'Valeurs Initiales'!$R$10^2)^(3/2)))),0)</f>
        <v>-0.36464632272920444</v>
      </c>
      <c r="AI37" s="41">
        <f>IF(Body8Actif=TRUE,('Valeurs Initiales'!$Q$10*((($E$23-$E25)/(($C$23-$C25)^2+($D$23-$D25)^2+($E$23-$E25)^2+'Valeurs Initiales'!$R$10^2)^(3/2)))),0)</f>
        <v>-0.54040670409283409</v>
      </c>
      <c r="AJ37" s="41">
        <f>IF(Body9Actif=TRUE,('Valeurs Initiales'!$Q$11*((($C$24-$C25)/(($C$24-$C25)^2+($D$24-$D25)^2+($E$24-$E25)^2+'Valeurs Initiales'!$R$11^2)^(3/2)))),0)</f>
        <v>-3.9936868274492463</v>
      </c>
      <c r="AK37" s="41">
        <f>IF(Body9Actif=TRUE,('Valeurs Initiales'!$Q$11*((($D$24-$D25)/(($C$24-$C25)^2+($D$24-$D25)^2+($E$24-$E25)^2+'Valeurs Initiales'!$R$11^2)^(3/2)))),0)</f>
        <v>-11.30312770817978</v>
      </c>
      <c r="AL37" s="41">
        <f>IF(Body9Actif=TRUE,('Valeurs Initiales'!$Q$11*((($E$24-$E25)/(($C$24-$C25)^2+($D$24-$D25)^2+($E$24-$E25)^2+'Valeurs Initiales'!$R$11^2)^(3/2)))),0)</f>
        <v>5.010698147313013</v>
      </c>
      <c r="AM37" s="43">
        <v>0</v>
      </c>
      <c r="AN37" s="43">
        <v>0</v>
      </c>
      <c r="AO37" s="44">
        <v>0</v>
      </c>
      <c r="AP37" s="151"/>
    </row>
  </sheetData>
  <mergeCells count="18">
    <mergeCell ref="L16:L25"/>
    <mergeCell ref="AP28:AP37"/>
    <mergeCell ref="R26:T26"/>
    <mergeCell ref="U26:W26"/>
    <mergeCell ref="X26:Z26"/>
    <mergeCell ref="AA26:AC26"/>
    <mergeCell ref="AD26:AF26"/>
    <mergeCell ref="AG26:AI26"/>
    <mergeCell ref="AJ26:AL26"/>
    <mergeCell ref="AM26:AO26"/>
    <mergeCell ref="L26:N26"/>
    <mergeCell ref="O26:Q26"/>
    <mergeCell ref="N7:AO7"/>
    <mergeCell ref="N8:AO8"/>
    <mergeCell ref="N3:AO4"/>
    <mergeCell ref="N9:AO9"/>
    <mergeCell ref="L4:L13"/>
    <mergeCell ref="N6:AO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B3:Y290"/>
  <sheetViews>
    <sheetView zoomScale="50" zoomScaleNormal="50" workbookViewId="0">
      <selection activeCell="B5" sqref="B5"/>
    </sheetView>
  </sheetViews>
  <sheetFormatPr defaultColWidth="11.5546875" defaultRowHeight="14.4" x14ac:dyDescent="0.3"/>
  <cols>
    <col min="5" max="5" width="6.109375" customWidth="1"/>
  </cols>
  <sheetData>
    <row r="3" spans="2:25" x14ac:dyDescent="0.3">
      <c r="B3" s="152" t="s">
        <v>133</v>
      </c>
      <c r="C3" s="152"/>
      <c r="D3" s="152"/>
      <c r="F3" s="142" t="s">
        <v>55</v>
      </c>
      <c r="G3" s="142"/>
      <c r="H3" s="142" t="s">
        <v>56</v>
      </c>
      <c r="I3" s="142"/>
      <c r="J3" s="142" t="s">
        <v>57</v>
      </c>
      <c r="K3" s="142"/>
      <c r="L3" s="142" t="s">
        <v>60</v>
      </c>
      <c r="M3" s="142"/>
      <c r="N3" s="142" t="s">
        <v>61</v>
      </c>
      <c r="O3" s="142"/>
      <c r="P3" s="142" t="s">
        <v>62</v>
      </c>
      <c r="Q3" s="142"/>
      <c r="R3" s="142" t="s">
        <v>63</v>
      </c>
      <c r="S3" s="142"/>
      <c r="T3" s="142" t="s">
        <v>64</v>
      </c>
      <c r="U3" s="142"/>
      <c r="V3" s="142" t="s">
        <v>65</v>
      </c>
      <c r="W3" s="142"/>
      <c r="X3" s="142" t="s">
        <v>66</v>
      </c>
      <c r="Y3" s="142"/>
    </row>
    <row r="4" spans="2:25" x14ac:dyDescent="0.3">
      <c r="B4" s="152"/>
      <c r="C4" s="152"/>
      <c r="D4" s="152"/>
      <c r="F4" s="153">
        <f>'Valeurs Initiales'!R3*PlanetScale</f>
        <v>1510.7396337319587</v>
      </c>
      <c r="G4" s="154"/>
      <c r="H4" s="142">
        <f>'Valeurs Initiales'!R4*PlanetScale</f>
        <v>5888.6764277936491</v>
      </c>
      <c r="I4" s="142"/>
      <c r="J4" s="142">
        <f>'Valeurs Initiales'!R5*PlanetScale</f>
        <v>2617.0586134107234</v>
      </c>
      <c r="K4" s="142"/>
      <c r="L4" s="142">
        <f>'Valeurs Initiales'!R6*PlanetScale</f>
        <v>3402.9419283234629</v>
      </c>
      <c r="M4" s="142"/>
      <c r="N4" s="142">
        <f>'Valeurs Initiales'!R7*PlanetScale</f>
        <v>3884.7706104065292</v>
      </c>
      <c r="O4" s="142"/>
      <c r="P4" s="142">
        <f>'Valeurs Initiales'!R8*PlanetScale</f>
        <v>5629.6958188336248</v>
      </c>
      <c r="Q4" s="142"/>
      <c r="R4" s="142">
        <f>'Valeurs Initiales'!R9*PlanetScale</f>
        <v>5653.6980554255615</v>
      </c>
      <c r="S4" s="142"/>
      <c r="T4" s="142">
        <f>'Valeurs Initiales'!R10*PlanetScale</f>
        <v>2039.0654825532811</v>
      </c>
      <c r="U4" s="142"/>
      <c r="V4" s="142">
        <f>'Valeurs Initiales'!R11*PlanetScale</f>
        <v>2829.2358617645423</v>
      </c>
      <c r="W4" s="142"/>
      <c r="X4" s="142">
        <f>'Valeurs Initiales'!R12*PlanetScale</f>
        <v>4270.6016607501342</v>
      </c>
      <c r="Y4" s="142"/>
    </row>
    <row r="5" spans="2:25" x14ac:dyDescent="0.3">
      <c r="B5" s="57" t="s">
        <v>0</v>
      </c>
      <c r="C5" s="57" t="s">
        <v>1</v>
      </c>
      <c r="D5" s="57" t="s">
        <v>94</v>
      </c>
      <c r="F5" s="60" t="s">
        <v>50</v>
      </c>
      <c r="G5" s="60" t="s">
        <v>86</v>
      </c>
      <c r="H5" s="60" t="s">
        <v>50</v>
      </c>
      <c r="I5" s="60" t="s">
        <v>86</v>
      </c>
      <c r="J5" s="60" t="s">
        <v>50</v>
      </c>
      <c r="K5" s="60" t="s">
        <v>86</v>
      </c>
      <c r="L5" s="60" t="s">
        <v>50</v>
      </c>
      <c r="M5" s="60" t="s">
        <v>86</v>
      </c>
      <c r="N5" s="60" t="s">
        <v>50</v>
      </c>
      <c r="O5" s="60" t="s">
        <v>86</v>
      </c>
      <c r="P5" s="60" t="s">
        <v>50</v>
      </c>
      <c r="Q5" s="60" t="s">
        <v>86</v>
      </c>
      <c r="R5" s="60" t="s">
        <v>50</v>
      </c>
      <c r="S5" s="60" t="s">
        <v>86</v>
      </c>
      <c r="T5" s="60" t="s">
        <v>50</v>
      </c>
      <c r="U5" s="60" t="s">
        <v>86</v>
      </c>
      <c r="V5" s="60" t="s">
        <v>50</v>
      </c>
      <c r="W5" s="60" t="s">
        <v>86</v>
      </c>
      <c r="X5" s="60" t="s">
        <v>50</v>
      </c>
      <c r="Y5" s="60" t="s">
        <v>86</v>
      </c>
    </row>
    <row r="6" spans="2:25" x14ac:dyDescent="0.3">
      <c r="B6" s="101">
        <v>1</v>
      </c>
      <c r="C6" s="101">
        <v>0</v>
      </c>
      <c r="D6" s="101">
        <v>0</v>
      </c>
      <c r="F6" s="105">
        <f>IF(Body1Actif=TRUE,((((($B6*$F$4)+'Calculs 3D'!$C$6-OffsetX)/Ecran)*'Calculs 3D'!$C$31)+(((($C6*$F$4)+'Calculs 3D'!$D$6-OffsetY)/Ecran)*'Calculs 3D'!$D$31)+(((($D6*$F$4)+'Calculs 3D'!$E$6-OffsetZ)/Ecran)*'Calculs 3D'!$E$31)),0)</f>
        <v>5.3634710342272629E-2</v>
      </c>
      <c r="G6" s="105">
        <f>IF(Body1Actif=TRUE,((((($B6*$F$4)+'Calculs 3D'!$C$6-OffsetX)/Ecran)*'Calculs 3D'!$C$32)+(((($C6*$F$4)+'Calculs 3D'!$D$6-OffsetY)/Ecran)*'Calculs 3D'!$D$32)+(((($D6*$F$4)+'Calculs 3D'!$E$6-OffsetZ)/Ecran)*'Calculs 3D'!$E$32)),0)</f>
        <v>0.26258941456327106</v>
      </c>
      <c r="H6" s="105">
        <f>IF(Body2Actif=TRUE,((((($B6*$H$4)+'Calculs 3D'!$C$7-OffsetX)/Ecran)*'Calculs 3D'!$C$31)+(((($C6*$H$4)+'Calculs 3D'!$D$7-OffsetY)/Ecran)*'Calculs 3D'!$D$31)+(((($D6*$H$4)+'Calculs 3D'!$E$7-OffsetZ)/Ecran)*'Calculs 3D'!$E$31)),0)</f>
        <v>3.7158282606028138E-2</v>
      </c>
      <c r="I6" s="105">
        <f>IF(Body2Actif=TRUE,((((($B6*$H$4)+'Calculs 3D'!$C$7-OffsetX)/Ecran)*'Calculs 3D'!$C$32)+(((($C6*$H$4)+'Calculs 3D'!$D$7-OffsetY)/Ecran)*'Calculs 3D'!$D$32)+(((($D6*$H$4)+'Calculs 3D'!$E$7-OffsetZ)/Ecran)*'Calculs 3D'!$E$32)),0)</f>
        <v>2.5355450630712401E-2</v>
      </c>
      <c r="J6" s="105">
        <f>IF(Body3Actif=TRUE,((((($B6*$J$4)+'Calculs 3D'!$C$8-OffsetX)/Ecran)*'Calculs 3D'!$C$31)+(((($C6*$J$4)+'Calculs 3D'!$D$8-OffsetY)/Ecran)*'Calculs 3D'!$D$31)+(((($D6*$J$4)+'Calculs 3D'!$E$8-OffsetZ)/Ecran)*'Calculs 3D'!$E$31)),0)</f>
        <v>0.22395314610602049</v>
      </c>
      <c r="K6" s="105">
        <f>IF(Body3Actif=TRUE,((((($B6*$J$4)+'Calculs 3D'!$C$8-OffsetX)/Ecran)*'Calculs 3D'!$C$32)+(((($C6*$J$4)+'Calculs 3D'!$D$8-OffsetY)/Ecran)*'Calculs 3D'!$D$32)+(((($D6*$J$4)+'Calculs 3D'!$E$8-OffsetZ)/Ecran)*'Calculs 3D'!$E$32)),0)</f>
        <v>-8.3073575897327445E-2</v>
      </c>
      <c r="L6" s="105">
        <f>IF(Body4Actif=TRUE,((((($B6*$L$4)+'Calculs 3D'!$C$9-OffsetX)/Ecran)*'Calculs 3D'!$C$31)+(((($C6*$L$4)+'Calculs 3D'!$D$9-OffsetY)/Ecran)*'Calculs 3D'!$D$31)+(((($D6*$L$4)+'Calculs 3D'!$E$9-OffsetZ)/Ecran)*'Calculs 3D'!$E$31)),0)</f>
        <v>-8.7643398181133508E-2</v>
      </c>
      <c r="M6" s="105">
        <f>IF(Body4Actif=TRUE,((((($B6*$L$4)+'Calculs 3D'!$C$9-OffsetX)/Ecran)*'Calculs 3D'!$C$32)+(((($C6*$L$4)+'Calculs 3D'!$D$9-OffsetY)/Ecran)*'Calculs 3D'!$D$32)+(((($D6*$L$4)+'Calculs 3D'!$E$9-OffsetZ)/Ecran)*'Calculs 3D'!$E$32)),0)</f>
        <v>-0.17497869912269728</v>
      </c>
      <c r="N6" s="105">
        <f>IF(Body5Actif=TRUE,((((($B6*$N$4)+'Calculs 3D'!$C$10-OffsetX)/Ecran)*'Calculs 3D'!$C$31)+(((($C6*$N$4)+'Calculs 3D'!$D$10-OffsetY)/Ecran)*'Calculs 3D'!$D$31)+(((($D6*$N$4)+'Calculs 3D'!$E$10-OffsetZ)/Ecran)*'Calculs 3D'!$E$31)),0)</f>
        <v>8.7128476801239044E-3</v>
      </c>
      <c r="O6" s="105">
        <f>IF(Body5Actif=TRUE,((((($B6*$N$4)+'Calculs 3D'!$C$10-OffsetX)/Ecran)*'Calculs 3D'!$C$32)+(((($C6*$N$4)+'Calculs 3D'!$D$10-OffsetY)/Ecran)*'Calculs 3D'!$D$32)+(((($D6*$N$4)+'Calculs 3D'!$E$10-OffsetZ)/Ecran)*'Calculs 3D'!$E$32)),0)</f>
        <v>-8.4707440125362712E-3</v>
      </c>
      <c r="P6" s="105">
        <f>IF(Body6Actif=TRUE,((((($B6*$P$4)+'Calculs 3D'!$C$11-OffsetX)/Ecran)*'Calculs 3D'!$C$31)+(((($C6*$P$4)+'Calculs 3D'!$D$11-OffsetY)/Ecran)*'Calculs 3D'!$D$31)+(((($D6*$P$4)+'Calculs 3D'!$E$11-OffsetZ)/Ecran)*'Calculs 3D'!$E$31)),0)</f>
        <v>0.18206303157477915</v>
      </c>
      <c r="Q6" s="105">
        <f>IF(Body6Actif=TRUE,((((($B6*$P$4)+'Calculs 3D'!$C$11-OffsetX)/Ecran)*'Calculs 3D'!$C$32)+(((($C6*$P$4)+'Calculs 3D'!$D$11-OffsetY)/Ecran)*'Calculs 3D'!$D$32)+(((($D6*$P$4)+'Calculs 3D'!$E$11-OffsetZ)/Ecran)*'Calculs 3D'!$E$32)),0)</f>
        <v>0.12799669651387671</v>
      </c>
      <c r="R6" s="105">
        <f>IF(Body7Actif=TRUE,((((($B6*$R$4)+'Calculs 3D'!$C$12-OffsetX)/Ecran)*'Calculs 3D'!$C$31)+(((($C6*$R$4)+'Calculs 3D'!$D$12-OffsetY)/Ecran)*'Calculs 3D'!$D$31)+(((($D6*$R$4)+'Calculs 3D'!$E$12-OffsetZ)/Ecran)*'Calculs 3D'!$E$31)),0)</f>
        <v>-0.26930352299409743</v>
      </c>
      <c r="S6" s="105">
        <f>IF(Body7Actif=TRUE,((((($B6*$R$4)+'Calculs 3D'!$C$12-OffsetX)/Ecran)*'Calculs 3D'!$C$32)+(((($C6*$R$4)+'Calculs 3D'!$D$12-OffsetY)/Ecran)*'Calculs 3D'!$D$32)+(((($D6*$R$4)+'Calculs 3D'!$E$12-OffsetZ)/Ecran)*'Calculs 3D'!$E$32)),0)</f>
        <v>5.7263859770902203E-2</v>
      </c>
      <c r="T6" s="105">
        <f>IF(Body8Actif=TRUE,((((($B6*$T$4)+'Calculs 3D'!$C$13-OffsetX)/Ecran)*'Calculs 3D'!$C$31)+(((($C6*$T$4)+'Calculs 3D'!$D$13-OffsetY)/Ecran)*'Calculs 3D'!$D$31)+(((($D6*$T$4)+'Calculs 3D'!$E$13-OffsetZ)/Ecran)*'Calculs 3D'!$E$31)),0)</f>
        <v>0.17229490738118819</v>
      </c>
      <c r="U6" s="105">
        <f>IF(Body8Actif=TRUE,((((($B6*$T$4)+'Calculs 3D'!$C$13-OffsetX)/Ecran)*'Calculs 3D'!$C$32)+(((($C6*$T$4)+'Calculs 3D'!$D$13-OffsetY)/Ecran)*'Calculs 3D'!$D$32)+(((($D6*$T$4)+'Calculs 3D'!$E$13-OffsetZ)/Ecran)*'Calculs 3D'!$E$32)),0)</f>
        <v>-0.13240323412528454</v>
      </c>
      <c r="V6" s="105">
        <f>IF(Body9Actif=TRUE,((((($B6*$V$4)+'Calculs 3D'!$C$14-OffsetX)/Ecran)*'Calculs 3D'!$C$31)+(((($C6*$V$4)+'Calculs 3D'!$D$14-OffsetY)/Ecran)*'Calculs 3D'!$D$31)+(((($D6*$V$4)+'Calculs 3D'!$E$14-OffsetZ)/Ecran)*'Calculs 3D'!$E$31)),0)</f>
        <v>-0.17193665000442729</v>
      </c>
      <c r="W6" s="105">
        <f>IF(Body9Actif=TRUE,((((($B6*$V$4)+'Calculs 3D'!$C$14-OffsetX)/Ecran)*'Calculs 3D'!$C$32)+(((($C6*$V$4)+'Calculs 3D'!$D$14-OffsetY)/Ecran)*'Calculs 3D'!$D$32)+(((($D6*$V$4)+'Calculs 3D'!$E$14-OffsetZ)/Ecran)*'Calculs 3D'!$E$32)),0)</f>
        <v>0.28613074765001645</v>
      </c>
      <c r="X6" s="105">
        <f>IF(Body10Actif=TRUE,((((($B6*$X$4)+'Calculs 3D'!$C$15-OffsetX)/Ecran)*'Calculs 3D'!$C$31)+(((($C6*$X$4)+'Calculs 3D'!$D$15-OffsetY)/Ecran)*'Calculs 3D'!$D$31)+(((($D6*$X$4)+'Calculs 3D'!$E$15-OffsetZ)/Ecran)*'Calculs 3D'!$E$31)),0)</f>
        <v>-6.8049837453750817E-3</v>
      </c>
      <c r="Y6" s="105">
        <f>IF(Body10Actif=TRUE,((((($B6*$X$4)+'Calculs 3D'!$C$15-OffsetX)/Ecran)*'Calculs 3D'!$C$32)+(((($C6*$X$4)+'Calculs 3D'!$D$15-OffsetY)/Ecran)*'Calculs 3D'!$D$32)+(((($D6*$X$4)+'Calculs 3D'!$E$15-OffsetZ)/Ecran)*'Calculs 3D'!$E$32)),0)</f>
        <v>0.28870627756293921</v>
      </c>
    </row>
    <row r="7" spans="2:25" x14ac:dyDescent="0.3">
      <c r="B7" s="102">
        <v>0.95105651629515353</v>
      </c>
      <c r="C7" s="102">
        <v>0.3090169943749474</v>
      </c>
      <c r="D7" s="102">
        <v>0</v>
      </c>
      <c r="F7" s="105">
        <f>IF(Body1Actif=TRUE,((((($B7*$F$4)+'Calculs 3D'!$C$6-OffsetX)/Ecran)*'Calculs 3D'!$C$31)+(((($C7*$F$4)+'Calculs 3D'!$D$6-OffsetY)/Ecran)*'Calculs 3D'!$D$31)+(((($D7*$F$4)+'Calculs 3D'!$E$6-OffsetZ)/Ecran)*'Calculs 3D'!$E$31)),0)</f>
        <v>5.4171172180575593E-2</v>
      </c>
      <c r="G7" s="105">
        <f>IF(Body1Actif=TRUE,((((($B7*$F$4)+'Calculs 3D'!$C$6-OffsetX)/Ecran)*'Calculs 3D'!$C$32)+(((($C7*$F$4)+'Calculs 3D'!$D$6-OffsetY)/Ecran)*'Calculs 3D'!$D$32)+(((($D7*$F$4)+'Calculs 3D'!$E$6-OffsetZ)/Ecran)*'Calculs 3D'!$E$32)),0)</f>
        <v>0.26323762337630141</v>
      </c>
      <c r="H7" s="105">
        <f>IF(Body2Actif=TRUE,((((($B7*$H$4)+'Calculs 3D'!$C$7-OffsetX)/Ecran)*'Calculs 3D'!$C$31)+(((($C7*$H$4)+'Calculs 3D'!$D$7-OffsetY)/Ecran)*'Calculs 3D'!$D$31)+(((($D7*$H$4)+'Calculs 3D'!$E$7-OffsetZ)/Ecran)*'Calculs 3D'!$E$31)),0)</f>
        <v>3.924934456739463E-2</v>
      </c>
      <c r="I7" s="105">
        <f>IF(Body2Actif=TRUE,((((($B7*$H$4)+'Calculs 3D'!$C$7-OffsetX)/Ecran)*'Calculs 3D'!$C$32)+(((($C7*$H$4)+'Calculs 3D'!$D$7-OffsetY)/Ecran)*'Calculs 3D'!$D$32)+(((($D7*$H$4)+'Calculs 3D'!$E$7-OffsetZ)/Ecran)*'Calculs 3D'!$E$32)),0)</f>
        <v>2.7882088492294496E-2</v>
      </c>
      <c r="J7" s="105">
        <f>IF(Body3Actif=TRUE,((((($B7*$J$4)+'Calculs 3D'!$C$8-OffsetX)/Ecran)*'Calculs 3D'!$C$31)+(((($C7*$J$4)+'Calculs 3D'!$D$8-OffsetY)/Ecran)*'Calculs 3D'!$D$31)+(((($D7*$J$4)+'Calculs 3D'!$E$8-OffsetZ)/Ecran)*'Calculs 3D'!$E$31)),0)</f>
        <v>0.22488246049173555</v>
      </c>
      <c r="K7" s="105">
        <f>IF(Body3Actif=TRUE,((((($B7*$J$4)+'Calculs 3D'!$C$8-OffsetX)/Ecran)*'Calculs 3D'!$C$32)+(((($C7*$J$4)+'Calculs 3D'!$D$8-OffsetY)/Ecran)*'Calculs 3D'!$D$32)+(((($D7*$J$4)+'Calculs 3D'!$E$8-OffsetZ)/Ecran)*'Calculs 3D'!$E$32)),0)</f>
        <v>-8.1950681905833239E-2</v>
      </c>
      <c r="L7" s="105">
        <f>IF(Body4Actif=TRUE,((((($B7*$L$4)+'Calculs 3D'!$C$9-OffsetX)/Ecran)*'Calculs 3D'!$C$31)+(((($C7*$L$4)+'Calculs 3D'!$D$9-OffsetY)/Ecran)*'Calculs 3D'!$D$31)+(((($D7*$L$4)+'Calculs 3D'!$E$9-OffsetZ)/Ecran)*'Calculs 3D'!$E$31)),0)</f>
        <v>-8.6435017569580302E-2</v>
      </c>
      <c r="M7" s="105">
        <f>IF(Body4Actif=TRUE,((((($B7*$L$4)+'Calculs 3D'!$C$9-OffsetX)/Ecran)*'Calculs 3D'!$C$32)+(((($C7*$L$4)+'Calculs 3D'!$D$9-OffsetY)/Ecran)*'Calculs 3D'!$D$32)+(((($D7*$L$4)+'Calculs 3D'!$E$9-OffsetZ)/Ecran)*'Calculs 3D'!$E$32)),0)</f>
        <v>-0.17351860838375194</v>
      </c>
      <c r="N7" s="105">
        <f>IF(Body5Actif=TRUE,((((($B7*$N$4)+'Calculs 3D'!$C$10-OffsetX)/Ecran)*'Calculs 3D'!$C$31)+(((($C7*$N$4)+'Calculs 3D'!$D$10-OffsetY)/Ecran)*'Calculs 3D'!$D$31)+(((($D7*$N$4)+'Calculs 3D'!$E$10-OffsetZ)/Ecran)*'Calculs 3D'!$E$31)),0)</f>
        <v>1.0092325080803431E-2</v>
      </c>
      <c r="O7" s="105">
        <f>IF(Body5Actif=TRUE,((((($B7*$N$4)+'Calculs 3D'!$C$10-OffsetX)/Ecran)*'Calculs 3D'!$C$32)+(((($C7*$N$4)+'Calculs 3D'!$D$10-OffsetY)/Ecran)*'Calculs 3D'!$D$32)+(((($D7*$N$4)+'Calculs 3D'!$E$10-OffsetZ)/Ecran)*'Calculs 3D'!$E$32)),0)</f>
        <v>-6.803916393771669E-3</v>
      </c>
      <c r="P7" s="105">
        <f>IF(Body6Actif=TRUE,((((($B7*$P$4)+'Calculs 3D'!$C$11-OffsetX)/Ecran)*'Calculs 3D'!$C$31)+(((($C7*$P$4)+'Calculs 3D'!$D$11-OffsetY)/Ecran)*'Calculs 3D'!$D$31)+(((($D7*$P$4)+'Calculs 3D'!$E$11-OffsetZ)/Ecran)*'Calculs 3D'!$E$31)),0)</f>
        <v>0.18406212983143744</v>
      </c>
      <c r="Q7" s="105">
        <f>IF(Body6Actif=TRUE,((((($B7*$P$4)+'Calculs 3D'!$C$11-OffsetX)/Ecran)*'Calculs 3D'!$C$32)+(((($C7*$P$4)+'Calculs 3D'!$D$11-OffsetY)/Ecran)*'Calculs 3D'!$D$32)+(((($D7*$P$4)+'Calculs 3D'!$E$11-OffsetZ)/Ecran)*'Calculs 3D'!$E$32)),0)</f>
        <v>0.130412214292697</v>
      </c>
      <c r="R7" s="105">
        <f>IF(Body7Actif=TRUE,((((($B7*$R$4)+'Calculs 3D'!$C$12-OffsetX)/Ecran)*'Calculs 3D'!$C$31)+(((($C7*$R$4)+'Calculs 3D'!$D$12-OffsetY)/Ecran)*'Calculs 3D'!$D$31)+(((($D7*$R$4)+'Calculs 3D'!$E$12-OffsetZ)/Ecran)*'Calculs 3D'!$E$31)),0)</f>
        <v>-0.26729590157191285</v>
      </c>
      <c r="S7" s="105">
        <f>IF(Body7Actif=TRUE,((((($B7*$R$4)+'Calculs 3D'!$C$12-OffsetX)/Ecran)*'Calculs 3D'!$C$32)+(((($C7*$R$4)+'Calculs 3D'!$D$12-OffsetY)/Ecran)*'Calculs 3D'!$D$32)+(((($D7*$R$4)+'Calculs 3D'!$E$12-OffsetZ)/Ecran)*'Calculs 3D'!$E$32)),0)</f>
        <v>5.9689676121987306E-2</v>
      </c>
      <c r="T7" s="105">
        <f>IF(Body8Actif=TRUE,((((($B7*$T$4)+'Calculs 3D'!$C$13-OffsetX)/Ecran)*'Calculs 3D'!$C$31)+(((($C7*$T$4)+'Calculs 3D'!$D$13-OffsetY)/Ecran)*'Calculs 3D'!$D$31)+(((($D7*$T$4)+'Calculs 3D'!$E$13-OffsetZ)/Ecran)*'Calculs 3D'!$E$31)),0)</f>
        <v>0.1730189770969528</v>
      </c>
      <c r="U7" s="105">
        <f>IF(Body8Actif=TRUE,((((($B7*$T$4)+'Calculs 3D'!$C$13-OffsetX)/Ecran)*'Calculs 3D'!$C$32)+(((($C7*$T$4)+'Calculs 3D'!$D$13-OffsetY)/Ecran)*'Calculs 3D'!$D$32)+(((($D7*$T$4)+'Calculs 3D'!$E$13-OffsetZ)/Ecran)*'Calculs 3D'!$E$32)),0)</f>
        <v>-0.13152833802364994</v>
      </c>
      <c r="V7" s="105">
        <f>IF(Body9Actif=TRUE,((((($B7*$V$4)+'Calculs 3D'!$C$14-OffsetX)/Ecran)*'Calculs 3D'!$C$31)+(((($C7*$V$4)+'Calculs 3D'!$D$14-OffsetY)/Ecran)*'Calculs 3D'!$D$31)+(((($D7*$V$4)+'Calculs 3D'!$E$14-OffsetZ)/Ecran)*'Calculs 3D'!$E$31)),0)</f>
        <v>-0.17093199173141591</v>
      </c>
      <c r="W7" s="105">
        <f>IF(Body9Actif=TRUE,((((($B7*$V$4)+'Calculs 3D'!$C$14-OffsetX)/Ecran)*'Calculs 3D'!$C$32)+(((($C7*$V$4)+'Calculs 3D'!$D$14-OffsetY)/Ecran)*'Calculs 3D'!$D$32)+(((($D7*$V$4)+'Calculs 3D'!$E$14-OffsetZ)/Ecran)*'Calculs 3D'!$E$32)),0)</f>
        <v>0.28734467993774426</v>
      </c>
      <c r="X7" s="105">
        <f>IF(Body10Actif=TRUE,((((($B7*$X$4)+'Calculs 3D'!$C$15-OffsetX)/Ecran)*'Calculs 3D'!$C$31)+(((($C7*$X$4)+'Calculs 3D'!$D$15-OffsetY)/Ecran)*'Calculs 3D'!$D$31)+(((($D7*$X$4)+'Calculs 3D'!$E$15-OffsetZ)/Ecran)*'Calculs 3D'!$E$31)),0)</f>
        <v>-5.2884981998636282E-3</v>
      </c>
      <c r="Y7" s="105">
        <f>IF(Body10Actif=TRUE,((((($B7*$X$4)+'Calculs 3D'!$C$15-OffsetX)/Ecran)*'Calculs 3D'!$C$32)+(((($C7*$X$4)+'Calculs 3D'!$D$15-OffsetY)/Ecran)*'Calculs 3D'!$D$32)+(((($D7*$X$4)+'Calculs 3D'!$E$15-OffsetZ)/Ecran)*'Calculs 3D'!$E$32)),0)</f>
        <v>0.29053865262719952</v>
      </c>
    </row>
    <row r="8" spans="2:25" x14ac:dyDescent="0.3">
      <c r="B8" s="102">
        <v>0.80901699437494745</v>
      </c>
      <c r="C8" s="102">
        <v>0.58778525229247314</v>
      </c>
      <c r="D8" s="102">
        <v>0</v>
      </c>
      <c r="F8" s="105">
        <f>IF(Body1Actif=TRUE,((((($B8*$F$4)+'Calculs 3D'!$C$6-OffsetX)/Ecran)*'Calculs 3D'!$C$31)+(((($C8*$F$4)+'Calculs 3D'!$D$6-OffsetY)/Ecran)*'Calculs 3D'!$D$31)+(((($D8*$F$4)+'Calculs 3D'!$E$6-OffsetZ)/Ecran)*'Calculs 3D'!$E$31)),0)</f>
        <v>5.4356024332190174E-2</v>
      </c>
      <c r="G8" s="105">
        <f>IF(Body1Actif=TRUE,((((($B8*$F$4)+'Calculs 3D'!$C$6-OffsetX)/Ecran)*'Calculs 3D'!$C$32)+(((($C8*$F$4)+'Calculs 3D'!$D$6-OffsetY)/Ecran)*'Calculs 3D'!$D$32)+(((($D8*$F$4)+'Calculs 3D'!$E$6-OffsetZ)/Ecran)*'Calculs 3D'!$E$32)),0)</f>
        <v>0.26395616838076619</v>
      </c>
      <c r="H8" s="105">
        <f>IF(Body2Actif=TRUE,((((($B8*$H$4)+'Calculs 3D'!$C$7-OffsetX)/Ecran)*'Calculs 3D'!$C$31)+(((($C8*$H$4)+'Calculs 3D'!$D$7-OffsetY)/Ecran)*'Calculs 3D'!$D$31)+(((($D8*$H$4)+'Calculs 3D'!$E$7-OffsetZ)/Ecran)*'Calculs 3D'!$E$31)),0)</f>
        <v>3.9969875414361714E-2</v>
      </c>
      <c r="I8" s="105">
        <f>IF(Body2Actif=TRUE,((((($B8*$H$4)+'Calculs 3D'!$C$7-OffsetX)/Ecran)*'Calculs 3D'!$C$32)+(((($C8*$H$4)+'Calculs 3D'!$D$7-OffsetY)/Ecran)*'Calculs 3D'!$D$32)+(((($D8*$H$4)+'Calculs 3D'!$E$7-OffsetZ)/Ecran)*'Calculs 3D'!$E$32)),0)</f>
        <v>3.0682888137464417E-2</v>
      </c>
      <c r="J8" s="105">
        <f>IF(Body3Actif=TRUE,((((($B8*$J$4)+'Calculs 3D'!$C$8-OffsetX)/Ecran)*'Calculs 3D'!$C$31)+(((($C8*$J$4)+'Calculs 3D'!$D$8-OffsetY)/Ecran)*'Calculs 3D'!$D$31)+(((($D8*$J$4)+'Calculs 3D'!$E$8-OffsetZ)/Ecran)*'Calculs 3D'!$E$31)),0)</f>
        <v>0.22520268040573579</v>
      </c>
      <c r="K8" s="105">
        <f>IF(Body3Actif=TRUE,((((($B8*$J$4)+'Calculs 3D'!$C$8-OffsetX)/Ecran)*'Calculs 3D'!$C$32)+(((($C8*$J$4)+'Calculs 3D'!$D$8-OffsetY)/Ecran)*'Calculs 3D'!$D$32)+(((($D8*$J$4)+'Calculs 3D'!$E$8-OffsetZ)/Ecran)*'Calculs 3D'!$E$32)),0)</f>
        <v>-8.0705944327583268E-2</v>
      </c>
      <c r="L8" s="105">
        <f>IF(Body4Actif=TRUE,((((($B8*$L$4)+'Calculs 3D'!$C$9-OffsetX)/Ecran)*'Calculs 3D'!$C$31)+(((($C8*$L$4)+'Calculs 3D'!$D$9-OffsetY)/Ecran)*'Calculs 3D'!$D$31)+(((($D8*$L$4)+'Calculs 3D'!$E$9-OffsetZ)/Ecran)*'Calculs 3D'!$E$31)),0)</f>
        <v>-8.60186379875367E-2</v>
      </c>
      <c r="M8" s="105">
        <f>IF(Body4Actif=TRUE,((((($B8*$L$4)+'Calculs 3D'!$C$9-OffsetX)/Ecran)*'Calculs 3D'!$C$32)+(((($C8*$L$4)+'Calculs 3D'!$D$9-OffsetY)/Ecran)*'Calculs 3D'!$D$32)+(((($D8*$L$4)+'Calculs 3D'!$E$9-OffsetZ)/Ecran)*'Calculs 3D'!$E$32)),0)</f>
        <v>-0.17190008533154319</v>
      </c>
      <c r="N8" s="105">
        <f>IF(Body5Actif=TRUE,((((($B8*$N$4)+'Calculs 3D'!$C$10-OffsetX)/Ecran)*'Calculs 3D'!$C$31)+(((($C8*$N$4)+'Calculs 3D'!$D$10-OffsetY)/Ecran)*'Calculs 3D'!$D$31)+(((($D8*$N$4)+'Calculs 3D'!$E$10-OffsetZ)/Ecran)*'Calculs 3D'!$E$31)),0)</f>
        <v>1.0567660598472174E-2</v>
      </c>
      <c r="O8" s="105">
        <f>IF(Body5Actif=TRUE,((((($B8*$N$4)+'Calculs 3D'!$C$10-OffsetX)/Ecran)*'Calculs 3D'!$C$32)+(((($C8*$N$4)+'Calculs 3D'!$D$10-OffsetY)/Ecran)*'Calculs 3D'!$D$32)+(((($D8*$N$4)+'Calculs 3D'!$E$10-OffsetZ)/Ecran)*'Calculs 3D'!$E$32)),0)</f>
        <v>-4.9562237449042555E-3</v>
      </c>
      <c r="P8" s="105">
        <f>IF(Body6Actif=TRUE,((((($B8*$P$4)+'Calculs 3D'!$C$11-OffsetX)/Ecran)*'Calculs 3D'!$C$31)+(((($C8*$P$4)+'Calculs 3D'!$D$11-OffsetY)/Ecran)*'Calculs 3D'!$D$31)+(((($D8*$P$4)+'Calculs 3D'!$E$11-OffsetZ)/Ecran)*'Calculs 3D'!$E$31)),0)</f>
        <v>0.18475097214536823</v>
      </c>
      <c r="Q8" s="105">
        <f>IF(Body6Actif=TRUE,((((($B8*$P$4)+'Calculs 3D'!$C$11-OffsetX)/Ecran)*'Calculs 3D'!$C$32)+(((($C8*$P$4)+'Calculs 3D'!$D$11-OffsetY)/Ecran)*'Calculs 3D'!$D$32)+(((($D8*$P$4)+'Calculs 3D'!$E$11-OffsetZ)/Ecran)*'Calculs 3D'!$E$32)),0)</f>
        <v>0.13308983637724267</v>
      </c>
      <c r="R8" s="105">
        <f>IF(Body7Actif=TRUE,((((($B8*$R$4)+'Calculs 3D'!$C$12-OffsetX)/Ecran)*'Calculs 3D'!$C$31)+(((($C8*$R$4)+'Calculs 3D'!$D$12-OffsetY)/Ecran)*'Calculs 3D'!$D$31)+(((($D8*$R$4)+'Calculs 3D'!$E$12-OffsetZ)/Ecran)*'Calculs 3D'!$E$31)),0)</f>
        <v>-0.26660412237529324</v>
      </c>
      <c r="S8" s="105">
        <f>IF(Body7Actif=TRUE,((((($B8*$R$4)+'Calculs 3D'!$C$12-OffsetX)/Ecran)*'Calculs 3D'!$C$32)+(((($C8*$R$4)+'Calculs 3D'!$D$12-OffsetY)/Ecran)*'Calculs 3D'!$D$32)+(((($D8*$R$4)+'Calculs 3D'!$E$12-OffsetZ)/Ecran)*'Calculs 3D'!$E$32)),0)</f>
        <v>6.2378714261830684E-2</v>
      </c>
      <c r="T8" s="105">
        <f>IF(Body8Actif=TRUE,((((($B8*$T$4)+'Calculs 3D'!$C$13-OffsetX)/Ecran)*'Calculs 3D'!$C$31)+(((($C8*$T$4)+'Calculs 3D'!$D$13-OffsetY)/Ecran)*'Calculs 3D'!$D$31)+(((($D8*$T$4)+'Calculs 3D'!$E$13-OffsetZ)/Ecran)*'Calculs 3D'!$E$31)),0)</f>
        <v>0.17326847451749899</v>
      </c>
      <c r="U8" s="105">
        <f>IF(Body8Actif=TRUE,((((($B8*$T$4)+'Calculs 3D'!$C$13-OffsetX)/Ecran)*'Calculs 3D'!$C$32)+(((($C8*$T$4)+'Calculs 3D'!$D$13-OffsetY)/Ecran)*'Calculs 3D'!$D$32)+(((($D8*$T$4)+'Calculs 3D'!$E$13-OffsetZ)/Ecran)*'Calculs 3D'!$E$32)),0)</f>
        <v>-0.13055850822402665</v>
      </c>
      <c r="V8" s="105">
        <f>IF(Body9Actif=TRUE,((((($B8*$V$4)+'Calculs 3D'!$C$14-OffsetX)/Ecran)*'Calculs 3D'!$C$31)+(((($C8*$V$4)+'Calculs 3D'!$D$14-OffsetY)/Ecran)*'Calculs 3D'!$D$31)+(((($D8*$V$4)+'Calculs 3D'!$E$14-OffsetZ)/Ecran)*'Calculs 3D'!$E$31)),0)</f>
        <v>-0.17058581008317233</v>
      </c>
      <c r="W8" s="105">
        <f>IF(Body9Actif=TRUE,((((($B8*$V$4)+'Calculs 3D'!$C$14-OffsetX)/Ecran)*'Calculs 3D'!$C$32)+(((($C8*$V$4)+'Calculs 3D'!$D$14-OffsetY)/Ecran)*'Calculs 3D'!$D$32)+(((($D8*$V$4)+'Calculs 3D'!$E$14-OffsetZ)/Ecran)*'Calculs 3D'!$E$32)),0)</f>
        <v>0.28869033424476842</v>
      </c>
      <c r="X8" s="105">
        <f>IF(Body10Actif=TRUE,((((($B8*$X$4)+'Calculs 3D'!$C$15-OffsetX)/Ecran)*'Calculs 3D'!$C$31)+(((($C8*$X$4)+'Calculs 3D'!$D$15-OffsetY)/Ecran)*'Calculs 3D'!$D$31)+(((($D8*$X$4)+'Calculs 3D'!$E$15-OffsetZ)/Ecran)*'Calculs 3D'!$E$31)),0)</f>
        <v>-4.765952892881592E-3</v>
      </c>
      <c r="Y8" s="105">
        <f>IF(Body10Actif=TRUE,((((($B8*$X$4)+'Calculs 3D'!$C$15-OffsetX)/Ecran)*'Calculs 3D'!$C$32)+(((($C8*$X$4)+'Calculs 3D'!$D$15-OffsetY)/Ecran)*'Calculs 3D'!$D$32)+(((($D8*$X$4)+'Calculs 3D'!$E$15-OffsetZ)/Ecran)*'Calculs 3D'!$E$32)),0)</f>
        <v>0.29256985603305086</v>
      </c>
    </row>
    <row r="9" spans="2:25" x14ac:dyDescent="0.3">
      <c r="B9" s="102">
        <v>0.58778525229247314</v>
      </c>
      <c r="C9" s="102">
        <v>0.80901699437494745</v>
      </c>
      <c r="D9" s="102">
        <v>0</v>
      </c>
      <c r="F9" s="105">
        <f>IF(Body1Actif=TRUE,((((($B9*$F$4)+'Calculs 3D'!$C$6-OffsetX)/Ecran)*'Calculs 3D'!$C$31)+(((($C9*$F$4)+'Calculs 3D'!$D$6-OffsetY)/Ecran)*'Calculs 3D'!$D$31)+(((($D9*$F$4)+'Calculs 3D'!$E$6-OffsetZ)/Ecran)*'Calculs 3D'!$E$31)),0)</f>
        <v>5.4171172180575614E-2</v>
      </c>
      <c r="G9" s="105">
        <f>IF(Body1Actif=TRUE,((((($B9*$F$4)+'Calculs 3D'!$C$6-OffsetX)/Ecran)*'Calculs 3D'!$C$32)+(((($C9*$F$4)+'Calculs 3D'!$D$6-OffsetY)/Ecran)*'Calculs 3D'!$D$32)+(((($D9*$F$4)+'Calculs 3D'!$E$6-OffsetZ)/Ecran)*'Calculs 3D'!$E$32)),0)</f>
        <v>0.26467471338523096</v>
      </c>
      <c r="H9" s="105">
        <f>IF(Body2Actif=TRUE,((((($B9*$H$4)+'Calculs 3D'!$C$7-OffsetX)/Ecran)*'Calculs 3D'!$C$31)+(((($C9*$H$4)+'Calculs 3D'!$D$7-OffsetY)/Ecran)*'Calculs 3D'!$D$31)+(((($D9*$H$4)+'Calculs 3D'!$E$7-OffsetZ)/Ecran)*'Calculs 3D'!$E$31)),0)</f>
        <v>3.9249344567394637E-2</v>
      </c>
      <c r="I9" s="105">
        <f>IF(Body2Actif=TRUE,((((($B9*$H$4)+'Calculs 3D'!$C$7-OffsetX)/Ecran)*'Calculs 3D'!$C$32)+(((($C9*$H$4)+'Calculs 3D'!$D$7-OffsetY)/Ecran)*'Calculs 3D'!$D$32)+(((($D9*$H$4)+'Calculs 3D'!$E$7-OffsetZ)/Ecran)*'Calculs 3D'!$E$32)),0)</f>
        <v>3.3483687782634344E-2</v>
      </c>
      <c r="J9" s="105">
        <f>IF(Body3Actif=TRUE,((((($B9*$J$4)+'Calculs 3D'!$C$8-OffsetX)/Ecran)*'Calculs 3D'!$C$31)+(((($C9*$J$4)+'Calculs 3D'!$D$8-OffsetY)/Ecran)*'Calculs 3D'!$D$31)+(((($D9*$J$4)+'Calculs 3D'!$E$8-OffsetZ)/Ecran)*'Calculs 3D'!$E$31)),0)</f>
        <v>0.22488246049173555</v>
      </c>
      <c r="K9" s="105">
        <f>IF(Body3Actif=TRUE,((((($B9*$J$4)+'Calculs 3D'!$C$8-OffsetX)/Ecran)*'Calculs 3D'!$C$32)+(((($C9*$J$4)+'Calculs 3D'!$D$8-OffsetY)/Ecran)*'Calculs 3D'!$D$32)+(((($D9*$J$4)+'Calculs 3D'!$E$8-OffsetZ)/Ecran)*'Calculs 3D'!$E$32)),0)</f>
        <v>-7.9461206749333269E-2</v>
      </c>
      <c r="L9" s="105">
        <f>IF(Body4Actif=TRUE,((((($B9*$L$4)+'Calculs 3D'!$C$9-OffsetX)/Ecran)*'Calculs 3D'!$C$31)+(((($C9*$L$4)+'Calculs 3D'!$D$9-OffsetY)/Ecran)*'Calculs 3D'!$D$31)+(((($D9*$L$4)+'Calculs 3D'!$E$9-OffsetZ)/Ecran)*'Calculs 3D'!$E$31)),0)</f>
        <v>-8.6435017569580302E-2</v>
      </c>
      <c r="M9" s="105">
        <f>IF(Body4Actif=TRUE,((((($B9*$L$4)+'Calculs 3D'!$C$9-OffsetX)/Ecran)*'Calculs 3D'!$C$32)+(((($C9*$L$4)+'Calculs 3D'!$D$9-OffsetY)/Ecran)*'Calculs 3D'!$D$32)+(((($D9*$L$4)+'Calculs 3D'!$E$9-OffsetZ)/Ecran)*'Calculs 3D'!$E$32)),0)</f>
        <v>-0.17028156227933447</v>
      </c>
      <c r="N9" s="105">
        <f>IF(Body5Actif=TRUE,((((($B9*$N$4)+'Calculs 3D'!$C$10-OffsetX)/Ecran)*'Calculs 3D'!$C$31)+(((($C9*$N$4)+'Calculs 3D'!$D$10-OffsetY)/Ecran)*'Calculs 3D'!$D$31)+(((($D9*$N$4)+'Calculs 3D'!$E$10-OffsetZ)/Ecran)*'Calculs 3D'!$E$31)),0)</f>
        <v>1.0092325080803431E-2</v>
      </c>
      <c r="O9" s="105">
        <f>IF(Body5Actif=TRUE,((((($B9*$N$4)+'Calculs 3D'!$C$10-OffsetX)/Ecran)*'Calculs 3D'!$C$32)+(((($C9*$N$4)+'Calculs 3D'!$D$10-OffsetY)/Ecran)*'Calculs 3D'!$D$32)+(((($D9*$N$4)+'Calculs 3D'!$E$10-OffsetZ)/Ecran)*'Calculs 3D'!$E$32)),0)</f>
        <v>-3.1085310960368394E-3</v>
      </c>
      <c r="P9" s="105">
        <f>IF(Body6Actif=TRUE,((((($B9*$P$4)+'Calculs 3D'!$C$11-OffsetX)/Ecran)*'Calculs 3D'!$C$31)+(((($C9*$P$4)+'Calculs 3D'!$D$11-OffsetY)/Ecran)*'Calculs 3D'!$D$31)+(((($D9*$P$4)+'Calculs 3D'!$E$11-OffsetZ)/Ecran)*'Calculs 3D'!$E$31)),0)</f>
        <v>0.18406212983143744</v>
      </c>
      <c r="Q9" s="105">
        <f>IF(Body6Actif=TRUE,((((($B9*$P$4)+'Calculs 3D'!$C$11-OffsetX)/Ecran)*'Calculs 3D'!$C$32)+(((($C9*$P$4)+'Calculs 3D'!$D$11-OffsetY)/Ecran)*'Calculs 3D'!$D$32)+(((($D9*$P$4)+'Calculs 3D'!$E$11-OffsetZ)/Ecran)*'Calculs 3D'!$E$32)),0)</f>
        <v>0.13576745846178834</v>
      </c>
      <c r="R9" s="105">
        <f>IF(Body7Actif=TRUE,((((($B9*$R$4)+'Calculs 3D'!$C$12-OffsetX)/Ecran)*'Calculs 3D'!$C$31)+(((($C9*$R$4)+'Calculs 3D'!$D$12-OffsetY)/Ecran)*'Calculs 3D'!$D$31)+(((($D9*$R$4)+'Calculs 3D'!$E$12-OffsetZ)/Ecran)*'Calculs 3D'!$E$31)),0)</f>
        <v>-0.26729590157191285</v>
      </c>
      <c r="S9" s="105">
        <f>IF(Body7Actif=TRUE,((((($B9*$R$4)+'Calculs 3D'!$C$12-OffsetX)/Ecran)*'Calculs 3D'!$C$32)+(((($C9*$R$4)+'Calculs 3D'!$D$12-OffsetY)/Ecran)*'Calculs 3D'!$D$32)+(((($D9*$R$4)+'Calculs 3D'!$E$12-OffsetZ)/Ecran)*'Calculs 3D'!$E$32)),0)</f>
        <v>6.5067752401674089E-2</v>
      </c>
      <c r="T9" s="105">
        <f>IF(Body8Actif=TRUE,((((($B9*$T$4)+'Calculs 3D'!$C$13-OffsetX)/Ecran)*'Calculs 3D'!$C$31)+(((($C9*$T$4)+'Calculs 3D'!$D$13-OffsetY)/Ecran)*'Calculs 3D'!$D$31)+(((($D9*$T$4)+'Calculs 3D'!$E$13-OffsetZ)/Ecran)*'Calculs 3D'!$E$31)),0)</f>
        <v>0.17301897709695283</v>
      </c>
      <c r="U9" s="105">
        <f>IF(Body8Actif=TRUE,((((($B9*$T$4)+'Calculs 3D'!$C$13-OffsetX)/Ecran)*'Calculs 3D'!$C$32)+(((($C9*$T$4)+'Calculs 3D'!$D$13-OffsetY)/Ecran)*'Calculs 3D'!$D$32)+(((($D9*$T$4)+'Calculs 3D'!$E$13-OffsetZ)/Ecran)*'Calculs 3D'!$E$32)),0)</f>
        <v>-0.12958867842440336</v>
      </c>
      <c r="V9" s="105">
        <f>IF(Body9Actif=TRUE,((((($B9*$V$4)+'Calculs 3D'!$C$14-OffsetX)/Ecran)*'Calculs 3D'!$C$31)+(((($C9*$V$4)+'Calculs 3D'!$D$14-OffsetY)/Ecran)*'Calculs 3D'!$D$31)+(((($D9*$V$4)+'Calculs 3D'!$E$14-OffsetZ)/Ecran)*'Calculs 3D'!$E$31)),0)</f>
        <v>-0.17093199173141591</v>
      </c>
      <c r="W9" s="105">
        <f>IF(Body9Actif=TRUE,((((($B9*$V$4)+'Calculs 3D'!$C$14-OffsetX)/Ecran)*'Calculs 3D'!$C$32)+(((($C9*$V$4)+'Calculs 3D'!$D$14-OffsetY)/Ecran)*'Calculs 3D'!$D$32)+(((($D9*$V$4)+'Calculs 3D'!$E$14-OffsetZ)/Ecran)*'Calculs 3D'!$E$32)),0)</f>
        <v>0.29003598855179258</v>
      </c>
      <c r="X9" s="105">
        <f>IF(Body10Actif=TRUE,((((($B9*$X$4)+'Calculs 3D'!$C$15-OffsetX)/Ecran)*'Calculs 3D'!$C$31)+(((($C9*$X$4)+'Calculs 3D'!$D$15-OffsetY)/Ecran)*'Calculs 3D'!$D$31)+(((($D9*$X$4)+'Calculs 3D'!$E$15-OffsetZ)/Ecran)*'Calculs 3D'!$E$31)),0)</f>
        <v>-5.2884981998636282E-3</v>
      </c>
      <c r="Y9" s="105">
        <f>IF(Body10Actif=TRUE,((((($B9*$X$4)+'Calculs 3D'!$C$15-OffsetX)/Ecran)*'Calculs 3D'!$C$32)+(((($C9*$X$4)+'Calculs 3D'!$D$15-OffsetY)/Ecran)*'Calculs 3D'!$D$32)+(((($D9*$X$4)+'Calculs 3D'!$E$15-OffsetZ)/Ecran)*'Calculs 3D'!$E$32)),0)</f>
        <v>0.29460105943890225</v>
      </c>
    </row>
    <row r="10" spans="2:25" x14ac:dyDescent="0.3">
      <c r="B10" s="102">
        <v>0.30901699437494745</v>
      </c>
      <c r="C10" s="102">
        <v>0.95105651629515353</v>
      </c>
      <c r="D10" s="102">
        <v>0</v>
      </c>
      <c r="F10" s="105">
        <f>IF(Body1Actif=TRUE,((((($B10*$F$4)+'Calculs 3D'!$C$6-OffsetX)/Ecran)*'Calculs 3D'!$C$31)+(((($C10*$F$4)+'Calculs 3D'!$D$6-OffsetY)/Ecran)*'Calculs 3D'!$D$31)+(((($D10*$F$4)+'Calculs 3D'!$E$6-OffsetZ)/Ecran)*'Calculs 3D'!$E$31)),0)</f>
        <v>5.3634710342272629E-2</v>
      </c>
      <c r="G10" s="105">
        <f>IF(Body1Actif=TRUE,((((($B10*$F$4)+'Calculs 3D'!$C$6-OffsetX)/Ecran)*'Calculs 3D'!$C$32)+(((($C10*$F$4)+'Calculs 3D'!$D$6-OffsetY)/Ecran)*'Calculs 3D'!$D$32)+(((($D10*$F$4)+'Calculs 3D'!$E$6-OffsetZ)/Ecran)*'Calculs 3D'!$E$32)),0)</f>
        <v>0.26532292219826131</v>
      </c>
      <c r="H10" s="105">
        <f>IF(Body2Actif=TRUE,((((($B10*$H$4)+'Calculs 3D'!$C$7-OffsetX)/Ecran)*'Calculs 3D'!$C$31)+(((($C10*$H$4)+'Calculs 3D'!$D$7-OffsetY)/Ecran)*'Calculs 3D'!$D$31)+(((($D10*$H$4)+'Calculs 3D'!$E$7-OffsetZ)/Ecran)*'Calculs 3D'!$E$31)),0)</f>
        <v>3.7158282606028138E-2</v>
      </c>
      <c r="I10" s="105">
        <f>IF(Body2Actif=TRUE,((((($B10*$H$4)+'Calculs 3D'!$C$7-OffsetX)/Ecran)*'Calculs 3D'!$C$32)+(((($C10*$H$4)+'Calculs 3D'!$D$7-OffsetY)/Ecran)*'Calculs 3D'!$D$32)+(((($D10*$H$4)+'Calculs 3D'!$E$7-OffsetZ)/Ecran)*'Calculs 3D'!$E$32)),0)</f>
        <v>3.601032564421644E-2</v>
      </c>
      <c r="J10" s="105">
        <f>IF(Body3Actif=TRUE,((((($B10*$J$4)+'Calculs 3D'!$C$8-OffsetX)/Ecran)*'Calculs 3D'!$C$31)+(((($C10*$J$4)+'Calculs 3D'!$D$8-OffsetY)/Ecran)*'Calculs 3D'!$D$31)+(((($D10*$J$4)+'Calculs 3D'!$E$8-OffsetZ)/Ecran)*'Calculs 3D'!$E$31)),0)</f>
        <v>0.22395314610602046</v>
      </c>
      <c r="K10" s="105">
        <f>IF(Body3Actif=TRUE,((((($B10*$J$4)+'Calculs 3D'!$C$8-OffsetX)/Ecran)*'Calculs 3D'!$C$32)+(((($C10*$J$4)+'Calculs 3D'!$D$8-OffsetY)/Ecran)*'Calculs 3D'!$D$32)+(((($D10*$J$4)+'Calculs 3D'!$E$8-OffsetZ)/Ecran)*'Calculs 3D'!$E$32)),0)</f>
        <v>-7.8338312757839063E-2</v>
      </c>
      <c r="L10" s="105">
        <f>IF(Body4Actif=TRUE,((((($B10*$L$4)+'Calculs 3D'!$C$9-OffsetX)/Ecran)*'Calculs 3D'!$C$31)+(((($C10*$L$4)+'Calculs 3D'!$D$9-OffsetY)/Ecran)*'Calculs 3D'!$D$31)+(((($D10*$L$4)+'Calculs 3D'!$E$9-OffsetZ)/Ecran)*'Calculs 3D'!$E$31)),0)</f>
        <v>-8.7643398181133522E-2</v>
      </c>
      <c r="M10" s="105">
        <f>IF(Body4Actif=TRUE,((((($B10*$L$4)+'Calculs 3D'!$C$9-OffsetX)/Ecran)*'Calculs 3D'!$C$32)+(((($C10*$L$4)+'Calculs 3D'!$D$9-OffsetY)/Ecran)*'Calculs 3D'!$D$32)+(((($D10*$L$4)+'Calculs 3D'!$E$9-OffsetZ)/Ecran)*'Calculs 3D'!$E$32)),0)</f>
        <v>-0.16882147154038912</v>
      </c>
      <c r="N10" s="105">
        <f>IF(Body5Actif=TRUE,((((($B10*$N$4)+'Calculs 3D'!$C$10-OffsetX)/Ecran)*'Calculs 3D'!$C$31)+(((($C10*$N$4)+'Calculs 3D'!$D$10-OffsetY)/Ecran)*'Calculs 3D'!$D$31)+(((($D10*$N$4)+'Calculs 3D'!$E$10-OffsetZ)/Ecran)*'Calculs 3D'!$E$31)),0)</f>
        <v>8.7128476801239026E-3</v>
      </c>
      <c r="O10" s="105">
        <f>IF(Body5Actif=TRUE,((((($B10*$N$4)+'Calculs 3D'!$C$10-OffsetX)/Ecran)*'Calculs 3D'!$C$32)+(((($C10*$N$4)+'Calculs 3D'!$D$10-OffsetY)/Ecran)*'Calculs 3D'!$D$32)+(((($D10*$N$4)+'Calculs 3D'!$E$10-OffsetZ)/Ecran)*'Calculs 3D'!$E$32)),0)</f>
        <v>-1.4417034772722364E-3</v>
      </c>
      <c r="P10" s="105">
        <f>IF(Body6Actif=TRUE,((((($B10*$P$4)+'Calculs 3D'!$C$11-OffsetX)/Ecran)*'Calculs 3D'!$C$31)+(((($C10*$P$4)+'Calculs 3D'!$D$11-OffsetY)/Ecran)*'Calculs 3D'!$D$31)+(((($D10*$P$4)+'Calculs 3D'!$E$11-OffsetZ)/Ecran)*'Calculs 3D'!$E$31)),0)</f>
        <v>0.18206303157477915</v>
      </c>
      <c r="Q10" s="105">
        <f>IF(Body6Actif=TRUE,((((($B10*$P$4)+'Calculs 3D'!$C$11-OffsetX)/Ecran)*'Calculs 3D'!$C$32)+(((($C10*$P$4)+'Calculs 3D'!$D$11-OffsetY)/Ecran)*'Calculs 3D'!$D$32)+(((($D10*$P$4)+'Calculs 3D'!$E$11-OffsetZ)/Ecran)*'Calculs 3D'!$E$32)),0)</f>
        <v>0.13818297624060863</v>
      </c>
      <c r="R10" s="105">
        <f>IF(Body7Actif=TRUE,((((($B10*$R$4)+'Calculs 3D'!$C$12-OffsetX)/Ecran)*'Calculs 3D'!$C$31)+(((($C10*$R$4)+'Calculs 3D'!$D$12-OffsetY)/Ecran)*'Calculs 3D'!$D$31)+(((($D10*$R$4)+'Calculs 3D'!$E$12-OffsetZ)/Ecran)*'Calculs 3D'!$E$31)),0)</f>
        <v>-0.26930352299409754</v>
      </c>
      <c r="S10" s="105">
        <f>IF(Body7Actif=TRUE,((((($B10*$R$4)+'Calculs 3D'!$C$12-OffsetX)/Ecran)*'Calculs 3D'!$C$32)+(((($C10*$R$4)+'Calculs 3D'!$D$12-OffsetY)/Ecran)*'Calculs 3D'!$D$32)+(((($D10*$R$4)+'Calculs 3D'!$E$12-OffsetZ)/Ecran)*'Calculs 3D'!$E$32)),0)</f>
        <v>6.7493568752759178E-2</v>
      </c>
      <c r="T10" s="105">
        <f>IF(Body8Actif=TRUE,((((($B10*$T$4)+'Calculs 3D'!$C$13-OffsetX)/Ecran)*'Calculs 3D'!$C$31)+(((($C10*$T$4)+'Calculs 3D'!$D$13-OffsetY)/Ecran)*'Calculs 3D'!$D$31)+(((($D10*$T$4)+'Calculs 3D'!$E$13-OffsetZ)/Ecran)*'Calculs 3D'!$E$31)),0)</f>
        <v>0.17229490738118813</v>
      </c>
      <c r="U10" s="105">
        <f>IF(Body8Actif=TRUE,((((($B10*$T$4)+'Calculs 3D'!$C$13-OffsetX)/Ecran)*'Calculs 3D'!$C$32)+(((($C10*$T$4)+'Calculs 3D'!$D$13-OffsetY)/Ecran)*'Calculs 3D'!$D$32)+(((($D10*$T$4)+'Calculs 3D'!$E$13-OffsetZ)/Ecran)*'Calculs 3D'!$E$32)),0)</f>
        <v>-0.12871378232276875</v>
      </c>
      <c r="V10" s="105">
        <f>IF(Body9Actif=TRUE,((((($B10*$V$4)+'Calculs 3D'!$C$14-OffsetX)/Ecran)*'Calculs 3D'!$C$31)+(((($C10*$V$4)+'Calculs 3D'!$D$14-OffsetY)/Ecran)*'Calculs 3D'!$D$31)+(((($D10*$V$4)+'Calculs 3D'!$E$14-OffsetZ)/Ecran)*'Calculs 3D'!$E$31)),0)</f>
        <v>-0.17193665000442729</v>
      </c>
      <c r="W10" s="105">
        <f>IF(Body9Actif=TRUE,((((($B10*$V$4)+'Calculs 3D'!$C$14-OffsetX)/Ecran)*'Calculs 3D'!$C$32)+(((($C10*$V$4)+'Calculs 3D'!$D$14-OffsetY)/Ecran)*'Calculs 3D'!$D$32)+(((($D10*$V$4)+'Calculs 3D'!$E$14-OffsetZ)/Ecran)*'Calculs 3D'!$E$32)),0)</f>
        <v>0.29124992083952034</v>
      </c>
      <c r="X10" s="105">
        <f>IF(Body10Actif=TRUE,((((($B10*$X$4)+'Calculs 3D'!$C$15-OffsetX)/Ecran)*'Calculs 3D'!$C$31)+(((($C10*$X$4)+'Calculs 3D'!$D$15-OffsetY)/Ecran)*'Calculs 3D'!$D$31)+(((($D10*$X$4)+'Calculs 3D'!$E$15-OffsetZ)/Ecran)*'Calculs 3D'!$E$31)),0)</f>
        <v>-6.8049837453750817E-3</v>
      </c>
      <c r="Y10" s="105">
        <f>IF(Body10Actif=TRUE,((((($B10*$X$4)+'Calculs 3D'!$C$15-OffsetX)/Ecran)*'Calculs 3D'!$C$32)+(((($C10*$X$4)+'Calculs 3D'!$D$15-OffsetY)/Ecran)*'Calculs 3D'!$D$32)+(((($D10*$X$4)+'Calculs 3D'!$E$15-OffsetZ)/Ecran)*'Calculs 3D'!$E$32)),0)</f>
        <v>0.29643343450316256</v>
      </c>
    </row>
    <row r="11" spans="2:25" x14ac:dyDescent="0.3">
      <c r="B11" s="102">
        <v>6.1257422745431001E-17</v>
      </c>
      <c r="C11" s="102">
        <v>1</v>
      </c>
      <c r="D11" s="102">
        <v>0</v>
      </c>
      <c r="F11" s="105">
        <f>IF(Body1Actif=TRUE,((((($B11*$F$4)+'Calculs 3D'!$C$6-OffsetX)/Ecran)*'Calculs 3D'!$C$31)+(((($C11*$F$4)+'Calculs 3D'!$D$6-OffsetY)/Ecran)*'Calculs 3D'!$D$31)+(((($D11*$F$4)+'Calculs 3D'!$E$6-OffsetZ)/Ecran)*'Calculs 3D'!$E$31)),0)</f>
        <v>5.2799151439763735E-2</v>
      </c>
      <c r="G11" s="105">
        <f>IF(Body1Actif=TRUE,((((($B11*$F$4)+'Calculs 3D'!$C$6-OffsetX)/Ecran)*'Calculs 3D'!$C$32)+(((($C11*$F$4)+'Calculs 3D'!$D$6-OffsetY)/Ecran)*'Calculs 3D'!$D$32)+(((($D11*$F$4)+'Calculs 3D'!$E$6-OffsetZ)/Ecran)*'Calculs 3D'!$E$32)),0)</f>
        <v>0.26583734362490141</v>
      </c>
      <c r="H11" s="105">
        <f>IF(Body2Actif=TRUE,((((($B11*$H$4)+'Calculs 3D'!$C$7-OffsetX)/Ecran)*'Calculs 3D'!$C$31)+(((($C11*$H$4)+'Calculs 3D'!$D$7-OffsetY)/Ecran)*'Calculs 3D'!$D$31)+(((($D11*$H$4)+'Calculs 3D'!$E$7-OffsetZ)/Ecran)*'Calculs 3D'!$E$31)),0)</f>
        <v>3.390137724432616E-2</v>
      </c>
      <c r="I11" s="105">
        <f>IF(Body2Actif=TRUE,((((($B11*$H$4)+'Calculs 3D'!$C$7-OffsetX)/Ecran)*'Calculs 3D'!$C$32)+(((($C11*$H$4)+'Calculs 3D'!$D$7-OffsetY)/Ecran)*'Calculs 3D'!$D$32)+(((($D11*$H$4)+'Calculs 3D'!$E$7-OffsetZ)/Ecran)*'Calculs 3D'!$E$32)),0)</f>
        <v>3.8015476804197923E-2</v>
      </c>
      <c r="J11" s="105">
        <f>IF(Body3Actif=TRUE,((((($B11*$J$4)+'Calculs 3D'!$C$8-OffsetX)/Ecran)*'Calculs 3D'!$C$31)+(((($C11*$J$4)+'Calculs 3D'!$D$8-OffsetY)/Ecran)*'Calculs 3D'!$D$31)+(((($D11*$J$4)+'Calculs 3D'!$E$8-OffsetZ)/Ecran)*'Calculs 3D'!$E$31)),0)</f>
        <v>0.22250570501557851</v>
      </c>
      <c r="K11" s="105">
        <f>IF(Body3Actif=TRUE,((((($B11*$J$4)+'Calculs 3D'!$C$8-OffsetX)/Ecran)*'Calculs 3D'!$C$32)+(((($C11*$J$4)+'Calculs 3D'!$D$8-OffsetY)/Ecran)*'Calculs 3D'!$D$32)+(((($D11*$J$4)+'Calculs 3D'!$E$8-OffsetZ)/Ecran)*'Calculs 3D'!$E$32)),0)</f>
        <v>-7.7447179040650543E-2</v>
      </c>
      <c r="L11" s="105">
        <f>IF(Body4Actif=TRUE,((((($B11*$L$4)+'Calculs 3D'!$C$9-OffsetX)/Ecran)*'Calculs 3D'!$C$31)+(((($C11*$L$4)+'Calculs 3D'!$D$9-OffsetY)/Ecran)*'Calculs 3D'!$D$31)+(((($D11*$L$4)+'Calculs 3D'!$E$9-OffsetZ)/Ecran)*'Calculs 3D'!$E$31)),0)</f>
        <v>-8.9525495108654748E-2</v>
      </c>
      <c r="M11" s="105">
        <f>IF(Body4Actif=TRUE,((((($B11*$L$4)+'Calculs 3D'!$C$9-OffsetX)/Ecran)*'Calculs 3D'!$C$32)+(((($C11*$L$4)+'Calculs 3D'!$D$9-OffsetY)/Ecran)*'Calculs 3D'!$D$32)+(((($D11*$L$4)+'Calculs 3D'!$E$9-OffsetZ)/Ecran)*'Calculs 3D'!$E$32)),0)</f>
        <v>-0.16766273696928549</v>
      </c>
      <c r="N11" s="105">
        <f>IF(Body5Actif=TRUE,((((($B11*$N$4)+'Calculs 3D'!$C$10-OffsetX)/Ecran)*'Calculs 3D'!$C$31)+(((($C11*$N$4)+'Calculs 3D'!$D$10-OffsetY)/Ecran)*'Calculs 3D'!$D$31)+(((($D11*$N$4)+'Calculs 3D'!$E$10-OffsetZ)/Ecran)*'Calculs 3D'!$E$31)),0)</f>
        <v>6.5642612557963191E-3</v>
      </c>
      <c r="O11" s="105">
        <f>IF(Body5Actif=TRUE,((((($B11*$N$4)+'Calculs 3D'!$C$10-OffsetX)/Ecran)*'Calculs 3D'!$C$32)+(((($C11*$N$4)+'Calculs 3D'!$D$10-OffsetY)/Ecran)*'Calculs 3D'!$D$32)+(((($D11*$N$4)+'Calculs 3D'!$E$10-OffsetZ)/Ecran)*'Calculs 3D'!$E$32)),0)</f>
        <v>-1.1890158940603725E-4</v>
      </c>
      <c r="P11" s="105">
        <f>IF(Body6Actif=TRUE,((((($B11*$P$4)+'Calculs 3D'!$C$11-OffsetX)/Ecran)*'Calculs 3D'!$C$31)+(((($C11*$P$4)+'Calculs 3D'!$D$11-OffsetY)/Ecran)*'Calculs 3D'!$D$31)+(((($D11*$P$4)+'Calculs 3D'!$E$11-OffsetZ)/Ecran)*'Calculs 3D'!$E$31)),0)</f>
        <v>0.17894936304129166</v>
      </c>
      <c r="Q11" s="105">
        <f>IF(Body6Actif=TRUE,((((($B11*$P$4)+'Calculs 3D'!$C$11-OffsetX)/Ecran)*'Calculs 3D'!$C$32)+(((($C11*$P$4)+'Calculs 3D'!$D$11-OffsetY)/Ecran)*'Calculs 3D'!$D$32)+(((($D11*$P$4)+'Calculs 3D'!$E$11-OffsetZ)/Ecran)*'Calculs 3D'!$E$32)),0)</f>
        <v>0.14009994200361059</v>
      </c>
      <c r="R11" s="105">
        <f>IF(Body7Actif=TRUE,((((($B11*$R$4)+'Calculs 3D'!$C$12-OffsetX)/Ecran)*'Calculs 3D'!$C$31)+(((($C11*$R$4)+'Calculs 3D'!$D$12-OffsetY)/Ecran)*'Calculs 3D'!$D$31)+(((($D11*$R$4)+'Calculs 3D'!$E$12-OffsetZ)/Ecran)*'Calculs 3D'!$E$31)),0)</f>
        <v>-0.27243046666912274</v>
      </c>
      <c r="S11" s="105">
        <f>IF(Body7Actif=TRUE,((((($B11*$R$4)+'Calculs 3D'!$C$12-OffsetX)/Ecran)*'Calculs 3D'!$C$32)+(((($C11*$R$4)+'Calculs 3D'!$D$12-OffsetY)/Ecran)*'Calculs 3D'!$D$32)+(((($D11*$R$4)+'Calculs 3D'!$E$12-OffsetZ)/Ecran)*'Calculs 3D'!$E$32)),0)</f>
        <v>6.9418707508985447E-2</v>
      </c>
      <c r="T11" s="105">
        <f>IF(Body8Actif=TRUE,((((($B11*$T$4)+'Calculs 3D'!$C$13-OffsetX)/Ecran)*'Calculs 3D'!$C$31)+(((($C11*$T$4)+'Calculs 3D'!$D$13-OffsetY)/Ecran)*'Calculs 3D'!$D$31)+(((($D11*$T$4)+'Calculs 3D'!$E$13-OffsetZ)/Ecran)*'Calculs 3D'!$E$31)),0)</f>
        <v>0.17116714235887442</v>
      </c>
      <c r="U11" s="105">
        <f>IF(Body8Actif=TRUE,((((($B11*$T$4)+'Calculs 3D'!$C$13-OffsetX)/Ecran)*'Calculs 3D'!$C$32)+(((($C11*$T$4)+'Calculs 3D'!$D$13-OffsetY)/Ecran)*'Calculs 3D'!$D$32)+(((($D11*$T$4)+'Calculs 3D'!$E$13-OffsetZ)/Ecran)*'Calculs 3D'!$E$32)),0)</f>
        <v>-0.12801946084531041</v>
      </c>
      <c r="V11" s="105">
        <f>IF(Body9Actif=TRUE,((((($B11*$V$4)+'Calculs 3D'!$C$14-OffsetX)/Ecran)*'Calculs 3D'!$C$31)+(((($C11*$V$4)+'Calculs 3D'!$D$14-OffsetY)/Ecran)*'Calculs 3D'!$D$31)+(((($D11*$V$4)+'Calculs 3D'!$E$14-OffsetZ)/Ecran)*'Calculs 3D'!$E$31)),0)</f>
        <v>-0.17350144195057821</v>
      </c>
      <c r="W11" s="105">
        <f>IF(Body9Actif=TRUE,((((($B11*$V$4)+'Calculs 3D'!$C$14-OffsetX)/Ecran)*'Calculs 3D'!$C$32)+(((($C11*$V$4)+'Calculs 3D'!$D$14-OffsetY)/Ecran)*'Calculs 3D'!$D$32)+(((($D11*$V$4)+'Calculs 3D'!$E$14-OffsetZ)/Ecran)*'Calculs 3D'!$E$32)),0)</f>
        <v>0.29221330295766534</v>
      </c>
      <c r="X11" s="105">
        <f>IF(Body10Actif=TRUE,((((($B11*$X$4)+'Calculs 3D'!$C$15-OffsetX)/Ecran)*'Calculs 3D'!$C$31)+(((($C11*$X$4)+'Calculs 3D'!$D$15-OffsetY)/Ecran)*'Calculs 3D'!$D$31)+(((($D11*$X$4)+'Calculs 3D'!$E$15-OffsetZ)/Ecran)*'Calculs 3D'!$E$31)),0)</f>
        <v>-9.1669653582452382E-3</v>
      </c>
      <c r="Y11" s="105">
        <f>IF(Body10Actif=TRUE,((((($B11*$X$4)+'Calculs 3D'!$C$15-OffsetX)/Ecran)*'Calculs 3D'!$C$32)+(((($C11*$X$4)+'Calculs 3D'!$D$15-OffsetY)/Ecran)*'Calculs 3D'!$D$32)+(((($D11*$X$4)+'Calculs 3D'!$E$15-OffsetZ)/Ecran)*'Calculs 3D'!$E$32)),0)</f>
        <v>0.29788761558763427</v>
      </c>
    </row>
    <row r="12" spans="2:25" x14ac:dyDescent="0.3">
      <c r="B12" s="102">
        <v>-0.30901699437494734</v>
      </c>
      <c r="C12" s="102">
        <v>0.95105651629515364</v>
      </c>
      <c r="D12" s="102">
        <v>0</v>
      </c>
      <c r="F12" s="105">
        <f>IF(Body1Actif=TRUE,((((($B12*$F$4)+'Calculs 3D'!$C$6-OffsetX)/Ecran)*'Calculs 3D'!$C$31)+(((($C12*$F$4)+'Calculs 3D'!$D$6-OffsetY)/Ecran)*'Calculs 3D'!$D$31)+(((($D12*$F$4)+'Calculs 3D'!$E$6-OffsetZ)/Ecran)*'Calculs 3D'!$E$31)),0)</f>
        <v>5.1746285800107684E-2</v>
      </c>
      <c r="G12" s="105">
        <f>IF(Body1Actif=TRUE,((((($B12*$F$4)+'Calculs 3D'!$C$6-OffsetX)/Ecran)*'Calculs 3D'!$C$32)+(((($C12*$F$4)+'Calculs 3D'!$D$6-OffsetY)/Ecran)*'Calculs 3D'!$D$32)+(((($D12*$F$4)+'Calculs 3D'!$E$6-OffsetZ)/Ecran)*'Calculs 3D'!$E$32)),0)</f>
        <v>0.26616762251172699</v>
      </c>
      <c r="H12" s="105">
        <f>IF(Body2Actif=TRUE,((((($B12*$H$4)+'Calculs 3D'!$C$7-OffsetX)/Ecran)*'Calculs 3D'!$C$31)+(((($C12*$H$4)+'Calculs 3D'!$D$7-OffsetY)/Ecran)*'Calculs 3D'!$D$31)+(((($D12*$H$4)+'Calculs 3D'!$E$7-OffsetZ)/Ecran)*'Calculs 3D'!$E$31)),0)</f>
        <v>2.9797437071286084E-2</v>
      </c>
      <c r="I12" s="105">
        <f>IF(Body2Actif=TRUE,((((($B12*$H$4)+'Calculs 3D'!$C$7-OffsetX)/Ecran)*'Calculs 3D'!$C$32)+(((($C12*$H$4)+'Calculs 3D'!$D$7-OffsetY)/Ecran)*'Calculs 3D'!$D$32)+(((($D12*$H$4)+'Calculs 3D'!$E$7-OffsetZ)/Ecran)*'Calculs 3D'!$E$32)),0)</f>
        <v>3.9302863096330187E-2</v>
      </c>
      <c r="J12" s="105">
        <f>IF(Body3Actif=TRUE,((((($B12*$J$4)+'Calculs 3D'!$C$8-OffsetX)/Ecran)*'Calculs 3D'!$C$31)+(((($C12*$J$4)+'Calculs 3D'!$D$8-OffsetY)/Ecran)*'Calculs 3D'!$D$31)+(((($D12*$J$4)+'Calculs 3D'!$E$8-OffsetZ)/Ecran)*'Calculs 3D'!$E$31)),0)</f>
        <v>0.22068182283925708</v>
      </c>
      <c r="K12" s="105">
        <f>IF(Body3Actif=TRUE,((((($B12*$J$4)+'Calculs 3D'!$C$8-OffsetX)/Ecran)*'Calculs 3D'!$C$32)+(((($C12*$J$4)+'Calculs 3D'!$D$8-OffsetY)/Ecran)*'Calculs 3D'!$D$32)+(((($D12*$J$4)+'Calculs 3D'!$E$8-OffsetZ)/Ecran)*'Calculs 3D'!$E$32)),0)</f>
        <v>-7.6875035974899891E-2</v>
      </c>
      <c r="L12" s="105">
        <f>IF(Body4Actif=TRUE,((((($B12*$L$4)+'Calculs 3D'!$C$9-OffsetX)/Ecran)*'Calculs 3D'!$C$31)+(((($C12*$L$4)+'Calculs 3D'!$D$9-OffsetY)/Ecran)*'Calculs 3D'!$D$31)+(((($D12*$L$4)+'Calculs 3D'!$E$9-OffsetZ)/Ecran)*'Calculs 3D'!$E$31)),0)</f>
        <v>-9.1897075591537841E-2</v>
      </c>
      <c r="M12" s="105">
        <f>IF(Body4Actif=TRUE,((((($B12*$L$4)+'Calculs 3D'!$C$9-OffsetX)/Ecran)*'Calculs 3D'!$C$32)+(((($C12*$L$4)+'Calculs 3D'!$D$9-OffsetY)/Ecran)*'Calculs 3D'!$D$32)+(((($D12*$L$4)+'Calculs 3D'!$E$9-OffsetZ)/Ecran)*'Calculs 3D'!$E$32)),0)</f>
        <v>-0.16691878357922174</v>
      </c>
      <c r="N12" s="105">
        <f>IF(Body5Actif=TRUE,((((($B12*$N$4)+'Calculs 3D'!$C$10-OffsetX)/Ecran)*'Calculs 3D'!$C$31)+(((($C12*$N$4)+'Calculs 3D'!$D$10-OffsetY)/Ecran)*'Calculs 3D'!$D$31)+(((($D12*$N$4)+'Calculs 3D'!$E$10-OffsetZ)/Ecran)*'Calculs 3D'!$E$31)),0)</f>
        <v>3.8568844171157409E-3</v>
      </c>
      <c r="O12" s="105">
        <f>IF(Body5Actif=TRUE,((((($B12*$N$4)+'Calculs 3D'!$C$10-OffsetX)/Ecran)*'Calculs 3D'!$C$32)+(((($C12*$N$4)+'Calculs 3D'!$D$10-OffsetY)/Ecran)*'Calculs 3D'!$D$32)+(((($D12*$N$4)+'Calculs 3D'!$E$10-OffsetZ)/Ecran)*'Calculs 3D'!$E$32)),0)</f>
        <v>7.3038950227472497E-4</v>
      </c>
      <c r="P12" s="105">
        <f>IF(Body6Actif=TRUE,((((($B12*$P$4)+'Calculs 3D'!$C$11-OffsetX)/Ecran)*'Calculs 3D'!$C$31)+(((($C12*$P$4)+'Calculs 3D'!$D$11-OffsetY)/Ecran)*'Calculs 3D'!$D$31)+(((($D12*$P$4)+'Calculs 3D'!$E$11-OffsetZ)/Ecran)*'Calculs 3D'!$E$31)),0)</f>
        <v>0.17502591180123711</v>
      </c>
      <c r="Q12" s="105">
        <f>IF(Body6Actif=TRUE,((((($B12*$P$4)+'Calculs 3D'!$C$11-OffsetX)/Ecran)*'Calculs 3D'!$C$32)+(((($C12*$P$4)+'Calculs 3D'!$D$11-OffsetY)/Ecran)*'Calculs 3D'!$D$32)+(((($D12*$P$4)+'Calculs 3D'!$E$11-OffsetZ)/Ecran)*'Calculs 3D'!$E$32)),0)</f>
        <v>0.14133070978562579</v>
      </c>
      <c r="R12" s="105">
        <f>IF(Body7Actif=TRUE,((((($B12*$R$4)+'Calculs 3D'!$C$12-OffsetX)/Ecran)*'Calculs 3D'!$C$31)+(((($C12*$R$4)+'Calculs 3D'!$D$12-OffsetY)/Ecran)*'Calculs 3D'!$D$31)+(((($D12*$R$4)+'Calculs 3D'!$E$12-OffsetZ)/Ecran)*'Calculs 3D'!$E$31)),0)</f>
        <v>-0.27637064556337942</v>
      </c>
      <c r="S12" s="105">
        <f>IF(Body7Actif=TRUE,((((($B12*$R$4)+'Calculs 3D'!$C$12-OffsetX)/Ecran)*'Calculs 3D'!$C$32)+(((($C12*$R$4)+'Calculs 3D'!$D$12-OffsetY)/Ecran)*'Calculs 3D'!$D$32)+(((($D12*$R$4)+'Calculs 3D'!$E$12-OffsetZ)/Ecran)*'Calculs 3D'!$E$32)),0)</f>
        <v>7.0654722675663015E-2</v>
      </c>
      <c r="T12" s="105">
        <f>IF(Body8Actif=TRUE,((((($B12*$T$4)+'Calculs 3D'!$C$13-OffsetX)/Ecran)*'Calculs 3D'!$C$31)+(((($C12*$T$4)+'Calculs 3D'!$D$13-OffsetY)/Ecran)*'Calculs 3D'!$D$31)+(((($D12*$T$4)+'Calculs 3D'!$E$13-OffsetZ)/Ecran)*'Calculs 3D'!$E$31)),0)</f>
        <v>0.16974607552799659</v>
      </c>
      <c r="U12" s="105">
        <f>IF(Body8Actif=TRUE,((((($B12*$T$4)+'Calculs 3D'!$C$13-OffsetX)/Ecran)*'Calculs 3D'!$C$32)+(((($C12*$T$4)+'Calculs 3D'!$D$13-OffsetY)/Ecran)*'Calculs 3D'!$D$32)+(((($D12*$T$4)+'Calculs 3D'!$E$13-OffsetZ)/Ecran)*'Calculs 3D'!$E$32)),0)</f>
        <v>-0.12757367901586411</v>
      </c>
      <c r="V12" s="105">
        <f>IF(Body9Actif=TRUE,((((($B12*$V$4)+'Calculs 3D'!$C$14-OffsetX)/Ecran)*'Calculs 3D'!$C$31)+(((($C12*$V$4)+'Calculs 3D'!$D$14-OffsetY)/Ecran)*'Calculs 3D'!$D$31)+(((($D12*$V$4)+'Calculs 3D'!$E$14-OffsetZ)/Ecran)*'Calculs 3D'!$E$31)),0)</f>
        <v>-0.17547319483163296</v>
      </c>
      <c r="W12" s="105">
        <f>IF(Body9Actif=TRUE,((((($B12*$V$4)+'Calculs 3D'!$C$14-OffsetX)/Ecran)*'Calculs 3D'!$C$32)+(((($C12*$V$4)+'Calculs 3D'!$D$14-OffsetY)/Ecran)*'Calculs 3D'!$D$32)+(((($D12*$V$4)+'Calculs 3D'!$E$14-OffsetZ)/Ecran)*'Calculs 3D'!$E$32)),0)</f>
        <v>0.29283183235222565</v>
      </c>
      <c r="X12" s="105">
        <f>IF(Body10Actif=TRUE,((((($B12*$X$4)+'Calculs 3D'!$C$15-OffsetX)/Ecran)*'Calculs 3D'!$C$31)+(((($C12*$X$4)+'Calculs 3D'!$D$15-OffsetY)/Ecran)*'Calculs 3D'!$D$31)+(((($D12*$X$4)+'Calculs 3D'!$E$15-OffsetZ)/Ecran)*'Calculs 3D'!$E$31)),0)</f>
        <v>-1.2143235821312715E-2</v>
      </c>
      <c r="Y12" s="105">
        <f>IF(Body10Actif=TRUE,((((($B12*$X$4)+'Calculs 3D'!$C$15-OffsetX)/Ecran)*'Calculs 3D'!$C$32)+(((($C12*$X$4)+'Calculs 3D'!$D$15-OffsetY)/Ecran)*'Calculs 3D'!$D$32)+(((($D12*$X$4)+'Calculs 3D'!$E$15-OffsetZ)/Ecran)*'Calculs 3D'!$E$32)),0)</f>
        <v>0.29882125731589387</v>
      </c>
    </row>
    <row r="13" spans="2:25" x14ac:dyDescent="0.3">
      <c r="B13" s="102">
        <v>-0.58778525229247303</v>
      </c>
      <c r="C13" s="102">
        <v>0.80901699437494745</v>
      </c>
      <c r="D13" s="102">
        <v>0</v>
      </c>
      <c r="F13" s="105">
        <f>IF(Body1Actif=TRUE,((((($B13*$F$4)+'Calculs 3D'!$C$6-OffsetX)/Ecran)*'Calculs 3D'!$C$31)+(((($C13*$F$4)+'Calculs 3D'!$D$6-OffsetY)/Ecran)*'Calculs 3D'!$D$31)+(((($D13*$F$4)+'Calculs 3D'!$E$6-OffsetZ)/Ecran)*'Calculs 3D'!$E$31)),0)</f>
        <v>5.0579175247860292E-2</v>
      </c>
      <c r="G13" s="105">
        <f>IF(Body1Actif=TRUE,((((($B13*$F$4)+'Calculs 3D'!$C$6-OffsetX)/Ecran)*'Calculs 3D'!$C$32)+(((($C13*$F$4)+'Calculs 3D'!$D$6-OffsetY)/Ecran)*'Calculs 3D'!$D$32)+(((($D13*$F$4)+'Calculs 3D'!$E$6-OffsetZ)/Ecran)*'Calculs 3D'!$E$32)),0)</f>
        <v>0.26628142886010708</v>
      </c>
      <c r="H13" s="105">
        <f>IF(Body2Actif=TRUE,((((($B13*$H$4)+'Calculs 3D'!$C$7-OffsetX)/Ecran)*'Calculs 3D'!$C$31)+(((($C13*$H$4)+'Calculs 3D'!$D$7-OffsetY)/Ecran)*'Calculs 3D'!$D$31)+(((($D13*$H$4)+'Calculs 3D'!$E$7-OffsetZ)/Ecran)*'Calculs 3D'!$E$31)),0)</f>
        <v>2.5248184344877592E-2</v>
      </c>
      <c r="I13" s="105">
        <f>IF(Body2Actif=TRUE,((((($B13*$H$4)+'Calculs 3D'!$C$7-OffsetX)/Ecran)*'Calculs 3D'!$C$32)+(((($C13*$H$4)+'Calculs 3D'!$D$7-OffsetY)/Ecran)*'Calculs 3D'!$D$32)+(((($D13*$H$4)+'Calculs 3D'!$E$7-OffsetZ)/Ecran)*'Calculs 3D'!$E$32)),0)</f>
        <v>3.9746466180591584E-2</v>
      </c>
      <c r="J13" s="105">
        <f>IF(Body3Actif=TRUE,((((($B13*$J$4)+'Calculs 3D'!$C$8-OffsetX)/Ecran)*'Calculs 3D'!$C$31)+(((($C13*$J$4)+'Calculs 3D'!$D$8-OffsetY)/Ecran)*'Calculs 3D'!$D$31)+(((($D13*$J$4)+'Calculs 3D'!$E$8-OffsetZ)/Ecran)*'Calculs 3D'!$E$31)),0)</f>
        <v>0.21866003387220895</v>
      </c>
      <c r="K13" s="105">
        <f>IF(Body3Actif=TRUE,((((($B13*$J$4)+'Calculs 3D'!$C$8-OffsetX)/Ecran)*'Calculs 3D'!$C$32)+(((($C13*$J$4)+'Calculs 3D'!$D$8-OffsetY)/Ecran)*'Calculs 3D'!$D$32)+(((($D13*$J$4)+'Calculs 3D'!$E$8-OffsetZ)/Ecran)*'Calculs 3D'!$E$32)),0)</f>
        <v>-7.6677888910217831E-2</v>
      </c>
      <c r="L13" s="105">
        <f>IF(Body4Actif=TRUE,((((($B13*$L$4)+'Calculs 3D'!$C$9-OffsetX)/Ecran)*'Calculs 3D'!$C$31)+(((($C13*$L$4)+'Calculs 3D'!$D$9-OffsetY)/Ecran)*'Calculs 3D'!$D$31)+(((($D13*$L$4)+'Calculs 3D'!$E$9-OffsetZ)/Ecran)*'Calculs 3D'!$E$31)),0)</f>
        <v>-9.4525992808345352E-2</v>
      </c>
      <c r="M13" s="105">
        <f>IF(Body4Actif=TRUE,((((($B13*$L$4)+'Calculs 3D'!$C$9-OffsetX)/Ecran)*'Calculs 3D'!$C$32)+(((($C13*$L$4)+'Calculs 3D'!$D$9-OffsetY)/Ecran)*'Calculs 3D'!$D$32)+(((($D13*$L$4)+'Calculs 3D'!$E$9-OffsetZ)/Ecran)*'Calculs 3D'!$E$32)),0)</f>
        <v>-0.16666243471144529</v>
      </c>
      <c r="N13" s="105">
        <f>IF(Body5Actif=TRUE,((((($B13*$N$4)+'Calculs 3D'!$C$10-OffsetX)/Ecran)*'Calculs 3D'!$C$31)+(((($C13*$N$4)+'Calculs 3D'!$D$10-OffsetY)/Ecran)*'Calculs 3D'!$D$31)+(((($D13*$N$4)+'Calculs 3D'!$E$10-OffsetZ)/Ecran)*'Calculs 3D'!$E$31)),0)</f>
        <v>8.5573407245585244E-4</v>
      </c>
      <c r="O13" s="105">
        <f>IF(Body5Actif=TRUE,((((($B13*$N$4)+'Calculs 3D'!$C$10-OffsetX)/Ecran)*'Calculs 3D'!$C$32)+(((($C13*$N$4)+'Calculs 3D'!$D$10-OffsetY)/Ecran)*'Calculs 3D'!$D$32)+(((($D13*$N$4)+'Calculs 3D'!$E$10-OffsetZ)/Ecran)*'Calculs 3D'!$E$32)),0)</f>
        <v>1.0230352683573505E-3</v>
      </c>
      <c r="P13" s="105">
        <f>IF(Body6Actif=TRUE,((((($B13*$P$4)+'Calculs 3D'!$C$11-OffsetX)/Ecran)*'Calculs 3D'!$C$31)+(((($C13*$P$4)+'Calculs 3D'!$D$11-OffsetY)/Ecran)*'Calculs 3D'!$D$31)+(((($D13*$P$4)+'Calculs 3D'!$E$11-OffsetZ)/Ecran)*'Calculs 3D'!$E$31)),0)</f>
        <v>0.1706767325982842</v>
      </c>
      <c r="Q13" s="105">
        <f>IF(Body6Actif=TRUE,((((($B13*$P$4)+'Calculs 3D'!$C$11-OffsetX)/Ecran)*'Calculs 3D'!$C$32)+(((($C13*$P$4)+'Calculs 3D'!$D$11-OffsetY)/Ecran)*'Calculs 3D'!$D$32)+(((($D13*$P$4)+'Calculs 3D'!$E$11-OffsetZ)/Ecran)*'Calculs 3D'!$E$32)),0)</f>
        <v>0.14175480346088717</v>
      </c>
      <c r="R13" s="105">
        <f>IF(Body7Actif=TRUE,((((($B13*$R$4)+'Calculs 3D'!$C$12-OffsetX)/Ecran)*'Calculs 3D'!$C$31)+(((($C13*$R$4)+'Calculs 3D'!$D$12-OffsetY)/Ecran)*'Calculs 3D'!$D$31)+(((($D13*$R$4)+'Calculs 3D'!$E$12-OffsetZ)/Ecran)*'Calculs 3D'!$E$31)),0)</f>
        <v>-0.28073836751385717</v>
      </c>
      <c r="S13" s="105">
        <f>IF(Body7Actif=TRUE,((((($B13*$R$4)+'Calculs 3D'!$C$12-OffsetX)/Ecran)*'Calculs 3D'!$C$32)+(((($C13*$R$4)+'Calculs 3D'!$D$12-OffsetY)/Ecran)*'Calculs 3D'!$D$32)+(((($D13*$R$4)+'Calculs 3D'!$E$12-OffsetZ)/Ecran)*'Calculs 3D'!$E$32)),0)</f>
        <v>7.1080624476453469E-2</v>
      </c>
      <c r="T13" s="105">
        <f>IF(Body8Actif=TRUE,((((($B13*$T$4)+'Calculs 3D'!$C$13-OffsetX)/Ecran)*'Calculs 3D'!$C$31)+(((($C13*$T$4)+'Calculs 3D'!$D$13-OffsetY)/Ecran)*'Calculs 3D'!$D$31)+(((($D13*$T$4)+'Calculs 3D'!$E$13-OffsetZ)/Ecran)*'Calculs 3D'!$E$31)),0)</f>
        <v>0.16817081081111576</v>
      </c>
      <c r="U13" s="105">
        <f>IF(Body8Actif=TRUE,((((($B13*$T$4)+'Calculs 3D'!$C$13-OffsetX)/Ecran)*'Calculs 3D'!$C$32)+(((($C13*$T$4)+'Calculs 3D'!$D$13-OffsetY)/Ecran)*'Calculs 3D'!$D$32)+(((($D13*$T$4)+'Calculs 3D'!$E$13-OffsetZ)/Ecran)*'Calculs 3D'!$E$32)),0)</f>
        <v>-0.12742007306584069</v>
      </c>
      <c r="V13" s="105">
        <f>IF(Body9Actif=TRUE,((((($B13*$V$4)+'Calculs 3D'!$C$14-OffsetX)/Ecran)*'Calculs 3D'!$C$31)+(((($C13*$V$4)+'Calculs 3D'!$D$14-OffsetY)/Ecran)*'Calculs 3D'!$D$31)+(((($D13*$V$4)+'Calculs 3D'!$E$14-OffsetZ)/Ecran)*'Calculs 3D'!$E$31)),0)</f>
        <v>-0.17765889973758367</v>
      </c>
      <c r="W13" s="105">
        <f>IF(Body9Actif=TRUE,((((($B13*$V$4)+'Calculs 3D'!$C$14-OffsetX)/Ecran)*'Calculs 3D'!$C$32)+(((($C13*$V$4)+'Calculs 3D'!$D$14-OffsetY)/Ecran)*'Calculs 3D'!$D$32)+(((($D13*$V$4)+'Calculs 3D'!$E$14-OffsetZ)/Ecran)*'Calculs 3D'!$E$32)),0)</f>
        <v>0.29304496305651395</v>
      </c>
      <c r="X13" s="105">
        <f>IF(Body10Actif=TRUE,((((($B13*$X$4)+'Calculs 3D'!$C$15-OffsetX)/Ecran)*'Calculs 3D'!$C$31)+(((($C13*$X$4)+'Calculs 3D'!$D$15-OffsetY)/Ecran)*'Calculs 3D'!$D$31)+(((($D13*$X$4)+'Calculs 3D'!$E$15-OffsetZ)/Ecran)*'Calculs 3D'!$E$31)),0)</f>
        <v>-1.5442457044756885E-2</v>
      </c>
      <c r="Y13" s="105">
        <f>IF(Body10Actif=TRUE,((((($B13*$X$4)+'Calculs 3D'!$C$15-OffsetX)/Ecran)*'Calculs 3D'!$C$32)+(((($C13*$X$4)+'Calculs 3D'!$D$15-OffsetY)/Ecran)*'Calculs 3D'!$D$32)+(((($D13*$X$4)+'Calculs 3D'!$E$15-OffsetZ)/Ecran)*'Calculs 3D'!$E$32)),0)</f>
        <v>0.29914296833051496</v>
      </c>
    </row>
    <row r="14" spans="2:25" x14ac:dyDescent="0.3">
      <c r="B14" s="102">
        <v>-0.80901699437494734</v>
      </c>
      <c r="C14" s="102">
        <v>0.58778525229247325</v>
      </c>
      <c r="D14" s="102">
        <v>0</v>
      </c>
      <c r="F14" s="105">
        <f>IF(Body1Actif=TRUE,((((($B14*$F$4)+'Calculs 3D'!$C$6-OffsetX)/Ecran)*'Calculs 3D'!$C$31)+(((($C14*$F$4)+'Calculs 3D'!$D$6-OffsetY)/Ecran)*'Calculs 3D'!$D$31)+(((($D14*$F$4)+'Calculs 3D'!$E$6-OffsetZ)/Ecran)*'Calculs 3D'!$E$31)),0)</f>
        <v>4.9412064695612885E-2</v>
      </c>
      <c r="G14" s="105">
        <f>IF(Body1Actif=TRUE,((((($B14*$F$4)+'Calculs 3D'!$C$6-OffsetX)/Ecran)*'Calculs 3D'!$C$32)+(((($C14*$F$4)+'Calculs 3D'!$D$6-OffsetY)/Ecran)*'Calculs 3D'!$D$32)+(((($D14*$F$4)+'Calculs 3D'!$E$6-OffsetZ)/Ecran)*'Calculs 3D'!$E$32)),0)</f>
        <v>0.26616762251172699</v>
      </c>
      <c r="H14" s="105">
        <f>IF(Body2Actif=TRUE,((((($B14*$H$4)+'Calculs 3D'!$C$7-OffsetX)/Ecran)*'Calculs 3D'!$C$31)+(((($C14*$H$4)+'Calculs 3D'!$D$7-OffsetY)/Ecran)*'Calculs 3D'!$D$31)+(((($D14*$H$4)+'Calculs 3D'!$E$7-OffsetZ)/Ecran)*'Calculs 3D'!$E$31)),0)</f>
        <v>2.0698931618469103E-2</v>
      </c>
      <c r="I14" s="105">
        <f>IF(Body2Actif=TRUE,((((($B14*$H$4)+'Calculs 3D'!$C$7-OffsetX)/Ecran)*'Calculs 3D'!$C$32)+(((($C14*$H$4)+'Calculs 3D'!$D$7-OffsetY)/Ecran)*'Calculs 3D'!$D$32)+(((($D14*$H$4)+'Calculs 3D'!$E$7-OffsetZ)/Ecran)*'Calculs 3D'!$E$32)),0)</f>
        <v>3.9302863096330187E-2</v>
      </c>
      <c r="J14" s="105">
        <f>IF(Body3Actif=TRUE,((((($B14*$J$4)+'Calculs 3D'!$C$8-OffsetX)/Ecran)*'Calculs 3D'!$C$31)+(((($C14*$J$4)+'Calculs 3D'!$D$8-OffsetY)/Ecran)*'Calculs 3D'!$D$31)+(((($D14*$J$4)+'Calculs 3D'!$E$8-OffsetZ)/Ecran)*'Calculs 3D'!$E$31)),0)</f>
        <v>0.21663824490516084</v>
      </c>
      <c r="K14" s="105">
        <f>IF(Body3Actif=TRUE,((((($B14*$J$4)+'Calculs 3D'!$C$8-OffsetX)/Ecran)*'Calculs 3D'!$C$32)+(((($C14*$J$4)+'Calculs 3D'!$D$8-OffsetY)/Ecran)*'Calculs 3D'!$D$32)+(((($D14*$J$4)+'Calculs 3D'!$E$8-OffsetZ)/Ecran)*'Calculs 3D'!$E$32)),0)</f>
        <v>-7.6875035974899877E-2</v>
      </c>
      <c r="L14" s="105">
        <f>IF(Body4Actif=TRUE,((((($B14*$L$4)+'Calculs 3D'!$C$9-OffsetX)/Ecran)*'Calculs 3D'!$C$31)+(((($C14*$L$4)+'Calculs 3D'!$D$9-OffsetY)/Ecran)*'Calculs 3D'!$D$31)+(((($D14*$L$4)+'Calculs 3D'!$E$9-OffsetZ)/Ecran)*'Calculs 3D'!$E$31)),0)</f>
        <v>-9.7154910025152877E-2</v>
      </c>
      <c r="M14" s="105">
        <f>IF(Body4Actif=TRUE,((((($B14*$L$4)+'Calculs 3D'!$C$9-OffsetX)/Ecran)*'Calculs 3D'!$C$32)+(((($C14*$L$4)+'Calculs 3D'!$D$9-OffsetY)/Ecran)*'Calculs 3D'!$D$32)+(((($D14*$L$4)+'Calculs 3D'!$E$9-OffsetZ)/Ecran)*'Calculs 3D'!$E$32)),0)</f>
        <v>-0.16691878357922171</v>
      </c>
      <c r="N14" s="105">
        <f>IF(Body5Actif=TRUE,((((($B14*$N$4)+'Calculs 3D'!$C$10-OffsetX)/Ecran)*'Calculs 3D'!$C$31)+(((($C14*$N$4)+'Calculs 3D'!$D$10-OffsetY)/Ecran)*'Calculs 3D'!$D$31)+(((($D14*$N$4)+'Calculs 3D'!$E$10-OffsetZ)/Ecran)*'Calculs 3D'!$E$31)),0)</f>
        <v>-2.1454162722040326E-3</v>
      </c>
      <c r="O14" s="105">
        <f>IF(Body5Actif=TRUE,((((($B14*$N$4)+'Calculs 3D'!$C$10-OffsetX)/Ecran)*'Calculs 3D'!$C$32)+(((($C14*$N$4)+'Calculs 3D'!$D$10-OffsetY)/Ecran)*'Calculs 3D'!$D$32)+(((($D14*$N$4)+'Calculs 3D'!$E$10-OffsetZ)/Ecran)*'Calculs 3D'!$E$32)),0)</f>
        <v>7.3038950227472497E-4</v>
      </c>
      <c r="P14" s="105">
        <f>IF(Body6Actif=TRUE,((((($B14*$P$4)+'Calculs 3D'!$C$11-OffsetX)/Ecran)*'Calculs 3D'!$C$31)+(((($C14*$P$4)+'Calculs 3D'!$D$11-OffsetY)/Ecran)*'Calculs 3D'!$D$31)+(((($D14*$P$4)+'Calculs 3D'!$E$11-OffsetZ)/Ecran)*'Calculs 3D'!$E$31)),0)</f>
        <v>0.16632755339533123</v>
      </c>
      <c r="Q14" s="105">
        <f>IF(Body6Actif=TRUE,((((($B14*$P$4)+'Calculs 3D'!$C$11-OffsetX)/Ecran)*'Calculs 3D'!$C$32)+(((($C14*$P$4)+'Calculs 3D'!$D$11-OffsetY)/Ecran)*'Calculs 3D'!$D$32)+(((($D14*$P$4)+'Calculs 3D'!$E$11-OffsetZ)/Ecran)*'Calculs 3D'!$E$32)),0)</f>
        <v>0.14133070978562579</v>
      </c>
      <c r="R14" s="105">
        <f>IF(Body7Actif=TRUE,((((($B14*$R$4)+'Calculs 3D'!$C$12-OffsetX)/Ecran)*'Calculs 3D'!$C$31)+(((($C14*$R$4)+'Calculs 3D'!$D$12-OffsetY)/Ecran)*'Calculs 3D'!$D$31)+(((($D14*$R$4)+'Calculs 3D'!$E$12-OffsetZ)/Ecran)*'Calculs 3D'!$E$31)),0)</f>
        <v>-0.28510608946433491</v>
      </c>
      <c r="S14" s="105">
        <f>IF(Body7Actif=TRUE,((((($B14*$R$4)+'Calculs 3D'!$C$12-OffsetX)/Ecran)*'Calculs 3D'!$C$32)+(((($C14*$R$4)+'Calculs 3D'!$D$12-OffsetY)/Ecran)*'Calculs 3D'!$D$32)+(((($D14*$R$4)+'Calculs 3D'!$E$12-OffsetZ)/Ecran)*'Calculs 3D'!$E$32)),0)</f>
        <v>7.0654722675663029E-2</v>
      </c>
      <c r="T14" s="105">
        <f>IF(Body8Actif=TRUE,((((($B14*$T$4)+'Calculs 3D'!$C$13-OffsetX)/Ecran)*'Calculs 3D'!$C$31)+(((($C14*$T$4)+'Calculs 3D'!$D$13-OffsetY)/Ecran)*'Calculs 3D'!$D$31)+(((($D14*$T$4)+'Calculs 3D'!$E$13-OffsetZ)/Ecran)*'Calculs 3D'!$E$31)),0)</f>
        <v>0.16659554609423499</v>
      </c>
      <c r="U14" s="105">
        <f>IF(Body8Actif=TRUE,((((($B14*$T$4)+'Calculs 3D'!$C$13-OffsetX)/Ecran)*'Calculs 3D'!$C$32)+(((($C14*$T$4)+'Calculs 3D'!$D$13-OffsetY)/Ecran)*'Calculs 3D'!$D$32)+(((($D14*$T$4)+'Calculs 3D'!$E$13-OffsetZ)/Ecran)*'Calculs 3D'!$E$32)),0)</f>
        <v>-0.12757367901586408</v>
      </c>
      <c r="V14" s="105">
        <f>IF(Body9Actif=TRUE,((((($B14*$V$4)+'Calculs 3D'!$C$14-OffsetX)/Ecran)*'Calculs 3D'!$C$31)+(((($C14*$V$4)+'Calculs 3D'!$D$14-OffsetY)/Ecran)*'Calculs 3D'!$D$31)+(((($D14*$V$4)+'Calculs 3D'!$E$14-OffsetZ)/Ecran)*'Calculs 3D'!$E$31)),0)</f>
        <v>-0.17984460464353444</v>
      </c>
      <c r="W14" s="105">
        <f>IF(Body9Actif=TRUE,((((($B14*$V$4)+'Calculs 3D'!$C$14-OffsetX)/Ecran)*'Calculs 3D'!$C$32)+(((($C14*$V$4)+'Calculs 3D'!$D$14-OffsetY)/Ecran)*'Calculs 3D'!$D$32)+(((($D14*$V$4)+'Calculs 3D'!$E$14-OffsetZ)/Ecran)*'Calculs 3D'!$E$32)),0)</f>
        <v>0.29283183235222565</v>
      </c>
      <c r="X14" s="105">
        <f>IF(Body10Actif=TRUE,((((($B14*$X$4)+'Calculs 3D'!$C$15-OffsetX)/Ecran)*'Calculs 3D'!$C$31)+(((($C14*$X$4)+'Calculs 3D'!$D$15-OffsetY)/Ecran)*'Calculs 3D'!$D$31)+(((($D14*$X$4)+'Calculs 3D'!$E$15-OffsetZ)/Ecran)*'Calculs 3D'!$E$31)),0)</f>
        <v>-1.8741678268201056E-2</v>
      </c>
      <c r="Y14" s="105">
        <f>IF(Body10Actif=TRUE,((((($B14*$X$4)+'Calculs 3D'!$C$15-OffsetX)/Ecran)*'Calculs 3D'!$C$32)+(((($C14*$X$4)+'Calculs 3D'!$D$15-OffsetY)/Ecran)*'Calculs 3D'!$D$32)+(((($D14*$X$4)+'Calculs 3D'!$E$15-OffsetZ)/Ecran)*'Calculs 3D'!$E$32)),0)</f>
        <v>0.29882125731589387</v>
      </c>
    </row>
    <row r="15" spans="2:25" x14ac:dyDescent="0.3">
      <c r="B15" s="102">
        <v>-0.95105651629515353</v>
      </c>
      <c r="C15" s="102">
        <v>0.30901699437494751</v>
      </c>
      <c r="D15" s="102">
        <v>0</v>
      </c>
      <c r="F15" s="105">
        <f>IF(Body1Actif=TRUE,((((($B15*$F$4)+'Calculs 3D'!$C$6-OffsetX)/Ecran)*'Calculs 3D'!$C$31)+(((($C15*$F$4)+'Calculs 3D'!$D$6-OffsetY)/Ecran)*'Calculs 3D'!$D$31)+(((($D15*$F$4)+'Calculs 3D'!$E$6-OffsetZ)/Ecran)*'Calculs 3D'!$E$31)),0)</f>
        <v>4.8359199055956828E-2</v>
      </c>
      <c r="G15" s="105">
        <f>IF(Body1Actif=TRUE,((((($B15*$F$4)+'Calculs 3D'!$C$6-OffsetX)/Ecran)*'Calculs 3D'!$C$32)+(((($C15*$F$4)+'Calculs 3D'!$D$6-OffsetY)/Ecran)*'Calculs 3D'!$D$32)+(((($D15*$F$4)+'Calculs 3D'!$E$6-OffsetZ)/Ecran)*'Calculs 3D'!$E$32)),0)</f>
        <v>0.26583734362490141</v>
      </c>
      <c r="H15" s="105">
        <f>IF(Body2Actif=TRUE,((((($B15*$H$4)+'Calculs 3D'!$C$7-OffsetX)/Ecran)*'Calculs 3D'!$C$31)+(((($C15*$H$4)+'Calculs 3D'!$D$7-OffsetY)/Ecran)*'Calculs 3D'!$D$31)+(((($D15*$H$4)+'Calculs 3D'!$E$7-OffsetZ)/Ecran)*'Calculs 3D'!$E$31)),0)</f>
        <v>1.6594991445429016E-2</v>
      </c>
      <c r="I15" s="105">
        <f>IF(Body2Actif=TRUE,((((($B15*$H$4)+'Calculs 3D'!$C$7-OffsetX)/Ecran)*'Calculs 3D'!$C$32)+(((($C15*$H$4)+'Calculs 3D'!$D$7-OffsetY)/Ecran)*'Calculs 3D'!$D$32)+(((($D15*$H$4)+'Calculs 3D'!$E$7-OffsetZ)/Ecran)*'Calculs 3D'!$E$32)),0)</f>
        <v>3.8015476804197923E-2</v>
      </c>
      <c r="J15" s="105">
        <f>IF(Body3Actif=TRUE,((((($B15*$J$4)+'Calculs 3D'!$C$8-OffsetX)/Ecran)*'Calculs 3D'!$C$31)+(((($C15*$J$4)+'Calculs 3D'!$D$8-OffsetY)/Ecran)*'Calculs 3D'!$D$31)+(((($D15*$J$4)+'Calculs 3D'!$E$8-OffsetZ)/Ecran)*'Calculs 3D'!$E$31)),0)</f>
        <v>0.21481436272883941</v>
      </c>
      <c r="K15" s="105">
        <f>IF(Body3Actif=TRUE,((((($B15*$J$4)+'Calculs 3D'!$C$8-OffsetX)/Ecran)*'Calculs 3D'!$C$32)+(((($C15*$J$4)+'Calculs 3D'!$D$8-OffsetY)/Ecran)*'Calculs 3D'!$D$32)+(((($D15*$J$4)+'Calculs 3D'!$E$8-OffsetZ)/Ecran)*'Calculs 3D'!$E$32)),0)</f>
        <v>-7.7447179040650543E-2</v>
      </c>
      <c r="L15" s="105">
        <f>IF(Body4Actif=TRUE,((((($B15*$L$4)+'Calculs 3D'!$C$9-OffsetX)/Ecran)*'Calculs 3D'!$C$31)+(((($C15*$L$4)+'Calculs 3D'!$D$9-OffsetY)/Ecran)*'Calculs 3D'!$D$31)+(((($D15*$L$4)+'Calculs 3D'!$E$9-OffsetZ)/Ecran)*'Calculs 3D'!$E$31)),0)</f>
        <v>-9.9526490508035956E-2</v>
      </c>
      <c r="M15" s="105">
        <f>IF(Body4Actif=TRUE,((((($B15*$L$4)+'Calculs 3D'!$C$9-OffsetX)/Ecran)*'Calculs 3D'!$C$32)+(((($C15*$L$4)+'Calculs 3D'!$D$9-OffsetY)/Ecran)*'Calculs 3D'!$D$32)+(((($D15*$L$4)+'Calculs 3D'!$E$9-OffsetZ)/Ecran)*'Calculs 3D'!$E$32)),0)</f>
        <v>-0.16766273696928549</v>
      </c>
      <c r="N15" s="105">
        <f>IF(Body5Actif=TRUE,((((($B15*$N$4)+'Calculs 3D'!$C$10-OffsetX)/Ecran)*'Calculs 3D'!$C$31)+(((($C15*$N$4)+'Calculs 3D'!$D$10-OffsetY)/Ecran)*'Calculs 3D'!$D$31)+(((($D15*$N$4)+'Calculs 3D'!$E$10-OffsetZ)/Ecran)*'Calculs 3D'!$E$31)),0)</f>
        <v>-4.8527931108846151E-3</v>
      </c>
      <c r="O15" s="105">
        <f>IF(Body5Actif=TRUE,((((($B15*$N$4)+'Calculs 3D'!$C$10-OffsetX)/Ecran)*'Calculs 3D'!$C$32)+(((($C15*$N$4)+'Calculs 3D'!$D$10-OffsetY)/Ecran)*'Calculs 3D'!$D$32)+(((($D15*$N$4)+'Calculs 3D'!$E$10-OffsetZ)/Ecran)*'Calculs 3D'!$E$32)),0)</f>
        <v>-1.1890158940603378E-4</v>
      </c>
      <c r="P15" s="105">
        <f>IF(Body6Actif=TRUE,((((($B15*$P$4)+'Calculs 3D'!$C$11-OffsetX)/Ecran)*'Calculs 3D'!$C$31)+(((($C15*$P$4)+'Calculs 3D'!$D$11-OffsetY)/Ecran)*'Calculs 3D'!$D$31)+(((($D15*$P$4)+'Calculs 3D'!$E$11-OffsetZ)/Ecran)*'Calculs 3D'!$E$31)),0)</f>
        <v>0.16240410215527668</v>
      </c>
      <c r="Q15" s="105">
        <f>IF(Body6Actif=TRUE,((((($B15*$P$4)+'Calculs 3D'!$C$11-OffsetX)/Ecran)*'Calculs 3D'!$C$32)+(((($C15*$P$4)+'Calculs 3D'!$D$11-OffsetY)/Ecran)*'Calculs 3D'!$D$32)+(((($D15*$P$4)+'Calculs 3D'!$E$11-OffsetZ)/Ecran)*'Calculs 3D'!$E$32)),0)</f>
        <v>0.14009994200361059</v>
      </c>
      <c r="R15" s="105">
        <f>IF(Body7Actif=TRUE,((((($B15*$R$4)+'Calculs 3D'!$C$12-OffsetX)/Ecran)*'Calculs 3D'!$C$31)+(((($C15*$R$4)+'Calculs 3D'!$D$12-OffsetY)/Ecran)*'Calculs 3D'!$D$31)+(((($D15*$R$4)+'Calculs 3D'!$E$12-OffsetZ)/Ecran)*'Calculs 3D'!$E$31)),0)</f>
        <v>-0.2890462683585916</v>
      </c>
      <c r="S15" s="105">
        <f>IF(Body7Actif=TRUE,((((($B15*$R$4)+'Calculs 3D'!$C$12-OffsetX)/Ecran)*'Calculs 3D'!$C$32)+(((($C15*$R$4)+'Calculs 3D'!$D$12-OffsetY)/Ecran)*'Calculs 3D'!$D$32)+(((($D15*$R$4)+'Calculs 3D'!$E$12-OffsetZ)/Ecran)*'Calculs 3D'!$E$32)),0)</f>
        <v>6.9418707508985447E-2</v>
      </c>
      <c r="T15" s="105">
        <f>IF(Body8Actif=TRUE,((((($B15*$T$4)+'Calculs 3D'!$C$13-OffsetX)/Ecran)*'Calculs 3D'!$C$31)+(((($C15*$T$4)+'Calculs 3D'!$D$13-OffsetY)/Ecran)*'Calculs 3D'!$D$31)+(((($D15*$T$4)+'Calculs 3D'!$E$13-OffsetZ)/Ecran)*'Calculs 3D'!$E$31)),0)</f>
        <v>0.16517447926335713</v>
      </c>
      <c r="U15" s="105">
        <f>IF(Body8Actif=TRUE,((((($B15*$T$4)+'Calculs 3D'!$C$13-OffsetX)/Ecran)*'Calculs 3D'!$C$32)+(((($C15*$T$4)+'Calculs 3D'!$D$13-OffsetY)/Ecran)*'Calculs 3D'!$D$32)+(((($D15*$T$4)+'Calculs 3D'!$E$13-OffsetZ)/Ecran)*'Calculs 3D'!$E$32)),0)</f>
        <v>-0.12801946084531041</v>
      </c>
      <c r="V15" s="105">
        <f>IF(Body9Actif=TRUE,((((($B15*$V$4)+'Calculs 3D'!$C$14-OffsetX)/Ecran)*'Calculs 3D'!$C$31)+(((($C15*$V$4)+'Calculs 3D'!$D$14-OffsetY)/Ecran)*'Calculs 3D'!$D$31)+(((($D15*$V$4)+'Calculs 3D'!$E$14-OffsetZ)/Ecran)*'Calculs 3D'!$E$31)),0)</f>
        <v>-0.18181635752458913</v>
      </c>
      <c r="W15" s="105">
        <f>IF(Body9Actif=TRUE,((((($B15*$V$4)+'Calculs 3D'!$C$14-OffsetX)/Ecran)*'Calculs 3D'!$C$32)+(((($C15*$V$4)+'Calculs 3D'!$D$14-OffsetY)/Ecran)*'Calculs 3D'!$D$32)+(((($D15*$V$4)+'Calculs 3D'!$E$14-OffsetZ)/Ecran)*'Calculs 3D'!$E$32)),0)</f>
        <v>0.29221330295766534</v>
      </c>
      <c r="X15" s="105">
        <f>IF(Body10Actif=TRUE,((((($B15*$X$4)+'Calculs 3D'!$C$15-OffsetX)/Ecran)*'Calculs 3D'!$C$31)+(((($C15*$X$4)+'Calculs 3D'!$D$15-OffsetY)/Ecran)*'Calculs 3D'!$D$31)+(((($D15*$X$4)+'Calculs 3D'!$E$15-OffsetZ)/Ecran)*'Calculs 3D'!$E$31)),0)</f>
        <v>-2.1717948731268616E-2</v>
      </c>
      <c r="Y15" s="105">
        <f>IF(Body10Actif=TRUE,((((($B15*$X$4)+'Calculs 3D'!$C$15-OffsetX)/Ecran)*'Calculs 3D'!$C$32)+(((($C15*$X$4)+'Calculs 3D'!$D$15-OffsetY)/Ecran)*'Calculs 3D'!$D$32)+(((($D15*$X$4)+'Calculs 3D'!$E$15-OffsetZ)/Ecran)*'Calculs 3D'!$E$32)),0)</f>
        <v>0.29788761558763427</v>
      </c>
    </row>
    <row r="16" spans="2:25" x14ac:dyDescent="0.3">
      <c r="B16" s="102">
        <v>-1</v>
      </c>
      <c r="C16" s="102">
        <v>1.22514845490862E-16</v>
      </c>
      <c r="D16" s="102">
        <v>0</v>
      </c>
      <c r="F16" s="105">
        <f>IF(Body1Actif=TRUE,((((($B16*$F$4)+'Calculs 3D'!$C$6-OffsetX)/Ecran)*'Calculs 3D'!$C$31)+(((($C16*$F$4)+'Calculs 3D'!$D$6-OffsetY)/Ecran)*'Calculs 3D'!$D$31)+(((($D16*$F$4)+'Calculs 3D'!$E$6-OffsetZ)/Ecran)*'Calculs 3D'!$E$31)),0)</f>
        <v>4.7523640153447934E-2</v>
      </c>
      <c r="G16" s="105">
        <f>IF(Body1Actif=TRUE,((((($B16*$F$4)+'Calculs 3D'!$C$6-OffsetX)/Ecran)*'Calculs 3D'!$C$32)+(((($C16*$F$4)+'Calculs 3D'!$D$6-OffsetY)/Ecran)*'Calculs 3D'!$D$32)+(((($D16*$F$4)+'Calculs 3D'!$E$6-OffsetZ)/Ecran)*'Calculs 3D'!$E$32)),0)</f>
        <v>0.26532292219826131</v>
      </c>
      <c r="H16" s="105">
        <f>IF(Body2Actif=TRUE,((((($B16*$H$4)+'Calculs 3D'!$C$7-OffsetX)/Ecran)*'Calculs 3D'!$C$31)+(((($C16*$H$4)+'Calculs 3D'!$D$7-OffsetY)/Ecran)*'Calculs 3D'!$D$31)+(((($D16*$H$4)+'Calculs 3D'!$E$7-OffsetZ)/Ecran)*'Calculs 3D'!$E$31)),0)</f>
        <v>1.3338086083727042E-2</v>
      </c>
      <c r="I16" s="105">
        <f>IF(Body2Actif=TRUE,((((($B16*$H$4)+'Calculs 3D'!$C$7-OffsetX)/Ecran)*'Calculs 3D'!$C$32)+(((($C16*$H$4)+'Calculs 3D'!$D$7-OffsetY)/Ecran)*'Calculs 3D'!$D$32)+(((($D16*$H$4)+'Calculs 3D'!$E$7-OffsetZ)/Ecran)*'Calculs 3D'!$E$32)),0)</f>
        <v>3.601032564421644E-2</v>
      </c>
      <c r="J16" s="105">
        <f>IF(Body3Actif=TRUE,((((($B16*$J$4)+'Calculs 3D'!$C$8-OffsetX)/Ecran)*'Calculs 3D'!$C$31)+(((($C16*$J$4)+'Calculs 3D'!$D$8-OffsetY)/Ecran)*'Calculs 3D'!$D$31)+(((($D16*$J$4)+'Calculs 3D'!$E$8-OffsetZ)/Ecran)*'Calculs 3D'!$E$31)),0)</f>
        <v>0.21336692163839743</v>
      </c>
      <c r="K16" s="105">
        <f>IF(Body3Actif=TRUE,((((($B16*$J$4)+'Calculs 3D'!$C$8-OffsetX)/Ecran)*'Calculs 3D'!$C$32)+(((($C16*$J$4)+'Calculs 3D'!$D$8-OffsetY)/Ecran)*'Calculs 3D'!$D$32)+(((($D16*$J$4)+'Calculs 3D'!$E$8-OffsetZ)/Ecran)*'Calculs 3D'!$E$32)),0)</f>
        <v>-7.8338312757839063E-2</v>
      </c>
      <c r="L16" s="105">
        <f>IF(Body4Actif=TRUE,((((($B16*$L$4)+'Calculs 3D'!$C$9-OffsetX)/Ecran)*'Calculs 3D'!$C$31)+(((($C16*$L$4)+'Calculs 3D'!$D$9-OffsetY)/Ecran)*'Calculs 3D'!$D$31)+(((($D16*$L$4)+'Calculs 3D'!$E$9-OffsetZ)/Ecran)*'Calculs 3D'!$E$31)),0)</f>
        <v>-0.1014085874355572</v>
      </c>
      <c r="M16" s="105">
        <f>IF(Body4Actif=TRUE,((((($B16*$L$4)+'Calculs 3D'!$C$9-OffsetX)/Ecran)*'Calculs 3D'!$C$32)+(((($C16*$L$4)+'Calculs 3D'!$D$9-OffsetY)/Ecran)*'Calculs 3D'!$D$32)+(((($D16*$L$4)+'Calculs 3D'!$E$9-OffsetZ)/Ecran)*'Calculs 3D'!$E$32)),0)</f>
        <v>-0.16882147154038912</v>
      </c>
      <c r="N16" s="105">
        <f>IF(Body5Actif=TRUE,((((($B16*$N$4)+'Calculs 3D'!$C$10-OffsetX)/Ecran)*'Calculs 3D'!$C$31)+(((($C16*$N$4)+'Calculs 3D'!$D$10-OffsetY)/Ecran)*'Calculs 3D'!$D$31)+(((($D16*$N$4)+'Calculs 3D'!$E$10-OffsetZ)/Ecran)*'Calculs 3D'!$E$31)),0)</f>
        <v>-7.0013795352121978E-3</v>
      </c>
      <c r="O16" s="105">
        <f>IF(Body5Actif=TRUE,((((($B16*$N$4)+'Calculs 3D'!$C$10-OffsetX)/Ecran)*'Calculs 3D'!$C$32)+(((($C16*$N$4)+'Calculs 3D'!$D$10-OffsetY)/Ecran)*'Calculs 3D'!$D$32)+(((($D16*$N$4)+'Calculs 3D'!$E$10-OffsetZ)/Ecran)*'Calculs 3D'!$E$32)),0)</f>
        <v>-1.4417034772722364E-3</v>
      </c>
      <c r="P16" s="105">
        <f>IF(Body6Actif=TRUE,((((($B16*$P$4)+'Calculs 3D'!$C$11-OffsetX)/Ecran)*'Calculs 3D'!$C$31)+(((($C16*$P$4)+'Calculs 3D'!$D$11-OffsetY)/Ecran)*'Calculs 3D'!$D$31)+(((($D16*$P$4)+'Calculs 3D'!$E$11-OffsetZ)/Ecran)*'Calculs 3D'!$E$31)),0)</f>
        <v>0.15929043362178924</v>
      </c>
      <c r="Q16" s="105">
        <f>IF(Body6Actif=TRUE,((((($B16*$P$4)+'Calculs 3D'!$C$11-OffsetX)/Ecran)*'Calculs 3D'!$C$32)+(((($C16*$P$4)+'Calculs 3D'!$D$11-OffsetY)/Ecran)*'Calculs 3D'!$D$32)+(((($D16*$P$4)+'Calculs 3D'!$E$11-OffsetZ)/Ecran)*'Calculs 3D'!$E$32)),0)</f>
        <v>0.13818297624060863</v>
      </c>
      <c r="R16" s="105">
        <f>IF(Body7Actif=TRUE,((((($B16*$R$4)+'Calculs 3D'!$C$12-OffsetX)/Ecran)*'Calculs 3D'!$C$31)+(((($C16*$R$4)+'Calculs 3D'!$D$12-OffsetY)/Ecran)*'Calculs 3D'!$D$31)+(((($D16*$R$4)+'Calculs 3D'!$E$12-OffsetZ)/Ecran)*'Calculs 3D'!$E$31)),0)</f>
        <v>-0.29217321203361679</v>
      </c>
      <c r="S16" s="105">
        <f>IF(Body7Actif=TRUE,((((($B16*$R$4)+'Calculs 3D'!$C$12-OffsetX)/Ecran)*'Calculs 3D'!$C$32)+(((($C16*$R$4)+'Calculs 3D'!$D$12-OffsetY)/Ecran)*'Calculs 3D'!$D$32)+(((($D16*$R$4)+'Calculs 3D'!$E$12-OffsetZ)/Ecran)*'Calculs 3D'!$E$32)),0)</f>
        <v>6.7493568752759178E-2</v>
      </c>
      <c r="T16" s="105">
        <f>IF(Body8Actif=TRUE,((((($B16*$T$4)+'Calculs 3D'!$C$13-OffsetX)/Ecran)*'Calculs 3D'!$C$31)+(((($C16*$T$4)+'Calculs 3D'!$D$13-OffsetY)/Ecran)*'Calculs 3D'!$D$31)+(((($D16*$T$4)+'Calculs 3D'!$E$13-OffsetZ)/Ecran)*'Calculs 3D'!$E$31)),0)</f>
        <v>0.16404671424104339</v>
      </c>
      <c r="U16" s="105">
        <f>IF(Body8Actif=TRUE,((((($B16*$T$4)+'Calculs 3D'!$C$13-OffsetX)/Ecran)*'Calculs 3D'!$C$32)+(((($C16*$T$4)+'Calculs 3D'!$D$13-OffsetY)/Ecran)*'Calculs 3D'!$D$32)+(((($D16*$T$4)+'Calculs 3D'!$E$13-OffsetZ)/Ecran)*'Calculs 3D'!$E$32)),0)</f>
        <v>-0.12871378232276875</v>
      </c>
      <c r="V16" s="105">
        <f>IF(Body9Actif=TRUE,((((($B16*$V$4)+'Calculs 3D'!$C$14-OffsetX)/Ecran)*'Calculs 3D'!$C$31)+(((($C16*$V$4)+'Calculs 3D'!$D$14-OffsetY)/Ecran)*'Calculs 3D'!$D$31)+(((($D16*$V$4)+'Calculs 3D'!$E$14-OffsetZ)/Ecran)*'Calculs 3D'!$E$31)),0)</f>
        <v>-0.18338114947074011</v>
      </c>
      <c r="W16" s="105">
        <f>IF(Body9Actif=TRUE,((((($B16*$V$4)+'Calculs 3D'!$C$14-OffsetX)/Ecran)*'Calculs 3D'!$C$32)+(((($C16*$V$4)+'Calculs 3D'!$D$14-OffsetY)/Ecran)*'Calculs 3D'!$D$32)+(((($D16*$V$4)+'Calculs 3D'!$E$14-OffsetZ)/Ecran)*'Calculs 3D'!$E$32)),0)</f>
        <v>0.29124992083952034</v>
      </c>
      <c r="X16" s="105">
        <f>IF(Body10Actif=TRUE,((((($B16*$X$4)+'Calculs 3D'!$C$15-OffsetX)/Ecran)*'Calculs 3D'!$C$31)+(((($C16*$X$4)+'Calculs 3D'!$D$15-OffsetY)/Ecran)*'Calculs 3D'!$D$31)+(((($D16*$X$4)+'Calculs 3D'!$E$15-OffsetZ)/Ecran)*'Calculs 3D'!$E$31)),0)</f>
        <v>-2.4079930344138745E-2</v>
      </c>
      <c r="Y16" s="105">
        <f>IF(Body10Actif=TRUE,((((($B16*$X$4)+'Calculs 3D'!$C$15-OffsetX)/Ecran)*'Calculs 3D'!$C$32)+(((($C16*$X$4)+'Calculs 3D'!$D$15-OffsetY)/Ecran)*'Calculs 3D'!$D$32)+(((($D16*$X$4)+'Calculs 3D'!$E$15-OffsetZ)/Ecran)*'Calculs 3D'!$E$32)),0)</f>
        <v>0.29643343450316256</v>
      </c>
    </row>
    <row r="17" spans="2:25" x14ac:dyDescent="0.3">
      <c r="B17" s="102">
        <v>-0.95105651629515353</v>
      </c>
      <c r="C17" s="102">
        <v>-0.30901699437494773</v>
      </c>
      <c r="D17" s="102">
        <v>0</v>
      </c>
      <c r="F17" s="105">
        <f>IF(Body1Actif=TRUE,((((($B17*$F$4)+'Calculs 3D'!$C$6-OffsetX)/Ecran)*'Calculs 3D'!$C$31)+(((($C17*$F$4)+'Calculs 3D'!$D$6-OffsetY)/Ecran)*'Calculs 3D'!$D$31)+(((($D17*$F$4)+'Calculs 3D'!$E$6-OffsetZ)/Ecran)*'Calculs 3D'!$E$31)),0)</f>
        <v>4.6987178315144956E-2</v>
      </c>
      <c r="G17" s="105">
        <f>IF(Body1Actif=TRUE,((((($B17*$F$4)+'Calculs 3D'!$C$6-OffsetX)/Ecran)*'Calculs 3D'!$C$32)+(((($C17*$F$4)+'Calculs 3D'!$D$6-OffsetY)/Ecran)*'Calculs 3D'!$D$32)+(((($D17*$F$4)+'Calculs 3D'!$E$6-OffsetZ)/Ecran)*'Calculs 3D'!$E$32)),0)</f>
        <v>0.26467471338523096</v>
      </c>
      <c r="H17" s="105">
        <f>IF(Body2Actif=TRUE,((((($B17*$H$4)+'Calculs 3D'!$C$7-OffsetX)/Ecran)*'Calculs 3D'!$C$31)+(((($C17*$H$4)+'Calculs 3D'!$D$7-OffsetY)/Ecran)*'Calculs 3D'!$D$31)+(((($D17*$H$4)+'Calculs 3D'!$E$7-OffsetZ)/Ecran)*'Calculs 3D'!$E$31)),0)</f>
        <v>1.1247024122360543E-2</v>
      </c>
      <c r="I17" s="105">
        <f>IF(Body2Actif=TRUE,((((($B17*$H$4)+'Calculs 3D'!$C$7-OffsetX)/Ecran)*'Calculs 3D'!$C$32)+(((($C17*$H$4)+'Calculs 3D'!$D$7-OffsetY)/Ecran)*'Calculs 3D'!$D$32)+(((($D17*$H$4)+'Calculs 3D'!$E$7-OffsetZ)/Ecran)*'Calculs 3D'!$E$32)),0)</f>
        <v>3.3483687782634337E-2</v>
      </c>
      <c r="J17" s="105">
        <f>IF(Body3Actif=TRUE,((((($B17*$J$4)+'Calculs 3D'!$C$8-OffsetX)/Ecran)*'Calculs 3D'!$C$31)+(((($C17*$J$4)+'Calculs 3D'!$D$8-OffsetY)/Ecran)*'Calculs 3D'!$D$31)+(((($D17*$J$4)+'Calculs 3D'!$E$8-OffsetZ)/Ecran)*'Calculs 3D'!$E$31)),0)</f>
        <v>0.2124376072526824</v>
      </c>
      <c r="K17" s="105">
        <f>IF(Body3Actif=TRUE,((((($B17*$J$4)+'Calculs 3D'!$C$8-OffsetX)/Ecran)*'Calculs 3D'!$C$32)+(((($C17*$J$4)+'Calculs 3D'!$D$8-OffsetY)/Ecran)*'Calculs 3D'!$D$32)+(((($D17*$J$4)+'Calculs 3D'!$E$8-OffsetZ)/Ecran)*'Calculs 3D'!$E$32)),0)</f>
        <v>-7.9461206749333241E-2</v>
      </c>
      <c r="L17" s="105">
        <f>IF(Body4Actif=TRUE,((((($B17*$L$4)+'Calculs 3D'!$C$9-OffsetX)/Ecran)*'Calculs 3D'!$C$31)+(((($C17*$L$4)+'Calculs 3D'!$D$9-OffsetY)/Ecran)*'Calculs 3D'!$D$31)+(((($D17*$L$4)+'Calculs 3D'!$E$9-OffsetZ)/Ecran)*'Calculs 3D'!$E$31)),0)</f>
        <v>-0.10261696804711042</v>
      </c>
      <c r="M17" s="105">
        <f>IF(Body4Actif=TRUE,((((($B17*$L$4)+'Calculs 3D'!$C$9-OffsetX)/Ecran)*'Calculs 3D'!$C$32)+(((($C17*$L$4)+'Calculs 3D'!$D$9-OffsetY)/Ecran)*'Calculs 3D'!$D$32)+(((($D17*$L$4)+'Calculs 3D'!$E$9-OffsetZ)/Ecran)*'Calculs 3D'!$E$32)),0)</f>
        <v>-0.17028156227933447</v>
      </c>
      <c r="N17" s="105">
        <f>IF(Body5Actif=TRUE,((((($B17*$N$4)+'Calculs 3D'!$C$10-OffsetX)/Ecran)*'Calculs 3D'!$C$31)+(((($C17*$N$4)+'Calculs 3D'!$D$10-OffsetY)/Ecran)*'Calculs 3D'!$D$31)+(((($D17*$N$4)+'Calculs 3D'!$E$10-OffsetZ)/Ecran)*'Calculs 3D'!$E$31)),0)</f>
        <v>-8.3808569358917277E-3</v>
      </c>
      <c r="O17" s="105">
        <f>IF(Body5Actif=TRUE,((((($B17*$N$4)+'Calculs 3D'!$C$10-OffsetX)/Ecran)*'Calculs 3D'!$C$32)+(((($C17*$N$4)+'Calculs 3D'!$D$10-OffsetY)/Ecran)*'Calculs 3D'!$D$32)+(((($D17*$N$4)+'Calculs 3D'!$E$10-OffsetZ)/Ecran)*'Calculs 3D'!$E$32)),0)</f>
        <v>-3.1085310960368411E-3</v>
      </c>
      <c r="P17" s="105">
        <f>IF(Body6Actif=TRUE,((((($B17*$P$4)+'Calculs 3D'!$C$11-OffsetX)/Ecran)*'Calculs 3D'!$C$31)+(((($C17*$P$4)+'Calculs 3D'!$D$11-OffsetY)/Ecran)*'Calculs 3D'!$D$31)+(((($D17*$P$4)+'Calculs 3D'!$E$11-OffsetZ)/Ecran)*'Calculs 3D'!$E$31)),0)</f>
        <v>0.1572913353651309</v>
      </c>
      <c r="Q17" s="105">
        <f>IF(Body6Actif=TRUE,((((($B17*$P$4)+'Calculs 3D'!$C$11-OffsetX)/Ecran)*'Calculs 3D'!$C$32)+(((($C17*$P$4)+'Calculs 3D'!$D$11-OffsetY)/Ecran)*'Calculs 3D'!$D$32)+(((($D17*$P$4)+'Calculs 3D'!$E$11-OffsetZ)/Ecran)*'Calculs 3D'!$E$32)),0)</f>
        <v>0.13576745846178834</v>
      </c>
      <c r="R17" s="105">
        <f>IF(Body7Actif=TRUE,((((($B17*$R$4)+'Calculs 3D'!$C$12-OffsetX)/Ecran)*'Calculs 3D'!$C$31)+(((($C17*$R$4)+'Calculs 3D'!$D$12-OffsetY)/Ecran)*'Calculs 3D'!$D$31)+(((($D17*$R$4)+'Calculs 3D'!$E$12-OffsetZ)/Ecran)*'Calculs 3D'!$E$31)),0)</f>
        <v>-0.29418083345580143</v>
      </c>
      <c r="S17" s="105">
        <f>IF(Body7Actif=TRUE,((((($B17*$R$4)+'Calculs 3D'!$C$12-OffsetX)/Ecran)*'Calculs 3D'!$C$32)+(((($C17*$R$4)+'Calculs 3D'!$D$12-OffsetY)/Ecran)*'Calculs 3D'!$D$32)+(((($D17*$R$4)+'Calculs 3D'!$E$12-OffsetZ)/Ecran)*'Calculs 3D'!$E$32)),0)</f>
        <v>6.5067752401674089E-2</v>
      </c>
      <c r="T17" s="105">
        <f>IF(Body8Actif=TRUE,((((($B17*$T$4)+'Calculs 3D'!$C$13-OffsetX)/Ecran)*'Calculs 3D'!$C$31)+(((($C17*$T$4)+'Calculs 3D'!$D$13-OffsetY)/Ecran)*'Calculs 3D'!$D$31)+(((($D17*$T$4)+'Calculs 3D'!$E$13-OffsetZ)/Ecran)*'Calculs 3D'!$E$31)),0)</f>
        <v>0.16332264452527873</v>
      </c>
      <c r="U17" s="105">
        <f>IF(Body8Actif=TRUE,((((($B17*$T$4)+'Calculs 3D'!$C$13-OffsetX)/Ecran)*'Calculs 3D'!$C$32)+(((($C17*$T$4)+'Calculs 3D'!$D$13-OffsetY)/Ecran)*'Calculs 3D'!$D$32)+(((($D17*$T$4)+'Calculs 3D'!$E$13-OffsetZ)/Ecran)*'Calculs 3D'!$E$32)),0)</f>
        <v>-0.12958867842440336</v>
      </c>
      <c r="V17" s="105">
        <f>IF(Body9Actif=TRUE,((((($B17*$V$4)+'Calculs 3D'!$C$14-OffsetX)/Ecran)*'Calculs 3D'!$C$31)+(((($C17*$V$4)+'Calculs 3D'!$D$14-OffsetY)/Ecran)*'Calculs 3D'!$D$31)+(((($D17*$V$4)+'Calculs 3D'!$E$14-OffsetZ)/Ecran)*'Calculs 3D'!$E$31)),0)</f>
        <v>-0.18438580774375143</v>
      </c>
      <c r="W17" s="105">
        <f>IF(Body9Actif=TRUE,((((($B17*$V$4)+'Calculs 3D'!$C$14-OffsetX)/Ecran)*'Calculs 3D'!$C$32)+(((($C17*$V$4)+'Calculs 3D'!$D$14-OffsetY)/Ecran)*'Calculs 3D'!$D$32)+(((($D17*$V$4)+'Calculs 3D'!$E$14-OffsetZ)/Ecran)*'Calculs 3D'!$E$32)),0)</f>
        <v>0.29003598855179258</v>
      </c>
      <c r="X17" s="105">
        <f>IF(Body10Actif=TRUE,((((($B17*$X$4)+'Calculs 3D'!$C$15-OffsetX)/Ecran)*'Calculs 3D'!$C$31)+(((($C17*$X$4)+'Calculs 3D'!$D$15-OffsetY)/Ecran)*'Calculs 3D'!$D$31)+(((($D17*$X$4)+'Calculs 3D'!$E$15-OffsetZ)/Ecran)*'Calculs 3D'!$E$31)),0)</f>
        <v>-2.5596415889650226E-2</v>
      </c>
      <c r="Y17" s="105">
        <f>IF(Body10Actif=TRUE,((((($B17*$X$4)+'Calculs 3D'!$C$15-OffsetX)/Ecran)*'Calculs 3D'!$C$32)+(((($C17*$X$4)+'Calculs 3D'!$D$15-OffsetY)/Ecran)*'Calculs 3D'!$D$32)+(((($D17*$X$4)+'Calculs 3D'!$E$15-OffsetZ)/Ecran)*'Calculs 3D'!$E$32)),0)</f>
        <v>0.29460105943890225</v>
      </c>
    </row>
    <row r="18" spans="2:25" x14ac:dyDescent="0.3">
      <c r="B18" s="102">
        <v>-0.80901699437494756</v>
      </c>
      <c r="C18" s="102">
        <v>-0.58778525229247303</v>
      </c>
      <c r="D18" s="102">
        <v>0</v>
      </c>
      <c r="F18" s="105">
        <f>IF(Body1Actif=TRUE,((((($B18*$F$4)+'Calculs 3D'!$C$6-OffsetX)/Ecran)*'Calculs 3D'!$C$31)+(((($C18*$F$4)+'Calculs 3D'!$D$6-OffsetY)/Ecran)*'Calculs 3D'!$D$31)+(((($D18*$F$4)+'Calculs 3D'!$E$6-OffsetZ)/Ecran)*'Calculs 3D'!$E$31)),0)</f>
        <v>4.6802326163530382E-2</v>
      </c>
      <c r="G18" s="105">
        <f>IF(Body1Actif=TRUE,((((($B18*$F$4)+'Calculs 3D'!$C$6-OffsetX)/Ecran)*'Calculs 3D'!$C$32)+(((($C18*$F$4)+'Calculs 3D'!$D$6-OffsetY)/Ecran)*'Calculs 3D'!$D$32)+(((($D18*$F$4)+'Calculs 3D'!$E$6-OffsetZ)/Ecran)*'Calculs 3D'!$E$32)),0)</f>
        <v>0.26395616838076619</v>
      </c>
      <c r="H18" s="105">
        <f>IF(Body2Actif=TRUE,((((($B18*$H$4)+'Calculs 3D'!$C$7-OffsetX)/Ecran)*'Calculs 3D'!$C$31)+(((($C18*$H$4)+'Calculs 3D'!$D$7-OffsetY)/Ecran)*'Calculs 3D'!$D$31)+(((($D18*$H$4)+'Calculs 3D'!$E$7-OffsetZ)/Ecran)*'Calculs 3D'!$E$31)),0)</f>
        <v>1.0526493275393466E-2</v>
      </c>
      <c r="I18" s="105">
        <f>IF(Body2Actif=TRUE,((((($B18*$H$4)+'Calculs 3D'!$C$7-OffsetX)/Ecran)*'Calculs 3D'!$C$32)+(((($C18*$H$4)+'Calculs 3D'!$D$7-OffsetY)/Ecran)*'Calculs 3D'!$D$32)+(((($D18*$H$4)+'Calculs 3D'!$E$7-OffsetZ)/Ecran)*'Calculs 3D'!$E$32)),0)</f>
        <v>3.068288813746442E-2</v>
      </c>
      <c r="J18" s="105">
        <f>IF(Body3Actif=TRUE,((((($B18*$J$4)+'Calculs 3D'!$C$8-OffsetX)/Ecran)*'Calculs 3D'!$C$31)+(((($C18*$J$4)+'Calculs 3D'!$D$8-OffsetY)/Ecran)*'Calculs 3D'!$D$31)+(((($D18*$J$4)+'Calculs 3D'!$E$8-OffsetZ)/Ecran)*'Calculs 3D'!$E$31)),0)</f>
        <v>0.21211738733868216</v>
      </c>
      <c r="K18" s="105">
        <f>IF(Body3Actif=TRUE,((((($B18*$J$4)+'Calculs 3D'!$C$8-OffsetX)/Ecran)*'Calculs 3D'!$C$32)+(((($C18*$J$4)+'Calculs 3D'!$D$8-OffsetY)/Ecran)*'Calculs 3D'!$D$32)+(((($D18*$J$4)+'Calculs 3D'!$E$8-OffsetZ)/Ecran)*'Calculs 3D'!$E$32)),0)</f>
        <v>-8.0705944327583254E-2</v>
      </c>
      <c r="L18" s="105">
        <f>IF(Body4Actif=TRUE,((((($B18*$L$4)+'Calculs 3D'!$C$9-OffsetX)/Ecran)*'Calculs 3D'!$C$31)+(((($C18*$L$4)+'Calculs 3D'!$D$9-OffsetY)/Ecran)*'Calculs 3D'!$D$31)+(((($D18*$L$4)+'Calculs 3D'!$E$9-OffsetZ)/Ecran)*'Calculs 3D'!$E$31)),0)</f>
        <v>-0.10303334762915403</v>
      </c>
      <c r="M18" s="105">
        <f>IF(Body4Actif=TRUE,((((($B18*$L$4)+'Calculs 3D'!$C$9-OffsetX)/Ecran)*'Calculs 3D'!$C$32)+(((($C18*$L$4)+'Calculs 3D'!$D$9-OffsetY)/Ecran)*'Calculs 3D'!$D$32)+(((($D18*$L$4)+'Calculs 3D'!$E$9-OffsetZ)/Ecran)*'Calculs 3D'!$E$32)),0)</f>
        <v>-0.17190008533154319</v>
      </c>
      <c r="N18" s="105">
        <f>IF(Body5Actif=TRUE,((((($B18*$N$4)+'Calculs 3D'!$C$10-OffsetX)/Ecran)*'Calculs 3D'!$C$31)+(((($C18*$N$4)+'Calculs 3D'!$D$10-OffsetY)/Ecran)*'Calculs 3D'!$D$31)+(((($D18*$N$4)+'Calculs 3D'!$E$10-OffsetZ)/Ecran)*'Calculs 3D'!$E$31)),0)</f>
        <v>-8.856192453560471E-3</v>
      </c>
      <c r="O18" s="105">
        <f>IF(Body5Actif=TRUE,((((($B18*$N$4)+'Calculs 3D'!$C$10-OffsetX)/Ecran)*'Calculs 3D'!$C$32)+(((($C18*$N$4)+'Calculs 3D'!$D$10-OffsetY)/Ecran)*'Calculs 3D'!$D$32)+(((($D18*$N$4)+'Calculs 3D'!$E$10-OffsetZ)/Ecran)*'Calculs 3D'!$E$32)),0)</f>
        <v>-4.9562237449042538E-3</v>
      </c>
      <c r="P18" s="105">
        <f>IF(Body6Actif=TRUE,((((($B18*$P$4)+'Calculs 3D'!$C$11-OffsetX)/Ecran)*'Calculs 3D'!$C$31)+(((($C18*$P$4)+'Calculs 3D'!$D$11-OffsetY)/Ecran)*'Calculs 3D'!$D$31)+(((($D18*$P$4)+'Calculs 3D'!$E$11-OffsetZ)/Ecran)*'Calculs 3D'!$E$31)),0)</f>
        <v>0.15660249305120011</v>
      </c>
      <c r="Q18" s="105">
        <f>IF(Body6Actif=TRUE,((((($B18*$P$4)+'Calculs 3D'!$C$11-OffsetX)/Ecran)*'Calculs 3D'!$C$32)+(((($C18*$P$4)+'Calculs 3D'!$D$11-OffsetY)/Ecran)*'Calculs 3D'!$D$32)+(((($D18*$P$4)+'Calculs 3D'!$E$11-OffsetZ)/Ecran)*'Calculs 3D'!$E$32)),0)</f>
        <v>0.13308983637724267</v>
      </c>
      <c r="R18" s="105">
        <f>IF(Body7Actif=TRUE,((((($B18*$R$4)+'Calculs 3D'!$C$12-OffsetX)/Ecran)*'Calculs 3D'!$C$31)+(((($C18*$R$4)+'Calculs 3D'!$D$12-OffsetY)/Ecran)*'Calculs 3D'!$D$31)+(((($D18*$R$4)+'Calculs 3D'!$E$12-OffsetZ)/Ecran)*'Calculs 3D'!$E$31)),0)</f>
        <v>-0.29487261265242104</v>
      </c>
      <c r="S18" s="105">
        <f>IF(Body7Actif=TRUE,((((($B18*$R$4)+'Calculs 3D'!$C$12-OffsetX)/Ecran)*'Calculs 3D'!$C$32)+(((($C18*$R$4)+'Calculs 3D'!$D$12-OffsetY)/Ecran)*'Calculs 3D'!$D$32)+(((($D18*$R$4)+'Calculs 3D'!$E$12-OffsetZ)/Ecran)*'Calculs 3D'!$E$32)),0)</f>
        <v>6.2378714261830698E-2</v>
      </c>
      <c r="T18" s="105">
        <f>IF(Body8Actif=TRUE,((((($B18*$T$4)+'Calculs 3D'!$C$13-OffsetX)/Ecran)*'Calculs 3D'!$C$31)+(((($C18*$T$4)+'Calculs 3D'!$D$13-OffsetY)/Ecran)*'Calculs 3D'!$D$31)+(((($D18*$T$4)+'Calculs 3D'!$E$13-OffsetZ)/Ecran)*'Calculs 3D'!$E$31)),0)</f>
        <v>0.16307314710473259</v>
      </c>
      <c r="U18" s="105">
        <f>IF(Body8Actif=TRUE,((((($B18*$T$4)+'Calculs 3D'!$C$13-OffsetX)/Ecran)*'Calculs 3D'!$C$32)+(((($C18*$T$4)+'Calculs 3D'!$D$13-OffsetY)/Ecran)*'Calculs 3D'!$D$32)+(((($D18*$T$4)+'Calculs 3D'!$E$13-OffsetZ)/Ecran)*'Calculs 3D'!$E$32)),0)</f>
        <v>-0.13055850822402665</v>
      </c>
      <c r="V18" s="105">
        <f>IF(Body9Actif=TRUE,((((($B18*$V$4)+'Calculs 3D'!$C$14-OffsetX)/Ecran)*'Calculs 3D'!$C$31)+(((($C18*$V$4)+'Calculs 3D'!$D$14-OffsetY)/Ecran)*'Calculs 3D'!$D$31)+(((($D18*$V$4)+'Calculs 3D'!$E$14-OffsetZ)/Ecran)*'Calculs 3D'!$E$31)),0)</f>
        <v>-0.18473198939199506</v>
      </c>
      <c r="W18" s="105">
        <f>IF(Body9Actif=TRUE,((((($B18*$V$4)+'Calculs 3D'!$C$14-OffsetX)/Ecran)*'Calculs 3D'!$C$32)+(((($C18*$V$4)+'Calculs 3D'!$D$14-OffsetY)/Ecran)*'Calculs 3D'!$D$32)+(((($D18*$V$4)+'Calculs 3D'!$E$14-OffsetZ)/Ecran)*'Calculs 3D'!$E$32)),0)</f>
        <v>0.28869033424476842</v>
      </c>
      <c r="X18" s="105">
        <f>IF(Body10Actif=TRUE,((((($B18*$X$4)+'Calculs 3D'!$C$15-OffsetX)/Ecran)*'Calculs 3D'!$C$31)+(((($C18*$X$4)+'Calculs 3D'!$D$15-OffsetY)/Ecran)*'Calculs 3D'!$D$31)+(((($D18*$X$4)+'Calculs 3D'!$E$15-OffsetZ)/Ecran)*'Calculs 3D'!$E$31)),0)</f>
        <v>-2.6118961196632207E-2</v>
      </c>
      <c r="Y18" s="105">
        <f>IF(Body10Actif=TRUE,((((($B18*$X$4)+'Calculs 3D'!$C$15-OffsetX)/Ecran)*'Calculs 3D'!$C$32)+(((($C18*$X$4)+'Calculs 3D'!$D$15-OffsetY)/Ecran)*'Calculs 3D'!$D$32)+(((($D18*$X$4)+'Calculs 3D'!$E$15-OffsetZ)/Ecran)*'Calculs 3D'!$E$32)),0)</f>
        <v>0.29256985603305086</v>
      </c>
    </row>
    <row r="19" spans="2:25" x14ac:dyDescent="0.3">
      <c r="B19" s="102">
        <v>-0.58778525229247325</v>
      </c>
      <c r="C19" s="102">
        <v>-0.80901699437494734</v>
      </c>
      <c r="D19" s="102">
        <v>0</v>
      </c>
      <c r="F19" s="105">
        <f>IF(Body1Actif=TRUE,((((($B19*$F$4)+'Calculs 3D'!$C$6-OffsetX)/Ecran)*'Calculs 3D'!$C$31)+(((($C19*$F$4)+'Calculs 3D'!$D$6-OffsetY)/Ecran)*'Calculs 3D'!$D$31)+(((($D19*$F$4)+'Calculs 3D'!$E$6-OffsetZ)/Ecran)*'Calculs 3D'!$E$31)),0)</f>
        <v>4.6987178315144942E-2</v>
      </c>
      <c r="G19" s="105">
        <f>IF(Body1Actif=TRUE,((((($B19*$F$4)+'Calculs 3D'!$C$6-OffsetX)/Ecran)*'Calculs 3D'!$C$32)+(((($C19*$F$4)+'Calculs 3D'!$D$6-OffsetY)/Ecran)*'Calculs 3D'!$D$32)+(((($D19*$F$4)+'Calculs 3D'!$E$6-OffsetZ)/Ecran)*'Calculs 3D'!$E$32)),0)</f>
        <v>0.26323762337630141</v>
      </c>
      <c r="H19" s="105">
        <f>IF(Body2Actif=TRUE,((((($B19*$H$4)+'Calculs 3D'!$C$7-OffsetX)/Ecran)*'Calculs 3D'!$C$31)+(((($C19*$H$4)+'Calculs 3D'!$D$7-OffsetY)/Ecran)*'Calculs 3D'!$D$31)+(((($D19*$H$4)+'Calculs 3D'!$E$7-OffsetZ)/Ecran)*'Calculs 3D'!$E$31)),0)</f>
        <v>1.1247024122360543E-2</v>
      </c>
      <c r="I19" s="105">
        <f>IF(Body2Actif=TRUE,((((($B19*$H$4)+'Calculs 3D'!$C$7-OffsetX)/Ecran)*'Calculs 3D'!$C$32)+(((($C19*$H$4)+'Calculs 3D'!$D$7-OffsetY)/Ecran)*'Calculs 3D'!$D$32)+(((($D19*$H$4)+'Calculs 3D'!$E$7-OffsetZ)/Ecran)*'Calculs 3D'!$E$32)),0)</f>
        <v>2.7882088492294496E-2</v>
      </c>
      <c r="J19" s="105">
        <f>IF(Body3Actif=TRUE,((((($B19*$J$4)+'Calculs 3D'!$C$8-OffsetX)/Ecran)*'Calculs 3D'!$C$31)+(((($C19*$J$4)+'Calculs 3D'!$D$8-OffsetY)/Ecran)*'Calculs 3D'!$D$31)+(((($D19*$J$4)+'Calculs 3D'!$E$8-OffsetZ)/Ecran)*'Calculs 3D'!$E$31)),0)</f>
        <v>0.2124376072526824</v>
      </c>
      <c r="K19" s="105">
        <f>IF(Body3Actif=TRUE,((((($B19*$J$4)+'Calculs 3D'!$C$8-OffsetX)/Ecran)*'Calculs 3D'!$C$32)+(((($C19*$J$4)+'Calculs 3D'!$D$8-OffsetY)/Ecran)*'Calculs 3D'!$D$32)+(((($D19*$J$4)+'Calculs 3D'!$E$8-OffsetZ)/Ecran)*'Calculs 3D'!$E$32)),0)</f>
        <v>-8.1950681905833239E-2</v>
      </c>
      <c r="L19" s="105">
        <f>IF(Body4Actif=TRUE,((((($B19*$L$4)+'Calculs 3D'!$C$9-OffsetX)/Ecran)*'Calculs 3D'!$C$31)+(((($C19*$L$4)+'Calculs 3D'!$D$9-OffsetY)/Ecran)*'Calculs 3D'!$D$31)+(((($D19*$L$4)+'Calculs 3D'!$E$9-OffsetZ)/Ecran)*'Calculs 3D'!$E$31)),0)</f>
        <v>-0.1026169680471104</v>
      </c>
      <c r="M19" s="105">
        <f>IF(Body4Actif=TRUE,((((($B19*$L$4)+'Calculs 3D'!$C$9-OffsetX)/Ecran)*'Calculs 3D'!$C$32)+(((($C19*$L$4)+'Calculs 3D'!$D$9-OffsetY)/Ecran)*'Calculs 3D'!$D$32)+(((($D19*$L$4)+'Calculs 3D'!$E$9-OffsetZ)/Ecran)*'Calculs 3D'!$E$32)),0)</f>
        <v>-0.17351860838375194</v>
      </c>
      <c r="N19" s="105">
        <f>IF(Body5Actif=TRUE,((((($B19*$N$4)+'Calculs 3D'!$C$10-OffsetX)/Ecran)*'Calculs 3D'!$C$31)+(((($C19*$N$4)+'Calculs 3D'!$D$10-OffsetY)/Ecran)*'Calculs 3D'!$D$31)+(((($D19*$N$4)+'Calculs 3D'!$E$10-OffsetZ)/Ecran)*'Calculs 3D'!$E$31)),0)</f>
        <v>-8.380856935891726E-3</v>
      </c>
      <c r="O19" s="105">
        <f>IF(Body5Actif=TRUE,((((($B19*$N$4)+'Calculs 3D'!$C$10-OffsetX)/Ecran)*'Calculs 3D'!$C$32)+(((($C19*$N$4)+'Calculs 3D'!$D$10-OffsetY)/Ecran)*'Calculs 3D'!$D$32)+(((($D19*$N$4)+'Calculs 3D'!$E$10-OffsetZ)/Ecran)*'Calculs 3D'!$E$32)),0)</f>
        <v>-6.8039163937716682E-3</v>
      </c>
      <c r="P19" s="105">
        <f>IF(Body6Actif=TRUE,((((($B19*$P$4)+'Calculs 3D'!$C$11-OffsetX)/Ecran)*'Calculs 3D'!$C$31)+(((($C19*$P$4)+'Calculs 3D'!$D$11-OffsetY)/Ecran)*'Calculs 3D'!$D$31)+(((($D19*$P$4)+'Calculs 3D'!$E$11-OffsetZ)/Ecran)*'Calculs 3D'!$E$31)),0)</f>
        <v>0.15729133536513093</v>
      </c>
      <c r="Q19" s="105">
        <f>IF(Body6Actif=TRUE,((((($B19*$P$4)+'Calculs 3D'!$C$11-OffsetX)/Ecran)*'Calculs 3D'!$C$32)+(((($C19*$P$4)+'Calculs 3D'!$D$11-OffsetY)/Ecran)*'Calculs 3D'!$D$32)+(((($D19*$P$4)+'Calculs 3D'!$E$11-OffsetZ)/Ecran)*'Calculs 3D'!$E$32)),0)</f>
        <v>0.130412214292697</v>
      </c>
      <c r="R19" s="105">
        <f>IF(Body7Actif=TRUE,((((($B19*$R$4)+'Calculs 3D'!$C$12-OffsetX)/Ecran)*'Calculs 3D'!$C$31)+(((($C19*$R$4)+'Calculs 3D'!$D$12-OffsetY)/Ecran)*'Calculs 3D'!$D$31)+(((($D19*$R$4)+'Calculs 3D'!$E$12-OffsetZ)/Ecran)*'Calculs 3D'!$E$31)),0)</f>
        <v>-0.29418083345580148</v>
      </c>
      <c r="S19" s="105">
        <f>IF(Body7Actif=TRUE,((((($B19*$R$4)+'Calculs 3D'!$C$12-OffsetX)/Ecran)*'Calculs 3D'!$C$32)+(((($C19*$R$4)+'Calculs 3D'!$D$12-OffsetY)/Ecran)*'Calculs 3D'!$D$32)+(((($D19*$R$4)+'Calculs 3D'!$E$12-OffsetZ)/Ecran)*'Calculs 3D'!$E$32)),0)</f>
        <v>5.9689676121987306E-2</v>
      </c>
      <c r="T19" s="105">
        <f>IF(Body8Actif=TRUE,((((($B19*$T$4)+'Calculs 3D'!$C$13-OffsetX)/Ecran)*'Calculs 3D'!$C$31)+(((($C19*$T$4)+'Calculs 3D'!$D$13-OffsetY)/Ecran)*'Calculs 3D'!$D$31)+(((($D19*$T$4)+'Calculs 3D'!$E$13-OffsetZ)/Ecran)*'Calculs 3D'!$E$31)),0)</f>
        <v>0.16332264452527873</v>
      </c>
      <c r="U19" s="105">
        <f>IF(Body8Actif=TRUE,((((($B19*$T$4)+'Calculs 3D'!$C$13-OffsetX)/Ecran)*'Calculs 3D'!$C$32)+(((($C19*$T$4)+'Calculs 3D'!$D$13-OffsetY)/Ecran)*'Calculs 3D'!$D$32)+(((($D19*$T$4)+'Calculs 3D'!$E$13-OffsetZ)/Ecran)*'Calculs 3D'!$E$32)),0)</f>
        <v>-0.13152833802364994</v>
      </c>
      <c r="V19" s="105">
        <f>IF(Body9Actif=TRUE,((((($B19*$V$4)+'Calculs 3D'!$C$14-OffsetX)/Ecran)*'Calculs 3D'!$C$31)+(((($C19*$V$4)+'Calculs 3D'!$D$14-OffsetY)/Ecran)*'Calculs 3D'!$D$31)+(((($D19*$V$4)+'Calculs 3D'!$E$14-OffsetZ)/Ecran)*'Calculs 3D'!$E$31)),0)</f>
        <v>-0.18438580774375146</v>
      </c>
      <c r="W19" s="105">
        <f>IF(Body9Actif=TRUE,((((($B19*$V$4)+'Calculs 3D'!$C$14-OffsetX)/Ecran)*'Calculs 3D'!$C$32)+(((($C19*$V$4)+'Calculs 3D'!$D$14-OffsetY)/Ecran)*'Calculs 3D'!$D$32)+(((($D19*$V$4)+'Calculs 3D'!$E$14-OffsetZ)/Ecran)*'Calculs 3D'!$E$32)),0)</f>
        <v>0.28734467993774426</v>
      </c>
      <c r="X19" s="105">
        <f>IF(Body10Actif=TRUE,((((($B19*$X$4)+'Calculs 3D'!$C$15-OffsetX)/Ecran)*'Calculs 3D'!$C$31)+(((($C19*$X$4)+'Calculs 3D'!$D$15-OffsetY)/Ecran)*'Calculs 3D'!$D$31)+(((($D19*$X$4)+'Calculs 3D'!$E$15-OffsetZ)/Ecran)*'Calculs 3D'!$E$31)),0)</f>
        <v>-2.559641588965017E-2</v>
      </c>
      <c r="Y19" s="105">
        <f>IF(Body10Actif=TRUE,((((($B19*$X$4)+'Calculs 3D'!$C$15-OffsetX)/Ecran)*'Calculs 3D'!$C$32)+(((($C19*$X$4)+'Calculs 3D'!$D$15-OffsetY)/Ecran)*'Calculs 3D'!$D$32)+(((($D19*$X$4)+'Calculs 3D'!$E$15-OffsetZ)/Ecran)*'Calculs 3D'!$E$32)),0)</f>
        <v>0.29053865262719952</v>
      </c>
    </row>
    <row r="20" spans="2:25" x14ac:dyDescent="0.3">
      <c r="B20" s="102">
        <v>-0.30901699437494756</v>
      </c>
      <c r="C20" s="102">
        <v>-0.95105651629515353</v>
      </c>
      <c r="D20" s="102">
        <v>0</v>
      </c>
      <c r="F20" s="105">
        <f>IF(Body1Actif=TRUE,((((($B20*$F$4)+'Calculs 3D'!$C$6-OffsetX)/Ecran)*'Calculs 3D'!$C$31)+(((($C20*$F$4)+'Calculs 3D'!$D$6-OffsetY)/Ecran)*'Calculs 3D'!$D$31)+(((($D20*$F$4)+'Calculs 3D'!$E$6-OffsetZ)/Ecran)*'Calculs 3D'!$E$31)),0)</f>
        <v>4.7523640153447934E-2</v>
      </c>
      <c r="G20" s="105">
        <f>IF(Body1Actif=TRUE,((((($B20*$F$4)+'Calculs 3D'!$C$6-OffsetX)/Ecran)*'Calculs 3D'!$C$32)+(((($C20*$F$4)+'Calculs 3D'!$D$6-OffsetY)/Ecran)*'Calculs 3D'!$D$32)+(((($D20*$F$4)+'Calculs 3D'!$E$6-OffsetZ)/Ecran)*'Calculs 3D'!$E$32)),0)</f>
        <v>0.26258941456327106</v>
      </c>
      <c r="H20" s="105">
        <f>IF(Body2Actif=TRUE,((((($B20*$H$4)+'Calculs 3D'!$C$7-OffsetX)/Ecran)*'Calculs 3D'!$C$31)+(((($C20*$H$4)+'Calculs 3D'!$D$7-OffsetY)/Ecran)*'Calculs 3D'!$D$31)+(((($D20*$H$4)+'Calculs 3D'!$E$7-OffsetZ)/Ecran)*'Calculs 3D'!$E$31)),0)</f>
        <v>1.3338086083727038E-2</v>
      </c>
      <c r="I20" s="105">
        <f>IF(Body2Actif=TRUE,((((($B20*$H$4)+'Calculs 3D'!$C$7-OffsetX)/Ecran)*'Calculs 3D'!$C$32)+(((($C20*$H$4)+'Calculs 3D'!$D$7-OffsetY)/Ecran)*'Calculs 3D'!$D$32)+(((($D20*$H$4)+'Calculs 3D'!$E$7-OffsetZ)/Ecran)*'Calculs 3D'!$E$32)),0)</f>
        <v>2.5355450630712401E-2</v>
      </c>
      <c r="J20" s="105">
        <f>IF(Body3Actif=TRUE,((((($B20*$J$4)+'Calculs 3D'!$C$8-OffsetX)/Ecran)*'Calculs 3D'!$C$31)+(((($C20*$J$4)+'Calculs 3D'!$D$8-OffsetY)/Ecran)*'Calculs 3D'!$D$31)+(((($D20*$J$4)+'Calculs 3D'!$E$8-OffsetZ)/Ecran)*'Calculs 3D'!$E$31)),0)</f>
        <v>0.21336692163839743</v>
      </c>
      <c r="K20" s="105">
        <f>IF(Body3Actif=TRUE,((((($B20*$J$4)+'Calculs 3D'!$C$8-OffsetX)/Ecran)*'Calculs 3D'!$C$32)+(((($C20*$J$4)+'Calculs 3D'!$D$8-OffsetY)/Ecran)*'Calculs 3D'!$D$32)+(((($D20*$J$4)+'Calculs 3D'!$E$8-OffsetZ)/Ecran)*'Calculs 3D'!$E$32)),0)</f>
        <v>-8.3073575897327417E-2</v>
      </c>
      <c r="L20" s="105">
        <f>IF(Body4Actif=TRUE,((((($B20*$L$4)+'Calculs 3D'!$C$9-OffsetX)/Ecran)*'Calculs 3D'!$C$31)+(((($C20*$L$4)+'Calculs 3D'!$D$9-OffsetY)/Ecran)*'Calculs 3D'!$D$31)+(((($D20*$L$4)+'Calculs 3D'!$E$9-OffsetZ)/Ecran)*'Calculs 3D'!$E$31)),0)</f>
        <v>-0.1014085874355572</v>
      </c>
      <c r="M20" s="105">
        <f>IF(Body4Actif=TRUE,((((($B20*$L$4)+'Calculs 3D'!$C$9-OffsetX)/Ecran)*'Calculs 3D'!$C$32)+(((($C20*$L$4)+'Calculs 3D'!$D$9-OffsetY)/Ecran)*'Calculs 3D'!$D$32)+(((($D20*$L$4)+'Calculs 3D'!$E$9-OffsetZ)/Ecran)*'Calculs 3D'!$E$32)),0)</f>
        <v>-0.17497869912269726</v>
      </c>
      <c r="N20" s="105">
        <f>IF(Body5Actif=TRUE,((((($B20*$N$4)+'Calculs 3D'!$C$10-OffsetX)/Ecran)*'Calculs 3D'!$C$31)+(((($C20*$N$4)+'Calculs 3D'!$D$10-OffsetY)/Ecran)*'Calculs 3D'!$D$31)+(((($D20*$N$4)+'Calculs 3D'!$E$10-OffsetZ)/Ecran)*'Calculs 3D'!$E$31)),0)</f>
        <v>-7.0013795352121995E-3</v>
      </c>
      <c r="O20" s="105">
        <f>IF(Body5Actif=TRUE,((((($B20*$N$4)+'Calculs 3D'!$C$10-OffsetX)/Ecran)*'Calculs 3D'!$C$32)+(((($C20*$N$4)+'Calculs 3D'!$D$10-OffsetY)/Ecran)*'Calculs 3D'!$D$32)+(((($D20*$N$4)+'Calculs 3D'!$E$10-OffsetZ)/Ecran)*'Calculs 3D'!$E$32)),0)</f>
        <v>-8.4707440125362694E-3</v>
      </c>
      <c r="P20" s="105">
        <f>IF(Body6Actif=TRUE,((((($B20*$P$4)+'Calculs 3D'!$C$11-OffsetX)/Ecran)*'Calculs 3D'!$C$31)+(((($C20*$P$4)+'Calculs 3D'!$D$11-OffsetY)/Ecran)*'Calculs 3D'!$D$31)+(((($D20*$P$4)+'Calculs 3D'!$E$11-OffsetZ)/Ecran)*'Calculs 3D'!$E$31)),0)</f>
        <v>0.15929043362178921</v>
      </c>
      <c r="Q20" s="105">
        <f>IF(Body6Actif=TRUE,((((($B20*$P$4)+'Calculs 3D'!$C$11-OffsetX)/Ecran)*'Calculs 3D'!$C$32)+(((($C20*$P$4)+'Calculs 3D'!$D$11-OffsetY)/Ecran)*'Calculs 3D'!$D$32)+(((($D20*$P$4)+'Calculs 3D'!$E$11-OffsetZ)/Ecran)*'Calculs 3D'!$E$32)),0)</f>
        <v>0.12799669651387671</v>
      </c>
      <c r="R20" s="105">
        <f>IF(Body7Actif=TRUE,((((($B20*$R$4)+'Calculs 3D'!$C$12-OffsetX)/Ecran)*'Calculs 3D'!$C$31)+(((($C20*$R$4)+'Calculs 3D'!$D$12-OffsetY)/Ecran)*'Calculs 3D'!$D$31)+(((($D20*$R$4)+'Calculs 3D'!$E$12-OffsetZ)/Ecran)*'Calculs 3D'!$E$31)),0)</f>
        <v>-0.29217321203361679</v>
      </c>
      <c r="S20" s="105">
        <f>IF(Body7Actif=TRUE,((((($B20*$R$4)+'Calculs 3D'!$C$12-OffsetX)/Ecran)*'Calculs 3D'!$C$32)+(((($C20*$R$4)+'Calculs 3D'!$D$12-OffsetY)/Ecran)*'Calculs 3D'!$D$32)+(((($D20*$R$4)+'Calculs 3D'!$E$12-OffsetZ)/Ecran)*'Calculs 3D'!$E$32)),0)</f>
        <v>5.7263859770902217E-2</v>
      </c>
      <c r="T20" s="105">
        <f>IF(Body8Actif=TRUE,((((($B20*$T$4)+'Calculs 3D'!$C$13-OffsetX)/Ecran)*'Calculs 3D'!$C$31)+(((($C20*$T$4)+'Calculs 3D'!$D$13-OffsetY)/Ecran)*'Calculs 3D'!$D$31)+(((($D20*$T$4)+'Calculs 3D'!$E$13-OffsetZ)/Ecran)*'Calculs 3D'!$E$31)),0)</f>
        <v>0.16404671424104339</v>
      </c>
      <c r="U20" s="105">
        <f>IF(Body8Actif=TRUE,((((($B20*$T$4)+'Calculs 3D'!$C$13-OffsetX)/Ecran)*'Calculs 3D'!$C$32)+(((($C20*$T$4)+'Calculs 3D'!$D$13-OffsetY)/Ecran)*'Calculs 3D'!$D$32)+(((($D20*$T$4)+'Calculs 3D'!$E$13-OffsetZ)/Ecran)*'Calculs 3D'!$E$32)),0)</f>
        <v>-0.13240323412528454</v>
      </c>
      <c r="V20" s="105">
        <f>IF(Body9Actif=TRUE,((((($B20*$V$4)+'Calculs 3D'!$C$14-OffsetX)/Ecran)*'Calculs 3D'!$C$31)+(((($C20*$V$4)+'Calculs 3D'!$D$14-OffsetY)/Ecran)*'Calculs 3D'!$D$31)+(((($D20*$V$4)+'Calculs 3D'!$E$14-OffsetZ)/Ecran)*'Calculs 3D'!$E$31)),0)</f>
        <v>-0.18338114947074008</v>
      </c>
      <c r="W20" s="105">
        <f>IF(Body9Actif=TRUE,((((($B20*$V$4)+'Calculs 3D'!$C$14-OffsetX)/Ecran)*'Calculs 3D'!$C$32)+(((($C20*$V$4)+'Calculs 3D'!$D$14-OffsetY)/Ecran)*'Calculs 3D'!$D$32)+(((($D20*$V$4)+'Calculs 3D'!$E$14-OffsetZ)/Ecran)*'Calculs 3D'!$E$32)),0)</f>
        <v>0.28613074765001645</v>
      </c>
      <c r="X20" s="105">
        <f>IF(Body10Actif=TRUE,((((($B20*$X$4)+'Calculs 3D'!$C$15-OffsetX)/Ecran)*'Calculs 3D'!$C$31)+(((($C20*$X$4)+'Calculs 3D'!$D$15-OffsetY)/Ecran)*'Calculs 3D'!$D$31)+(((($D20*$X$4)+'Calculs 3D'!$E$15-OffsetZ)/Ecran)*'Calculs 3D'!$E$31)),0)</f>
        <v>-2.4079930344138759E-2</v>
      </c>
      <c r="Y20" s="105">
        <f>IF(Body10Actif=TRUE,((((($B20*$X$4)+'Calculs 3D'!$C$15-OffsetX)/Ecran)*'Calculs 3D'!$C$32)+(((($C20*$X$4)+'Calculs 3D'!$D$15-OffsetY)/Ecran)*'Calculs 3D'!$D$32)+(((($D20*$X$4)+'Calculs 3D'!$E$15-OffsetZ)/Ecran)*'Calculs 3D'!$E$32)),0)</f>
        <v>0.28870627756293915</v>
      </c>
    </row>
    <row r="21" spans="2:25" x14ac:dyDescent="0.3">
      <c r="B21" s="102">
        <v>-1.83772268236293E-16</v>
      </c>
      <c r="C21" s="102">
        <v>-1</v>
      </c>
      <c r="D21" s="102">
        <v>0</v>
      </c>
      <c r="F21" s="105">
        <f>IF(Body1Actif=TRUE,((((($B21*$F$4)+'Calculs 3D'!$C$6-OffsetX)/Ecran)*'Calculs 3D'!$C$31)+(((($C21*$F$4)+'Calculs 3D'!$D$6-OffsetY)/Ecran)*'Calculs 3D'!$D$31)+(((($D21*$F$4)+'Calculs 3D'!$E$6-OffsetZ)/Ecran)*'Calculs 3D'!$E$31)),0)</f>
        <v>4.8359199055956835E-2</v>
      </c>
      <c r="G21" s="105">
        <f>IF(Body1Actif=TRUE,((((($B21*$F$4)+'Calculs 3D'!$C$6-OffsetX)/Ecran)*'Calculs 3D'!$C$32)+(((($C21*$F$4)+'Calculs 3D'!$D$6-OffsetY)/Ecran)*'Calculs 3D'!$D$32)+(((($D21*$F$4)+'Calculs 3D'!$E$6-OffsetZ)/Ecran)*'Calculs 3D'!$E$32)),0)</f>
        <v>0.26207499313663096</v>
      </c>
      <c r="H21" s="105">
        <f>IF(Body2Actif=TRUE,((((($B21*$H$4)+'Calculs 3D'!$C$7-OffsetX)/Ecran)*'Calculs 3D'!$C$31)+(((($C21*$H$4)+'Calculs 3D'!$D$7-OffsetY)/Ecran)*'Calculs 3D'!$D$31)+(((($D21*$H$4)+'Calculs 3D'!$E$7-OffsetZ)/Ecran)*'Calculs 3D'!$E$31)),0)</f>
        <v>1.659499144542901E-2</v>
      </c>
      <c r="I21" s="105">
        <f>IF(Body2Actif=TRUE,((((($B21*$H$4)+'Calculs 3D'!$C$7-OffsetX)/Ecran)*'Calculs 3D'!$C$32)+(((($C21*$H$4)+'Calculs 3D'!$D$7-OffsetY)/Ecran)*'Calculs 3D'!$D$32)+(((($D21*$H$4)+'Calculs 3D'!$E$7-OffsetZ)/Ecran)*'Calculs 3D'!$E$32)),0)</f>
        <v>2.3350299470730914E-2</v>
      </c>
      <c r="J21" s="105">
        <f>IF(Body3Actif=TRUE,((((($B21*$J$4)+'Calculs 3D'!$C$8-OffsetX)/Ecran)*'Calculs 3D'!$C$31)+(((($C21*$J$4)+'Calculs 3D'!$D$8-OffsetY)/Ecran)*'Calculs 3D'!$D$31)+(((($D21*$J$4)+'Calculs 3D'!$E$8-OffsetZ)/Ecran)*'Calculs 3D'!$E$31)),0)</f>
        <v>0.21481436272883944</v>
      </c>
      <c r="K21" s="105">
        <f>IF(Body3Actif=TRUE,((((($B21*$J$4)+'Calculs 3D'!$C$8-OffsetX)/Ecran)*'Calculs 3D'!$C$32)+(((($C21*$J$4)+'Calculs 3D'!$D$8-OffsetY)/Ecran)*'Calculs 3D'!$D$32)+(((($D21*$J$4)+'Calculs 3D'!$E$8-OffsetZ)/Ecran)*'Calculs 3D'!$E$32)),0)</f>
        <v>-8.3964709614515964E-2</v>
      </c>
      <c r="L21" s="105">
        <f>IF(Body4Actif=TRUE,((((($B21*$L$4)+'Calculs 3D'!$C$9-OffsetX)/Ecran)*'Calculs 3D'!$C$31)+(((($C21*$L$4)+'Calculs 3D'!$D$9-OffsetY)/Ecran)*'Calculs 3D'!$D$31)+(((($D21*$L$4)+'Calculs 3D'!$E$9-OffsetZ)/Ecran)*'Calculs 3D'!$E$31)),0)</f>
        <v>-9.952649050803597E-2</v>
      </c>
      <c r="M21" s="105">
        <f>IF(Body4Actif=TRUE,((((($B21*$L$4)+'Calculs 3D'!$C$9-OffsetX)/Ecran)*'Calculs 3D'!$C$32)+(((($C21*$L$4)+'Calculs 3D'!$D$9-OffsetY)/Ecran)*'Calculs 3D'!$D$32)+(((($D21*$L$4)+'Calculs 3D'!$E$9-OffsetZ)/Ecran)*'Calculs 3D'!$E$32)),0)</f>
        <v>-0.17613743369380089</v>
      </c>
      <c r="N21" s="105">
        <f>IF(Body5Actif=TRUE,((((($B21*$N$4)+'Calculs 3D'!$C$10-OffsetX)/Ecran)*'Calculs 3D'!$C$31)+(((($C21*$N$4)+'Calculs 3D'!$D$10-OffsetY)/Ecran)*'Calculs 3D'!$D$31)+(((($D21*$N$4)+'Calculs 3D'!$E$10-OffsetZ)/Ecran)*'Calculs 3D'!$E$31)),0)</f>
        <v>-4.8527931108846151E-3</v>
      </c>
      <c r="O21" s="105">
        <f>IF(Body5Actif=TRUE,((((($B21*$N$4)+'Calculs 3D'!$C$10-OffsetX)/Ecran)*'Calculs 3D'!$C$32)+(((($C21*$N$4)+'Calculs 3D'!$D$10-OffsetY)/Ecran)*'Calculs 3D'!$D$32)+(((($D21*$N$4)+'Calculs 3D'!$E$10-OffsetZ)/Ecran)*'Calculs 3D'!$E$32)),0)</f>
        <v>-9.7935459004024721E-3</v>
      </c>
      <c r="P21" s="105">
        <f>IF(Body6Actif=TRUE,((((($B21*$P$4)+'Calculs 3D'!$C$11-OffsetX)/Ecran)*'Calculs 3D'!$C$31)+(((($C21*$P$4)+'Calculs 3D'!$D$11-OffsetY)/Ecran)*'Calculs 3D'!$D$31)+(((($D21*$P$4)+'Calculs 3D'!$E$11-OffsetZ)/Ecran)*'Calculs 3D'!$E$31)),0)</f>
        <v>0.16240410215527668</v>
      </c>
      <c r="Q21" s="105">
        <f>IF(Body6Actif=TRUE,((((($B21*$P$4)+'Calculs 3D'!$C$11-OffsetX)/Ecran)*'Calculs 3D'!$C$32)+(((($C21*$P$4)+'Calculs 3D'!$D$11-OffsetY)/Ecran)*'Calculs 3D'!$D$32)+(((($D21*$P$4)+'Calculs 3D'!$E$11-OffsetZ)/Ecran)*'Calculs 3D'!$E$32)),0)</f>
        <v>0.12607973075087475</v>
      </c>
      <c r="R21" s="105">
        <f>IF(Body7Actif=TRUE,((((($B21*$R$4)+'Calculs 3D'!$C$12-OffsetX)/Ecran)*'Calculs 3D'!$C$31)+(((($C21*$R$4)+'Calculs 3D'!$D$12-OffsetY)/Ecran)*'Calculs 3D'!$D$31)+(((($D21*$R$4)+'Calculs 3D'!$E$12-OffsetZ)/Ecran)*'Calculs 3D'!$E$31)),0)</f>
        <v>-0.2890462683585916</v>
      </c>
      <c r="S21" s="105">
        <f>IF(Body7Actif=TRUE,((((($B21*$R$4)+'Calculs 3D'!$C$12-OffsetX)/Ecran)*'Calculs 3D'!$C$32)+(((($C21*$R$4)+'Calculs 3D'!$D$12-OffsetY)/Ecran)*'Calculs 3D'!$D$32)+(((($D21*$R$4)+'Calculs 3D'!$E$12-OffsetZ)/Ecran)*'Calculs 3D'!$E$32)),0)</f>
        <v>5.5338721014675948E-2</v>
      </c>
      <c r="T21" s="105">
        <f>IF(Body8Actif=TRUE,((((($B21*$T$4)+'Calculs 3D'!$C$13-OffsetX)/Ecran)*'Calculs 3D'!$C$31)+(((($C21*$T$4)+'Calculs 3D'!$D$13-OffsetY)/Ecran)*'Calculs 3D'!$D$31)+(((($D21*$T$4)+'Calculs 3D'!$E$13-OffsetZ)/Ecran)*'Calculs 3D'!$E$31)),0)</f>
        <v>0.16517447926335715</v>
      </c>
      <c r="U21" s="105">
        <f>IF(Body8Actif=TRUE,((((($B21*$T$4)+'Calculs 3D'!$C$13-OffsetX)/Ecran)*'Calculs 3D'!$C$32)+(((($C21*$T$4)+'Calculs 3D'!$D$13-OffsetY)/Ecran)*'Calculs 3D'!$D$32)+(((($D21*$T$4)+'Calculs 3D'!$E$13-OffsetZ)/Ecran)*'Calculs 3D'!$E$32)),0)</f>
        <v>-0.13309755560274292</v>
      </c>
      <c r="V21" s="105">
        <f>IF(Body9Actif=TRUE,((((($B21*$V$4)+'Calculs 3D'!$C$14-OffsetX)/Ecran)*'Calculs 3D'!$C$31)+(((($C21*$V$4)+'Calculs 3D'!$D$14-OffsetY)/Ecran)*'Calculs 3D'!$D$31)+(((($D21*$V$4)+'Calculs 3D'!$E$14-OffsetZ)/Ecran)*'Calculs 3D'!$E$31)),0)</f>
        <v>-0.18181635752458913</v>
      </c>
      <c r="W21" s="105">
        <f>IF(Body9Actif=TRUE,((((($B21*$V$4)+'Calculs 3D'!$C$14-OffsetX)/Ecran)*'Calculs 3D'!$C$32)+(((($C21*$V$4)+'Calculs 3D'!$D$14-OffsetY)/Ecran)*'Calculs 3D'!$D$32)+(((($D21*$V$4)+'Calculs 3D'!$E$14-OffsetZ)/Ecran)*'Calculs 3D'!$E$32)),0)</f>
        <v>0.2851673655318715</v>
      </c>
      <c r="X21" s="105">
        <f>IF(Body10Actif=TRUE,((((($B21*$X$4)+'Calculs 3D'!$C$15-OffsetX)/Ecran)*'Calculs 3D'!$C$31)+(((($C21*$X$4)+'Calculs 3D'!$D$15-OffsetY)/Ecran)*'Calculs 3D'!$D$31)+(((($D21*$X$4)+'Calculs 3D'!$E$15-OffsetZ)/Ecran)*'Calculs 3D'!$E$31)),0)</f>
        <v>-2.1717948731268602E-2</v>
      </c>
      <c r="Y21" s="105">
        <f>IF(Body10Actif=TRUE,((((($B21*$X$4)+'Calculs 3D'!$C$15-OffsetX)/Ecran)*'Calculs 3D'!$C$32)+(((($C21*$X$4)+'Calculs 3D'!$D$15-OffsetY)/Ecran)*'Calculs 3D'!$D$32)+(((($D21*$X$4)+'Calculs 3D'!$E$15-OffsetZ)/Ecran)*'Calculs 3D'!$E$32)),0)</f>
        <v>0.28725209647846744</v>
      </c>
    </row>
    <row r="22" spans="2:25" x14ac:dyDescent="0.3">
      <c r="B22" s="102">
        <v>0.30901699437494723</v>
      </c>
      <c r="C22" s="102">
        <v>-0.95105651629515364</v>
      </c>
      <c r="D22" s="102">
        <v>0</v>
      </c>
      <c r="F22" s="105">
        <f>IF(Body1Actif=TRUE,((((($B22*$F$4)+'Calculs 3D'!$C$6-OffsetX)/Ecran)*'Calculs 3D'!$C$31)+(((($C22*$F$4)+'Calculs 3D'!$D$6-OffsetY)/Ecran)*'Calculs 3D'!$D$31)+(((($D22*$F$4)+'Calculs 3D'!$E$6-OffsetZ)/Ecran)*'Calculs 3D'!$E$31)),0)</f>
        <v>4.9412064695612878E-2</v>
      </c>
      <c r="G22" s="105">
        <f>IF(Body1Actif=TRUE,((((($B22*$F$4)+'Calculs 3D'!$C$6-OffsetX)/Ecran)*'Calculs 3D'!$C$32)+(((($C22*$F$4)+'Calculs 3D'!$D$6-OffsetY)/Ecran)*'Calculs 3D'!$D$32)+(((($D22*$F$4)+'Calculs 3D'!$E$6-OffsetZ)/Ecran)*'Calculs 3D'!$E$32)),0)</f>
        <v>0.26174471424980544</v>
      </c>
      <c r="H22" s="105">
        <f>IF(Body2Actif=TRUE,((((($B22*$H$4)+'Calculs 3D'!$C$7-OffsetX)/Ecran)*'Calculs 3D'!$C$31)+(((($C22*$H$4)+'Calculs 3D'!$D$7-OffsetY)/Ecran)*'Calculs 3D'!$D$31)+(((($D22*$H$4)+'Calculs 3D'!$E$7-OffsetZ)/Ecran)*'Calculs 3D'!$E$31)),0)</f>
        <v>2.0698931618469096E-2</v>
      </c>
      <c r="I22" s="105">
        <f>IF(Body2Actif=TRUE,((((($B22*$H$4)+'Calculs 3D'!$C$7-OffsetX)/Ecran)*'Calculs 3D'!$C$32)+(((($C22*$H$4)+'Calculs 3D'!$D$7-OffsetY)/Ecran)*'Calculs 3D'!$D$32)+(((($D22*$H$4)+'Calculs 3D'!$E$7-OffsetZ)/Ecran)*'Calculs 3D'!$E$32)),0)</f>
        <v>2.2062913178598653E-2</v>
      </c>
      <c r="J22" s="105">
        <f>IF(Body3Actif=TRUE,((((($B22*$J$4)+'Calculs 3D'!$C$8-OffsetX)/Ecran)*'Calculs 3D'!$C$31)+(((($C22*$J$4)+'Calculs 3D'!$D$8-OffsetY)/Ecran)*'Calculs 3D'!$D$31)+(((($D22*$J$4)+'Calculs 3D'!$E$8-OffsetZ)/Ecran)*'Calculs 3D'!$E$31)),0)</f>
        <v>0.21663824490516087</v>
      </c>
      <c r="K22" s="105">
        <f>IF(Body3Actif=TRUE,((((($B22*$J$4)+'Calculs 3D'!$C$8-OffsetX)/Ecran)*'Calculs 3D'!$C$32)+(((($C22*$J$4)+'Calculs 3D'!$D$8-OffsetY)/Ecran)*'Calculs 3D'!$D$32)+(((($D22*$J$4)+'Calculs 3D'!$E$8-OffsetZ)/Ecran)*'Calculs 3D'!$E$32)),0)</f>
        <v>-8.4536852680266616E-2</v>
      </c>
      <c r="L22" s="105">
        <f>IF(Body4Actif=TRUE,((((($B22*$L$4)+'Calculs 3D'!$C$9-OffsetX)/Ecran)*'Calculs 3D'!$C$31)+(((($C22*$L$4)+'Calculs 3D'!$D$9-OffsetY)/Ecran)*'Calculs 3D'!$D$31)+(((($D22*$L$4)+'Calculs 3D'!$E$9-OffsetZ)/Ecran)*'Calculs 3D'!$E$31)),0)</f>
        <v>-9.7154910025152863E-2</v>
      </c>
      <c r="M22" s="105">
        <f>IF(Body4Actif=TRUE,((((($B22*$L$4)+'Calculs 3D'!$C$9-OffsetX)/Ecran)*'Calculs 3D'!$C$32)+(((($C22*$L$4)+'Calculs 3D'!$D$9-OffsetY)/Ecran)*'Calculs 3D'!$D$32)+(((($D22*$L$4)+'Calculs 3D'!$E$9-OffsetZ)/Ecran)*'Calculs 3D'!$E$32)),0)</f>
        <v>-0.17688138708386467</v>
      </c>
      <c r="N22" s="105">
        <f>IF(Body5Actif=TRUE,((((($B22*$N$4)+'Calculs 3D'!$C$10-OffsetX)/Ecran)*'Calculs 3D'!$C$31)+(((($C22*$N$4)+'Calculs 3D'!$D$10-OffsetY)/Ecran)*'Calculs 3D'!$D$31)+(((($D22*$N$4)+'Calculs 3D'!$E$10-OffsetZ)/Ecran)*'Calculs 3D'!$E$31)),0)</f>
        <v>-2.1454162722040369E-3</v>
      </c>
      <c r="O22" s="105">
        <f>IF(Body5Actif=TRUE,((((($B22*$N$4)+'Calculs 3D'!$C$10-OffsetX)/Ecran)*'Calculs 3D'!$C$32)+(((($C22*$N$4)+'Calculs 3D'!$D$10-OffsetY)/Ecran)*'Calculs 3D'!$D$32)+(((($D22*$N$4)+'Calculs 3D'!$E$10-OffsetZ)/Ecran)*'Calculs 3D'!$E$32)),0)</f>
        <v>-1.0642836992083234E-2</v>
      </c>
      <c r="P22" s="105">
        <f>IF(Body6Actif=TRUE,((((($B22*$P$4)+'Calculs 3D'!$C$11-OffsetX)/Ecran)*'Calculs 3D'!$C$31)+(((($C22*$P$4)+'Calculs 3D'!$D$11-OffsetY)/Ecran)*'Calculs 3D'!$D$31)+(((($D22*$P$4)+'Calculs 3D'!$E$11-OffsetZ)/Ecran)*'Calculs 3D'!$E$31)),0)</f>
        <v>0.16632755339533123</v>
      </c>
      <c r="Q22" s="105">
        <f>IF(Body6Actif=TRUE,((((($B22*$P$4)+'Calculs 3D'!$C$11-OffsetX)/Ecran)*'Calculs 3D'!$C$32)+(((($C22*$P$4)+'Calculs 3D'!$D$11-OffsetY)/Ecran)*'Calculs 3D'!$D$32)+(((($D22*$P$4)+'Calculs 3D'!$E$11-OffsetZ)/Ecran)*'Calculs 3D'!$E$32)),0)</f>
        <v>0.12484896296885956</v>
      </c>
      <c r="R22" s="105">
        <f>IF(Body7Actif=TRUE,((((($B22*$R$4)+'Calculs 3D'!$C$12-OffsetX)/Ecran)*'Calculs 3D'!$C$31)+(((($C22*$R$4)+'Calculs 3D'!$D$12-OffsetY)/Ecran)*'Calculs 3D'!$D$31)+(((($D22*$R$4)+'Calculs 3D'!$E$12-OffsetZ)/Ecran)*'Calculs 3D'!$E$31)),0)</f>
        <v>-0.28510608946433491</v>
      </c>
      <c r="S22" s="105">
        <f>IF(Body7Actif=TRUE,((((($B22*$R$4)+'Calculs 3D'!$C$12-OffsetX)/Ecran)*'Calculs 3D'!$C$32)+(((($C22*$R$4)+'Calculs 3D'!$D$12-OffsetY)/Ecran)*'Calculs 3D'!$D$32)+(((($D22*$R$4)+'Calculs 3D'!$E$12-OffsetZ)/Ecran)*'Calculs 3D'!$E$32)),0)</f>
        <v>5.4102705847998381E-2</v>
      </c>
      <c r="T22" s="105">
        <f>IF(Body8Actif=TRUE,((((($B22*$T$4)+'Calculs 3D'!$C$13-OffsetX)/Ecran)*'Calculs 3D'!$C$31)+(((($C22*$T$4)+'Calculs 3D'!$D$13-OffsetY)/Ecran)*'Calculs 3D'!$D$31)+(((($D22*$T$4)+'Calculs 3D'!$E$13-OffsetZ)/Ecran)*'Calculs 3D'!$E$31)),0)</f>
        <v>0.16659554609423496</v>
      </c>
      <c r="U22" s="105">
        <f>IF(Body8Actif=TRUE,((((($B22*$T$4)+'Calculs 3D'!$C$13-OffsetX)/Ecran)*'Calculs 3D'!$C$32)+(((($C22*$T$4)+'Calculs 3D'!$D$13-OffsetY)/Ecran)*'Calculs 3D'!$D$32)+(((($D22*$T$4)+'Calculs 3D'!$E$13-OffsetZ)/Ecran)*'Calculs 3D'!$E$32)),0)</f>
        <v>-0.13354333743218921</v>
      </c>
      <c r="V22" s="105">
        <f>IF(Body9Actif=TRUE,((((($B22*$V$4)+'Calculs 3D'!$C$14-OffsetX)/Ecran)*'Calculs 3D'!$C$31)+(((($C22*$V$4)+'Calculs 3D'!$D$14-OffsetY)/Ecran)*'Calculs 3D'!$D$31)+(((($D22*$V$4)+'Calculs 3D'!$E$14-OffsetZ)/Ecran)*'Calculs 3D'!$E$31)),0)</f>
        <v>-0.17984460464353441</v>
      </c>
      <c r="W22" s="105">
        <f>IF(Body9Actif=TRUE,((((($B22*$V$4)+'Calculs 3D'!$C$14-OffsetX)/Ecran)*'Calculs 3D'!$C$32)+(((($C22*$V$4)+'Calculs 3D'!$D$14-OffsetY)/Ecran)*'Calculs 3D'!$D$32)+(((($D22*$V$4)+'Calculs 3D'!$E$14-OffsetZ)/Ecran)*'Calculs 3D'!$E$32)),0)</f>
        <v>0.28454883613731119</v>
      </c>
      <c r="X22" s="105">
        <f>IF(Body10Actif=TRUE,((((($B22*$X$4)+'Calculs 3D'!$C$15-OffsetX)/Ecran)*'Calculs 3D'!$C$31)+(((($C22*$X$4)+'Calculs 3D'!$D$15-OffsetY)/Ecran)*'Calculs 3D'!$D$31)+(((($D22*$X$4)+'Calculs 3D'!$E$15-OffsetZ)/Ecran)*'Calculs 3D'!$E$31)),0)</f>
        <v>-1.8741678268201098E-2</v>
      </c>
      <c r="Y22" s="105">
        <f>IF(Body10Actif=TRUE,((((($B22*$X$4)+'Calculs 3D'!$C$15-OffsetX)/Ecran)*'Calculs 3D'!$C$32)+(((($C22*$X$4)+'Calculs 3D'!$D$15-OffsetY)/Ecran)*'Calculs 3D'!$D$32)+(((($D22*$X$4)+'Calculs 3D'!$E$15-OffsetZ)/Ecran)*'Calculs 3D'!$E$32)),0)</f>
        <v>0.28631845475020784</v>
      </c>
    </row>
    <row r="23" spans="2:25" x14ac:dyDescent="0.3">
      <c r="B23" s="102">
        <v>0.58778525229247292</v>
      </c>
      <c r="C23" s="102">
        <v>-0.80901699437494756</v>
      </c>
      <c r="D23" s="102">
        <v>0</v>
      </c>
      <c r="F23" s="105">
        <f>IF(Body1Actif=TRUE,((((($B23*$F$4)+'Calculs 3D'!$C$6-OffsetX)/Ecran)*'Calculs 3D'!$C$31)+(((($C23*$F$4)+'Calculs 3D'!$D$6-OffsetY)/Ecran)*'Calculs 3D'!$D$31)+(((($D23*$F$4)+'Calculs 3D'!$E$6-OffsetZ)/Ecran)*'Calculs 3D'!$E$31)),0)</f>
        <v>5.0579175247860264E-2</v>
      </c>
      <c r="G23" s="105">
        <f>IF(Body1Actif=TRUE,((((($B23*$F$4)+'Calculs 3D'!$C$6-OffsetX)/Ecran)*'Calculs 3D'!$C$32)+(((($C23*$F$4)+'Calculs 3D'!$D$6-OffsetY)/Ecran)*'Calculs 3D'!$D$32)+(((($D23*$F$4)+'Calculs 3D'!$E$6-OffsetZ)/Ecran)*'Calculs 3D'!$E$32)),0)</f>
        <v>0.26163090790142529</v>
      </c>
      <c r="H23" s="105">
        <f>IF(Body2Actif=TRUE,((((($B23*$H$4)+'Calculs 3D'!$C$7-OffsetX)/Ecran)*'Calculs 3D'!$C$31)+(((($C23*$H$4)+'Calculs 3D'!$D$7-OffsetY)/Ecran)*'Calculs 3D'!$D$31)+(((($D23*$H$4)+'Calculs 3D'!$E$7-OffsetZ)/Ecran)*'Calculs 3D'!$E$31)),0)</f>
        <v>2.5248184344877585E-2</v>
      </c>
      <c r="I23" s="105">
        <f>IF(Body2Actif=TRUE,((((($B23*$H$4)+'Calculs 3D'!$C$7-OffsetX)/Ecran)*'Calculs 3D'!$C$32)+(((($C23*$H$4)+'Calculs 3D'!$D$7-OffsetY)/Ecran)*'Calculs 3D'!$D$32)+(((($D23*$H$4)+'Calculs 3D'!$E$7-OffsetZ)/Ecran)*'Calculs 3D'!$E$32)),0)</f>
        <v>2.1619310094337256E-2</v>
      </c>
      <c r="J23" s="105">
        <f>IF(Body3Actif=TRUE,((((($B23*$J$4)+'Calculs 3D'!$C$8-OffsetX)/Ecran)*'Calculs 3D'!$C$31)+(((($C23*$J$4)+'Calculs 3D'!$D$8-OffsetY)/Ecran)*'Calculs 3D'!$D$31)+(((($D23*$J$4)+'Calculs 3D'!$E$8-OffsetZ)/Ecran)*'Calculs 3D'!$E$31)),0)</f>
        <v>0.218660033872209</v>
      </c>
      <c r="K23" s="105">
        <f>IF(Body3Actif=TRUE,((((($B23*$J$4)+'Calculs 3D'!$C$8-OffsetX)/Ecran)*'Calculs 3D'!$C$32)+(((($C23*$J$4)+'Calculs 3D'!$D$8-OffsetY)/Ecran)*'Calculs 3D'!$D$32)+(((($D23*$J$4)+'Calculs 3D'!$E$8-OffsetZ)/Ecran)*'Calculs 3D'!$E$32)),0)</f>
        <v>-8.4733999744948663E-2</v>
      </c>
      <c r="L23" s="105">
        <f>IF(Body4Actif=TRUE,((((($B23*$L$4)+'Calculs 3D'!$C$9-OffsetX)/Ecran)*'Calculs 3D'!$C$31)+(((($C23*$L$4)+'Calculs 3D'!$D$9-OffsetY)/Ecran)*'Calculs 3D'!$D$31)+(((($D23*$L$4)+'Calculs 3D'!$E$9-OffsetZ)/Ecran)*'Calculs 3D'!$E$31)),0)</f>
        <v>-9.4525992808345352E-2</v>
      </c>
      <c r="M23" s="105">
        <f>IF(Body4Actif=TRUE,((((($B23*$L$4)+'Calculs 3D'!$C$9-OffsetX)/Ecran)*'Calculs 3D'!$C$32)+(((($C23*$L$4)+'Calculs 3D'!$D$9-OffsetY)/Ecran)*'Calculs 3D'!$D$32)+(((($D23*$L$4)+'Calculs 3D'!$E$9-OffsetZ)/Ecran)*'Calculs 3D'!$E$32)),0)</f>
        <v>-0.17713773595164109</v>
      </c>
      <c r="N23" s="105">
        <f>IF(Body5Actif=TRUE,((((($B23*$N$4)+'Calculs 3D'!$C$10-OffsetX)/Ecran)*'Calculs 3D'!$C$31)+(((($C23*$N$4)+'Calculs 3D'!$D$10-OffsetY)/Ecran)*'Calculs 3D'!$D$31)+(((($D23*$N$4)+'Calculs 3D'!$E$10-OffsetZ)/Ecran)*'Calculs 3D'!$E$31)),0)</f>
        <v>8.5573407245585092E-4</v>
      </c>
      <c r="O23" s="105">
        <f>IF(Body5Actif=TRUE,((((($B23*$N$4)+'Calculs 3D'!$C$10-OffsetX)/Ecran)*'Calculs 3D'!$C$32)+(((($C23*$N$4)+'Calculs 3D'!$D$10-OffsetY)/Ecran)*'Calculs 3D'!$D$32)+(((($D23*$N$4)+'Calculs 3D'!$E$10-OffsetZ)/Ecran)*'Calculs 3D'!$E$32)),0)</f>
        <v>-1.093548275816586E-2</v>
      </c>
      <c r="P23" s="105">
        <f>IF(Body6Actif=TRUE,((((($B23*$P$4)+'Calculs 3D'!$C$11-OffsetX)/Ecran)*'Calculs 3D'!$C$31)+(((($C23*$P$4)+'Calculs 3D'!$D$11-OffsetY)/Ecran)*'Calculs 3D'!$D$31)+(((($D23*$P$4)+'Calculs 3D'!$E$11-OffsetZ)/Ecran)*'Calculs 3D'!$E$31)),0)</f>
        <v>0.1706767325982842</v>
      </c>
      <c r="Q23" s="105">
        <f>IF(Body6Actif=TRUE,((((($B23*$P$4)+'Calculs 3D'!$C$11-OffsetX)/Ecran)*'Calculs 3D'!$C$32)+(((($C23*$P$4)+'Calculs 3D'!$D$11-OffsetY)/Ecran)*'Calculs 3D'!$D$32)+(((($D23*$P$4)+'Calculs 3D'!$E$11-OffsetZ)/Ecran)*'Calculs 3D'!$E$32)),0)</f>
        <v>0.12442486929359817</v>
      </c>
      <c r="R23" s="105">
        <f>IF(Body7Actif=TRUE,((((($B23*$R$4)+'Calculs 3D'!$C$12-OffsetX)/Ecran)*'Calculs 3D'!$C$31)+(((($C23*$R$4)+'Calculs 3D'!$D$12-OffsetY)/Ecran)*'Calculs 3D'!$D$31)+(((($D23*$R$4)+'Calculs 3D'!$E$12-OffsetZ)/Ecran)*'Calculs 3D'!$E$31)),0)</f>
        <v>-0.28073836751385717</v>
      </c>
      <c r="S23" s="105">
        <f>IF(Body7Actif=TRUE,((((($B23*$R$4)+'Calculs 3D'!$C$12-OffsetX)/Ecran)*'Calculs 3D'!$C$32)+(((($C23*$R$4)+'Calculs 3D'!$D$12-OffsetY)/Ecran)*'Calculs 3D'!$D$32)+(((($D23*$R$4)+'Calculs 3D'!$E$12-OffsetZ)/Ecran)*'Calculs 3D'!$E$32)),0)</f>
        <v>5.3676804047207927E-2</v>
      </c>
      <c r="T23" s="105">
        <f>IF(Body8Actif=TRUE,((((($B23*$T$4)+'Calculs 3D'!$C$13-OffsetX)/Ecran)*'Calculs 3D'!$C$31)+(((($C23*$T$4)+'Calculs 3D'!$D$13-OffsetY)/Ecran)*'Calculs 3D'!$D$31)+(((($D23*$T$4)+'Calculs 3D'!$E$13-OffsetZ)/Ecran)*'Calculs 3D'!$E$31)),0)</f>
        <v>0.16817081081111579</v>
      </c>
      <c r="U23" s="105">
        <f>IF(Body8Actif=TRUE,((((($B23*$T$4)+'Calculs 3D'!$C$13-OffsetX)/Ecran)*'Calculs 3D'!$C$32)+(((($C23*$T$4)+'Calculs 3D'!$D$13-OffsetY)/Ecran)*'Calculs 3D'!$D$32)+(((($D23*$T$4)+'Calculs 3D'!$E$13-OffsetZ)/Ecran)*'Calculs 3D'!$E$32)),0)</f>
        <v>-0.13369694338221258</v>
      </c>
      <c r="V23" s="105">
        <f>IF(Body9Actif=TRUE,((((($B23*$V$4)+'Calculs 3D'!$C$14-OffsetX)/Ecran)*'Calculs 3D'!$C$31)+(((($C23*$V$4)+'Calculs 3D'!$D$14-OffsetY)/Ecran)*'Calculs 3D'!$D$31)+(((($D23*$V$4)+'Calculs 3D'!$E$14-OffsetZ)/Ecran)*'Calculs 3D'!$E$31)),0)</f>
        <v>-0.1776588997375837</v>
      </c>
      <c r="W23" s="105">
        <f>IF(Body9Actif=TRUE,((((($B23*$V$4)+'Calculs 3D'!$C$14-OffsetX)/Ecran)*'Calculs 3D'!$C$32)+(((($C23*$V$4)+'Calculs 3D'!$D$14-OffsetY)/Ecran)*'Calculs 3D'!$D$32)+(((($D23*$V$4)+'Calculs 3D'!$E$14-OffsetZ)/Ecran)*'Calculs 3D'!$E$32)),0)</f>
        <v>0.28433570543302289</v>
      </c>
      <c r="X23" s="105">
        <f>IF(Body10Actif=TRUE,((((($B23*$X$4)+'Calculs 3D'!$C$15-OffsetX)/Ecran)*'Calculs 3D'!$C$31)+(((($C23*$X$4)+'Calculs 3D'!$D$15-OffsetY)/Ecran)*'Calculs 3D'!$D$31)+(((($D23*$X$4)+'Calculs 3D'!$E$15-OffsetZ)/Ecran)*'Calculs 3D'!$E$31)),0)</f>
        <v>-1.5442457044756913E-2</v>
      </c>
      <c r="Y23" s="105">
        <f>IF(Body10Actif=TRUE,((((($B23*$X$4)+'Calculs 3D'!$C$15-OffsetX)/Ecran)*'Calculs 3D'!$C$32)+(((($C23*$X$4)+'Calculs 3D'!$D$15-OffsetY)/Ecran)*'Calculs 3D'!$D$32)+(((($D23*$X$4)+'Calculs 3D'!$E$15-OffsetZ)/Ecran)*'Calculs 3D'!$E$32)),0)</f>
        <v>0.28599674373558681</v>
      </c>
    </row>
    <row r="24" spans="2:25" x14ac:dyDescent="0.3">
      <c r="B24" s="102">
        <v>0.80901699437494734</v>
      </c>
      <c r="C24" s="102">
        <v>-0.58778525229247336</v>
      </c>
      <c r="D24" s="102">
        <v>0</v>
      </c>
      <c r="F24" s="105">
        <f>IF(Body1Actif=TRUE,((((($B24*$F$4)+'Calculs 3D'!$C$6-OffsetX)/Ecran)*'Calculs 3D'!$C$31)+(((($C24*$F$4)+'Calculs 3D'!$D$6-OffsetY)/Ecran)*'Calculs 3D'!$D$31)+(((($D24*$F$4)+'Calculs 3D'!$E$6-OffsetZ)/Ecran)*'Calculs 3D'!$E$31)),0)</f>
        <v>5.1746285800107671E-2</v>
      </c>
      <c r="G24" s="105">
        <f>IF(Body1Actif=TRUE,((((($B24*$F$4)+'Calculs 3D'!$C$6-OffsetX)/Ecran)*'Calculs 3D'!$C$32)+(((($C24*$F$4)+'Calculs 3D'!$D$6-OffsetY)/Ecran)*'Calculs 3D'!$D$32)+(((($D24*$F$4)+'Calculs 3D'!$E$6-OffsetZ)/Ecran)*'Calculs 3D'!$E$32)),0)</f>
        <v>0.26174471424980544</v>
      </c>
      <c r="H24" s="105">
        <f>IF(Body2Actif=TRUE,((((($B24*$H$4)+'Calculs 3D'!$C$7-OffsetX)/Ecran)*'Calculs 3D'!$C$31)+(((($C24*$H$4)+'Calculs 3D'!$D$7-OffsetY)/Ecran)*'Calculs 3D'!$D$31)+(((($D24*$H$4)+'Calculs 3D'!$E$7-OffsetZ)/Ecran)*'Calculs 3D'!$E$31)),0)</f>
        <v>2.9797437071286081E-2</v>
      </c>
      <c r="I24" s="105">
        <f>IF(Body2Actif=TRUE,((((($B24*$H$4)+'Calculs 3D'!$C$7-OffsetX)/Ecran)*'Calculs 3D'!$C$32)+(((($C24*$H$4)+'Calculs 3D'!$D$7-OffsetY)/Ecran)*'Calculs 3D'!$D$32)+(((($D24*$H$4)+'Calculs 3D'!$E$7-OffsetZ)/Ecran)*'Calculs 3D'!$E$32)),0)</f>
        <v>2.2062913178598653E-2</v>
      </c>
      <c r="J24" s="105">
        <f>IF(Body3Actif=TRUE,((((($B24*$J$4)+'Calculs 3D'!$C$8-OffsetX)/Ecran)*'Calculs 3D'!$C$31)+(((($C24*$J$4)+'Calculs 3D'!$D$8-OffsetY)/Ecran)*'Calculs 3D'!$D$31)+(((($D24*$J$4)+'Calculs 3D'!$E$8-OffsetZ)/Ecran)*'Calculs 3D'!$E$31)),0)</f>
        <v>0.22068182283925711</v>
      </c>
      <c r="K24" s="105">
        <f>IF(Body3Actif=TRUE,((((($B24*$J$4)+'Calculs 3D'!$C$8-OffsetX)/Ecran)*'Calculs 3D'!$C$32)+(((($C24*$J$4)+'Calculs 3D'!$D$8-OffsetY)/Ecran)*'Calculs 3D'!$D$32)+(((($D24*$J$4)+'Calculs 3D'!$E$8-OffsetZ)/Ecran)*'Calculs 3D'!$E$32)),0)</f>
        <v>-8.4536852680266644E-2</v>
      </c>
      <c r="L24" s="105">
        <f>IF(Body4Actif=TRUE,((((($B24*$L$4)+'Calculs 3D'!$C$9-OffsetX)/Ecran)*'Calculs 3D'!$C$31)+(((($C24*$L$4)+'Calculs 3D'!$D$9-OffsetY)/Ecran)*'Calculs 3D'!$D$31)+(((($D24*$L$4)+'Calculs 3D'!$E$9-OffsetZ)/Ecran)*'Calculs 3D'!$E$31)),0)</f>
        <v>-9.1897075591537841E-2</v>
      </c>
      <c r="M24" s="105">
        <f>IF(Body4Actif=TRUE,((((($B24*$L$4)+'Calculs 3D'!$C$9-OffsetX)/Ecran)*'Calculs 3D'!$C$32)+(((($C24*$L$4)+'Calculs 3D'!$D$9-OffsetY)/Ecran)*'Calculs 3D'!$D$32)+(((($D24*$L$4)+'Calculs 3D'!$E$9-OffsetZ)/Ecran)*'Calculs 3D'!$E$32)),0)</f>
        <v>-0.17688138708386467</v>
      </c>
      <c r="N24" s="105">
        <f>IF(Body5Actif=TRUE,((((($B24*$N$4)+'Calculs 3D'!$C$10-OffsetX)/Ecran)*'Calculs 3D'!$C$31)+(((($C24*$N$4)+'Calculs 3D'!$D$10-OffsetY)/Ecran)*'Calculs 3D'!$D$31)+(((($D24*$N$4)+'Calculs 3D'!$E$10-OffsetZ)/Ecran)*'Calculs 3D'!$E$31)),0)</f>
        <v>3.85688441711574E-3</v>
      </c>
      <c r="O24" s="105">
        <f>IF(Body5Actif=TRUE,((((($B24*$N$4)+'Calculs 3D'!$C$10-OffsetX)/Ecran)*'Calculs 3D'!$C$32)+(((($C24*$N$4)+'Calculs 3D'!$D$10-OffsetY)/Ecran)*'Calculs 3D'!$D$32)+(((($D24*$N$4)+'Calculs 3D'!$E$10-OffsetZ)/Ecran)*'Calculs 3D'!$E$32)),0)</f>
        <v>-1.0642836992083234E-2</v>
      </c>
      <c r="P24" s="105">
        <f>IF(Body6Actif=TRUE,((((($B24*$P$4)+'Calculs 3D'!$C$11-OffsetX)/Ecran)*'Calculs 3D'!$C$31)+(((($C24*$P$4)+'Calculs 3D'!$D$11-OffsetY)/Ecran)*'Calculs 3D'!$D$31)+(((($D24*$P$4)+'Calculs 3D'!$E$11-OffsetZ)/Ecran)*'Calculs 3D'!$E$31)),0)</f>
        <v>0.17502591180123711</v>
      </c>
      <c r="Q24" s="105">
        <f>IF(Body6Actif=TRUE,((((($B24*$P$4)+'Calculs 3D'!$C$11-OffsetX)/Ecran)*'Calculs 3D'!$C$32)+(((($C24*$P$4)+'Calculs 3D'!$D$11-OffsetY)/Ecran)*'Calculs 3D'!$D$32)+(((($D24*$P$4)+'Calculs 3D'!$E$11-OffsetZ)/Ecran)*'Calculs 3D'!$E$32)),0)</f>
        <v>0.12484896296885956</v>
      </c>
      <c r="R24" s="105">
        <f>IF(Body7Actif=TRUE,((((($B24*$R$4)+'Calculs 3D'!$C$12-OffsetX)/Ecran)*'Calculs 3D'!$C$31)+(((($C24*$R$4)+'Calculs 3D'!$D$12-OffsetY)/Ecran)*'Calculs 3D'!$D$31)+(((($D24*$R$4)+'Calculs 3D'!$E$12-OffsetZ)/Ecran)*'Calculs 3D'!$E$31)),0)</f>
        <v>-0.27637064556337942</v>
      </c>
      <c r="S24" s="105">
        <f>IF(Body7Actif=TRUE,((((($B24*$R$4)+'Calculs 3D'!$C$12-OffsetX)/Ecran)*'Calculs 3D'!$C$32)+(((($C24*$R$4)+'Calculs 3D'!$D$12-OffsetY)/Ecran)*'Calculs 3D'!$D$32)+(((($D24*$R$4)+'Calculs 3D'!$E$12-OffsetZ)/Ecran)*'Calculs 3D'!$E$32)),0)</f>
        <v>5.4102705847998339E-2</v>
      </c>
      <c r="T24" s="105">
        <f>IF(Body8Actif=TRUE,((((($B24*$T$4)+'Calculs 3D'!$C$13-OffsetX)/Ecran)*'Calculs 3D'!$C$31)+(((($C24*$T$4)+'Calculs 3D'!$D$13-OffsetY)/Ecran)*'Calculs 3D'!$D$31)+(((($D24*$T$4)+'Calculs 3D'!$E$13-OffsetZ)/Ecran)*'Calculs 3D'!$E$31)),0)</f>
        <v>0.16974607552799659</v>
      </c>
      <c r="U24" s="105">
        <f>IF(Body8Actif=TRUE,((((($B24*$T$4)+'Calculs 3D'!$C$13-OffsetX)/Ecran)*'Calculs 3D'!$C$32)+(((($C24*$T$4)+'Calculs 3D'!$D$13-OffsetY)/Ecran)*'Calculs 3D'!$D$32)+(((($D24*$T$4)+'Calculs 3D'!$E$13-OffsetZ)/Ecran)*'Calculs 3D'!$E$32)),0)</f>
        <v>-0.13354333743218921</v>
      </c>
      <c r="V24" s="105">
        <f>IF(Body9Actif=TRUE,((((($B24*$V$4)+'Calculs 3D'!$C$14-OffsetX)/Ecran)*'Calculs 3D'!$C$31)+(((($C24*$V$4)+'Calculs 3D'!$D$14-OffsetY)/Ecran)*'Calculs 3D'!$D$31)+(((($D24*$V$4)+'Calculs 3D'!$E$14-OffsetZ)/Ecran)*'Calculs 3D'!$E$31)),0)</f>
        <v>-0.17547319483163296</v>
      </c>
      <c r="W24" s="105">
        <f>IF(Body9Actif=TRUE,((((($B24*$V$4)+'Calculs 3D'!$C$14-OffsetX)/Ecran)*'Calculs 3D'!$C$32)+(((($C24*$V$4)+'Calculs 3D'!$D$14-OffsetY)/Ecran)*'Calculs 3D'!$D$32)+(((($D24*$V$4)+'Calculs 3D'!$E$14-OffsetZ)/Ecran)*'Calculs 3D'!$E$32)),0)</f>
        <v>0.28454883613731119</v>
      </c>
      <c r="X24" s="105">
        <f>IF(Body10Actif=TRUE,((((($B24*$X$4)+'Calculs 3D'!$C$15-OffsetX)/Ecran)*'Calculs 3D'!$C$31)+(((($C24*$X$4)+'Calculs 3D'!$D$15-OffsetY)/Ecran)*'Calculs 3D'!$D$31)+(((($D24*$X$4)+'Calculs 3D'!$E$15-OffsetZ)/Ecran)*'Calculs 3D'!$E$31)),0)</f>
        <v>-1.2143235821312742E-2</v>
      </c>
      <c r="Y24" s="105">
        <f>IF(Body10Actif=TRUE,((((($B24*$X$4)+'Calculs 3D'!$C$15-OffsetX)/Ecran)*'Calculs 3D'!$C$32)+(((($C24*$X$4)+'Calculs 3D'!$D$15-OffsetY)/Ecran)*'Calculs 3D'!$D$32)+(((($D24*$X$4)+'Calculs 3D'!$E$15-OffsetZ)/Ecran)*'Calculs 3D'!$E$32)),0)</f>
        <v>0.28631845475020784</v>
      </c>
    </row>
    <row r="25" spans="2:25" x14ac:dyDescent="0.3">
      <c r="B25" s="102">
        <v>0.95105651629515353</v>
      </c>
      <c r="C25" s="102">
        <v>-0.30901699437494762</v>
      </c>
      <c r="D25" s="102">
        <v>0</v>
      </c>
      <c r="F25" s="105">
        <f>IF(Body1Actif=TRUE,((((($B25*$F$4)+'Calculs 3D'!$C$6-OffsetX)/Ecran)*'Calculs 3D'!$C$31)+(((($C25*$F$4)+'Calculs 3D'!$D$6-OffsetY)/Ecran)*'Calculs 3D'!$D$31)+(((($D25*$F$4)+'Calculs 3D'!$E$6-OffsetZ)/Ecran)*'Calculs 3D'!$E$31)),0)</f>
        <v>5.2799151439763721E-2</v>
      </c>
      <c r="G25" s="105">
        <f>IF(Body1Actif=TRUE,((((($B25*$F$4)+'Calculs 3D'!$C$6-OffsetX)/Ecran)*'Calculs 3D'!$C$32)+(((($C25*$F$4)+'Calculs 3D'!$D$6-OffsetY)/Ecran)*'Calculs 3D'!$D$32)+(((($D25*$F$4)+'Calculs 3D'!$E$6-OffsetZ)/Ecran)*'Calculs 3D'!$E$32)),0)</f>
        <v>0.26207499313663096</v>
      </c>
      <c r="H25" s="105">
        <f>IF(Body2Actif=TRUE,((((($B25*$H$4)+'Calculs 3D'!$C$7-OffsetX)/Ecran)*'Calculs 3D'!$C$31)+(((($C25*$H$4)+'Calculs 3D'!$D$7-OffsetY)/Ecran)*'Calculs 3D'!$D$31)+(((($D25*$H$4)+'Calculs 3D'!$E$7-OffsetZ)/Ecran)*'Calculs 3D'!$E$31)),0)</f>
        <v>3.390137724432616E-2</v>
      </c>
      <c r="I25" s="105">
        <f>IF(Body2Actif=TRUE,((((($B25*$H$4)+'Calculs 3D'!$C$7-OffsetX)/Ecran)*'Calculs 3D'!$C$32)+(((($C25*$H$4)+'Calculs 3D'!$D$7-OffsetY)/Ecran)*'Calculs 3D'!$D$32)+(((($D25*$H$4)+'Calculs 3D'!$E$7-OffsetZ)/Ecran)*'Calculs 3D'!$E$32)),0)</f>
        <v>2.3350299470730911E-2</v>
      </c>
      <c r="J25" s="105">
        <f>IF(Body3Actif=TRUE,((((($B25*$J$4)+'Calculs 3D'!$C$8-OffsetX)/Ecran)*'Calculs 3D'!$C$31)+(((($C25*$J$4)+'Calculs 3D'!$D$8-OffsetY)/Ecran)*'Calculs 3D'!$D$31)+(((($D25*$J$4)+'Calculs 3D'!$E$8-OffsetZ)/Ecran)*'Calculs 3D'!$E$31)),0)</f>
        <v>0.22250570501557854</v>
      </c>
      <c r="K25" s="105">
        <f>IF(Body3Actif=TRUE,((((($B25*$J$4)+'Calculs 3D'!$C$8-OffsetX)/Ecran)*'Calculs 3D'!$C$32)+(((($C25*$J$4)+'Calculs 3D'!$D$8-OffsetY)/Ecran)*'Calculs 3D'!$D$32)+(((($D25*$J$4)+'Calculs 3D'!$E$8-OffsetZ)/Ecran)*'Calculs 3D'!$E$32)),0)</f>
        <v>-8.3964709614515937E-2</v>
      </c>
      <c r="L25" s="105">
        <f>IF(Body4Actif=TRUE,((((($B25*$L$4)+'Calculs 3D'!$C$9-OffsetX)/Ecran)*'Calculs 3D'!$C$31)+(((($C25*$L$4)+'Calculs 3D'!$D$9-OffsetY)/Ecran)*'Calculs 3D'!$D$31)+(((($D25*$L$4)+'Calculs 3D'!$E$9-OffsetZ)/Ecran)*'Calculs 3D'!$E$31)),0)</f>
        <v>-8.9525495108654762E-2</v>
      </c>
      <c r="M25" s="105">
        <f>IF(Body4Actif=TRUE,((((($B25*$L$4)+'Calculs 3D'!$C$9-OffsetX)/Ecran)*'Calculs 3D'!$C$32)+(((($C25*$L$4)+'Calculs 3D'!$D$9-OffsetY)/Ecran)*'Calculs 3D'!$D$32)+(((($D25*$L$4)+'Calculs 3D'!$E$9-OffsetZ)/Ecran)*'Calculs 3D'!$E$32)),0)</f>
        <v>-0.17613743369380089</v>
      </c>
      <c r="N25" s="105">
        <f>IF(Body5Actif=TRUE,((((($B25*$N$4)+'Calculs 3D'!$C$10-OffsetX)/Ecran)*'Calculs 3D'!$C$31)+(((($C25*$N$4)+'Calculs 3D'!$D$10-OffsetY)/Ecran)*'Calculs 3D'!$D$31)+(((($D25*$N$4)+'Calculs 3D'!$E$10-OffsetZ)/Ecran)*'Calculs 3D'!$E$31)),0)</f>
        <v>6.5642612557963182E-3</v>
      </c>
      <c r="O25" s="105">
        <f>IF(Body5Actif=TRUE,((((($B25*$N$4)+'Calculs 3D'!$C$10-OffsetX)/Ecran)*'Calculs 3D'!$C$32)+(((($C25*$N$4)+'Calculs 3D'!$D$10-OffsetY)/Ecran)*'Calculs 3D'!$D$32)+(((($D25*$N$4)+'Calculs 3D'!$E$10-OffsetZ)/Ecran)*'Calculs 3D'!$E$32)),0)</f>
        <v>-9.7935459004024738E-3</v>
      </c>
      <c r="P25" s="105">
        <f>IF(Body6Actif=TRUE,((((($B25*$P$4)+'Calculs 3D'!$C$11-OffsetX)/Ecran)*'Calculs 3D'!$C$31)+(((($C25*$P$4)+'Calculs 3D'!$D$11-OffsetY)/Ecran)*'Calculs 3D'!$D$31)+(((($D25*$P$4)+'Calculs 3D'!$E$11-OffsetZ)/Ecran)*'Calculs 3D'!$E$31)),0)</f>
        <v>0.17894936304129166</v>
      </c>
      <c r="Q25" s="105">
        <f>IF(Body6Actif=TRUE,((((($B25*$P$4)+'Calculs 3D'!$C$11-OffsetX)/Ecran)*'Calculs 3D'!$C$32)+(((($C25*$P$4)+'Calculs 3D'!$D$11-OffsetY)/Ecran)*'Calculs 3D'!$D$32)+(((($D25*$P$4)+'Calculs 3D'!$E$11-OffsetZ)/Ecran)*'Calculs 3D'!$E$32)),0)</f>
        <v>0.12607973075087475</v>
      </c>
      <c r="R25" s="105">
        <f>IF(Body7Actif=TRUE,((((($B25*$R$4)+'Calculs 3D'!$C$12-OffsetX)/Ecran)*'Calculs 3D'!$C$31)+(((($C25*$R$4)+'Calculs 3D'!$D$12-OffsetY)/Ecran)*'Calculs 3D'!$D$31)+(((($D25*$R$4)+'Calculs 3D'!$E$12-OffsetZ)/Ecran)*'Calculs 3D'!$E$31)),0)</f>
        <v>-0.27243046666912274</v>
      </c>
      <c r="S25" s="105">
        <f>IF(Body7Actif=TRUE,((((($B25*$R$4)+'Calculs 3D'!$C$12-OffsetX)/Ecran)*'Calculs 3D'!$C$32)+(((($C25*$R$4)+'Calculs 3D'!$D$12-OffsetY)/Ecran)*'Calculs 3D'!$D$32)+(((($D25*$R$4)+'Calculs 3D'!$E$12-OffsetZ)/Ecran)*'Calculs 3D'!$E$32)),0)</f>
        <v>5.5338721014675948E-2</v>
      </c>
      <c r="T25" s="105">
        <f>IF(Body8Actif=TRUE,((((($B25*$T$4)+'Calculs 3D'!$C$13-OffsetX)/Ecran)*'Calculs 3D'!$C$31)+(((($C25*$T$4)+'Calculs 3D'!$D$13-OffsetY)/Ecran)*'Calculs 3D'!$D$31)+(((($D25*$T$4)+'Calculs 3D'!$E$13-OffsetZ)/Ecran)*'Calculs 3D'!$E$31)),0)</f>
        <v>0.1711671423588744</v>
      </c>
      <c r="U25" s="105">
        <f>IF(Body8Actif=TRUE,((((($B25*$T$4)+'Calculs 3D'!$C$13-OffsetX)/Ecran)*'Calculs 3D'!$C$32)+(((($C25*$T$4)+'Calculs 3D'!$D$13-OffsetY)/Ecran)*'Calculs 3D'!$D$32)+(((($D25*$T$4)+'Calculs 3D'!$E$13-OffsetZ)/Ecran)*'Calculs 3D'!$E$32)),0)</f>
        <v>-0.13309755560274289</v>
      </c>
      <c r="V25" s="105">
        <f>IF(Body9Actif=TRUE,((((($B25*$V$4)+'Calculs 3D'!$C$14-OffsetX)/Ecran)*'Calculs 3D'!$C$31)+(((($C25*$V$4)+'Calculs 3D'!$D$14-OffsetY)/Ecran)*'Calculs 3D'!$D$31)+(((($D25*$V$4)+'Calculs 3D'!$E$14-OffsetZ)/Ecran)*'Calculs 3D'!$E$31)),0)</f>
        <v>-0.17350144195057821</v>
      </c>
      <c r="W25" s="105">
        <f>IF(Body9Actif=TRUE,((((($B25*$V$4)+'Calculs 3D'!$C$14-OffsetX)/Ecran)*'Calculs 3D'!$C$32)+(((($C25*$V$4)+'Calculs 3D'!$D$14-OffsetY)/Ecran)*'Calculs 3D'!$D$32)+(((($D25*$V$4)+'Calculs 3D'!$E$14-OffsetZ)/Ecran)*'Calculs 3D'!$E$32)),0)</f>
        <v>0.2851673655318715</v>
      </c>
      <c r="X25" s="105">
        <f>IF(Body10Actif=TRUE,((((($B25*$X$4)+'Calculs 3D'!$C$15-OffsetX)/Ecran)*'Calculs 3D'!$C$31)+(((($C25*$X$4)+'Calculs 3D'!$D$15-OffsetY)/Ecran)*'Calculs 3D'!$D$31)+(((($D25*$X$4)+'Calculs 3D'!$E$15-OffsetZ)/Ecran)*'Calculs 3D'!$E$31)),0)</f>
        <v>-9.1669653582452382E-3</v>
      </c>
      <c r="Y25" s="105">
        <f>IF(Body10Actif=TRUE,((((($B25*$X$4)+'Calculs 3D'!$C$15-OffsetX)/Ecran)*'Calculs 3D'!$C$32)+(((($C25*$X$4)+'Calculs 3D'!$D$15-OffsetY)/Ecran)*'Calculs 3D'!$D$32)+(((($D25*$X$4)+'Calculs 3D'!$E$15-OffsetZ)/Ecran)*'Calculs 3D'!$E$32)),0)</f>
        <v>0.28725209647846744</v>
      </c>
    </row>
    <row r="26" spans="2:25" x14ac:dyDescent="0.3">
      <c r="B26" s="103">
        <v>1</v>
      </c>
      <c r="C26" s="103">
        <v>-2.45029690981724E-16</v>
      </c>
      <c r="D26" s="103">
        <v>0</v>
      </c>
      <c r="F26" s="105">
        <f>IF(Body1Actif=TRUE,((((($B26*$F$4)+'Calculs 3D'!$C$6-OffsetX)/Ecran)*'Calculs 3D'!$C$31)+(((($C26*$F$4)+'Calculs 3D'!$D$6-OffsetY)/Ecran)*'Calculs 3D'!$D$31)+(((($D26*$F$4)+'Calculs 3D'!$E$6-OffsetZ)/Ecran)*'Calculs 3D'!$E$31)),0)</f>
        <v>5.3634710342272629E-2</v>
      </c>
      <c r="G26" s="105">
        <f>IF(Body1Actif=TRUE,((((($B26*$F$4)+'Calculs 3D'!$C$6-OffsetX)/Ecran)*'Calculs 3D'!$C$32)+(((($C26*$F$4)+'Calculs 3D'!$D$6-OffsetY)/Ecran)*'Calculs 3D'!$D$32)+(((($D26*$F$4)+'Calculs 3D'!$E$6-OffsetZ)/Ecran)*'Calculs 3D'!$E$32)),0)</f>
        <v>0.26258941456327106</v>
      </c>
      <c r="H26" s="105">
        <f>IF(Body2Actif=TRUE,((((($B26*$H$4)+'Calculs 3D'!$C$7-OffsetX)/Ecran)*'Calculs 3D'!$C$31)+(((($C26*$H$4)+'Calculs 3D'!$D$7-OffsetY)/Ecran)*'Calculs 3D'!$D$31)+(((($D26*$H$4)+'Calculs 3D'!$E$7-OffsetZ)/Ecran)*'Calculs 3D'!$E$31)),0)</f>
        <v>3.7158282606028131E-2</v>
      </c>
      <c r="I26" s="105">
        <f>IF(Body2Actif=TRUE,((((($B26*$H$4)+'Calculs 3D'!$C$7-OffsetX)/Ecran)*'Calculs 3D'!$C$32)+(((($C26*$H$4)+'Calculs 3D'!$D$7-OffsetY)/Ecran)*'Calculs 3D'!$D$32)+(((($D26*$H$4)+'Calculs 3D'!$E$7-OffsetZ)/Ecran)*'Calculs 3D'!$E$32)),0)</f>
        <v>2.5355450630712397E-2</v>
      </c>
      <c r="J26" s="105">
        <f>IF(Body3Actif=TRUE,((((($B26*$J$4)+'Calculs 3D'!$C$8-OffsetX)/Ecran)*'Calculs 3D'!$C$31)+(((($C26*$J$4)+'Calculs 3D'!$D$8-OffsetY)/Ecran)*'Calculs 3D'!$D$31)+(((($D26*$J$4)+'Calculs 3D'!$E$8-OffsetZ)/Ecran)*'Calculs 3D'!$E$31)),0)</f>
        <v>0.22395314610602049</v>
      </c>
      <c r="K26" s="105">
        <f>IF(Body3Actif=TRUE,((((($B26*$J$4)+'Calculs 3D'!$C$8-OffsetX)/Ecran)*'Calculs 3D'!$C$32)+(((($C26*$J$4)+'Calculs 3D'!$D$8-OffsetY)/Ecran)*'Calculs 3D'!$D$32)+(((($D26*$J$4)+'Calculs 3D'!$E$8-OffsetZ)/Ecran)*'Calculs 3D'!$E$32)),0)</f>
        <v>-8.3073575897327445E-2</v>
      </c>
      <c r="L26" s="105">
        <f>IF(Body4Actif=TRUE,((((($B26*$L$4)+'Calculs 3D'!$C$9-OffsetX)/Ecran)*'Calculs 3D'!$C$31)+(((($C26*$L$4)+'Calculs 3D'!$D$9-OffsetY)/Ecran)*'Calculs 3D'!$D$31)+(((($D26*$L$4)+'Calculs 3D'!$E$9-OffsetZ)/Ecran)*'Calculs 3D'!$E$31)),0)</f>
        <v>-8.7643398181133508E-2</v>
      </c>
      <c r="M26" s="105">
        <f>IF(Body4Actif=TRUE,((((($B26*$L$4)+'Calculs 3D'!$C$9-OffsetX)/Ecran)*'Calculs 3D'!$C$32)+(((($C26*$L$4)+'Calculs 3D'!$D$9-OffsetY)/Ecran)*'Calculs 3D'!$D$32)+(((($D26*$L$4)+'Calculs 3D'!$E$9-OffsetZ)/Ecran)*'Calculs 3D'!$E$32)),0)</f>
        <v>-0.17497869912269728</v>
      </c>
      <c r="N26" s="105">
        <f>IF(Body5Actif=TRUE,((((($B26*$N$4)+'Calculs 3D'!$C$10-OffsetX)/Ecran)*'Calculs 3D'!$C$31)+(((($C26*$N$4)+'Calculs 3D'!$D$10-OffsetY)/Ecran)*'Calculs 3D'!$D$31)+(((($D26*$N$4)+'Calculs 3D'!$E$10-OffsetZ)/Ecran)*'Calculs 3D'!$E$31)),0)</f>
        <v>8.7128476801239026E-3</v>
      </c>
      <c r="O26" s="105">
        <f>IF(Body5Actif=TRUE,((((($B26*$N$4)+'Calculs 3D'!$C$10-OffsetX)/Ecran)*'Calculs 3D'!$C$32)+(((($C26*$N$4)+'Calculs 3D'!$D$10-OffsetY)/Ecran)*'Calculs 3D'!$D$32)+(((($D26*$N$4)+'Calculs 3D'!$E$10-OffsetZ)/Ecran)*'Calculs 3D'!$E$32)),0)</f>
        <v>-8.4707440125362712E-3</v>
      </c>
      <c r="P26" s="105">
        <f>IF(Body6Actif=TRUE,((((($B26*$P$4)+'Calculs 3D'!$C$11-OffsetX)/Ecran)*'Calculs 3D'!$C$31)+(((($C26*$P$4)+'Calculs 3D'!$D$11-OffsetY)/Ecran)*'Calculs 3D'!$D$31)+(((($D26*$P$4)+'Calculs 3D'!$E$11-OffsetZ)/Ecran)*'Calculs 3D'!$E$31)),0)</f>
        <v>0.18206303157477915</v>
      </c>
      <c r="Q26" s="105">
        <f>IF(Body6Actif=TRUE,((((($B26*$P$4)+'Calculs 3D'!$C$11-OffsetX)/Ecran)*'Calculs 3D'!$C$32)+(((($C26*$P$4)+'Calculs 3D'!$D$11-OffsetY)/Ecran)*'Calculs 3D'!$D$32)+(((($D26*$P$4)+'Calculs 3D'!$E$11-OffsetZ)/Ecran)*'Calculs 3D'!$E$32)),0)</f>
        <v>0.12799669651387671</v>
      </c>
      <c r="R26" s="105">
        <f>IF(Body7Actif=TRUE,((((($B26*$R$4)+'Calculs 3D'!$C$12-OffsetX)/Ecran)*'Calculs 3D'!$C$31)+(((($C26*$R$4)+'Calculs 3D'!$D$12-OffsetY)/Ecran)*'Calculs 3D'!$D$31)+(((($D26*$R$4)+'Calculs 3D'!$E$12-OffsetZ)/Ecran)*'Calculs 3D'!$E$31)),0)</f>
        <v>-0.26930352299409743</v>
      </c>
      <c r="S26" s="105">
        <f>IF(Body7Actif=TRUE,((((($B26*$R$4)+'Calculs 3D'!$C$12-OffsetX)/Ecran)*'Calculs 3D'!$C$32)+(((($C26*$R$4)+'Calculs 3D'!$D$12-OffsetY)/Ecran)*'Calculs 3D'!$D$32)+(((($D26*$R$4)+'Calculs 3D'!$E$12-OffsetZ)/Ecran)*'Calculs 3D'!$E$32)),0)</f>
        <v>5.7263859770902203E-2</v>
      </c>
      <c r="T26" s="105">
        <f>IF(Body8Actif=TRUE,((((($B26*$T$4)+'Calculs 3D'!$C$13-OffsetX)/Ecran)*'Calculs 3D'!$C$31)+(((($C26*$T$4)+'Calculs 3D'!$D$13-OffsetY)/Ecran)*'Calculs 3D'!$D$31)+(((($D26*$T$4)+'Calculs 3D'!$E$13-OffsetZ)/Ecran)*'Calculs 3D'!$E$31)),0)</f>
        <v>0.17229490738118819</v>
      </c>
      <c r="U26" s="105">
        <f>IF(Body8Actif=TRUE,((((($B26*$T$4)+'Calculs 3D'!$C$13-OffsetX)/Ecran)*'Calculs 3D'!$C$32)+(((($C26*$T$4)+'Calculs 3D'!$D$13-OffsetY)/Ecran)*'Calculs 3D'!$D$32)+(((($D26*$T$4)+'Calculs 3D'!$E$13-OffsetZ)/Ecran)*'Calculs 3D'!$E$32)),0)</f>
        <v>-0.13240323412528454</v>
      </c>
      <c r="V26" s="105">
        <f>IF(Body9Actif=TRUE,((((($B26*$V$4)+'Calculs 3D'!$C$14-OffsetX)/Ecran)*'Calculs 3D'!$C$31)+(((($C26*$V$4)+'Calculs 3D'!$D$14-OffsetY)/Ecran)*'Calculs 3D'!$D$31)+(((($D26*$V$4)+'Calculs 3D'!$E$14-OffsetZ)/Ecran)*'Calculs 3D'!$E$31)),0)</f>
        <v>-0.17193665000442729</v>
      </c>
      <c r="W26" s="105">
        <f>IF(Body9Actif=TRUE,((((($B26*$V$4)+'Calculs 3D'!$C$14-OffsetX)/Ecran)*'Calculs 3D'!$C$32)+(((($C26*$V$4)+'Calculs 3D'!$D$14-OffsetY)/Ecran)*'Calculs 3D'!$D$32)+(((($D26*$V$4)+'Calculs 3D'!$E$14-OffsetZ)/Ecran)*'Calculs 3D'!$E$32)),0)</f>
        <v>0.28613074765001645</v>
      </c>
      <c r="X26" s="105">
        <f>IF(Body10Actif=TRUE,((((($B26*$X$4)+'Calculs 3D'!$C$15-OffsetX)/Ecran)*'Calculs 3D'!$C$31)+(((($C26*$X$4)+'Calculs 3D'!$D$15-OffsetY)/Ecran)*'Calculs 3D'!$D$31)+(((($D26*$X$4)+'Calculs 3D'!$E$15-OffsetZ)/Ecran)*'Calculs 3D'!$E$31)),0)</f>
        <v>-6.8049837453750817E-3</v>
      </c>
      <c r="Y26" s="105">
        <f>IF(Body10Actif=TRUE,((((($B26*$X$4)+'Calculs 3D'!$C$15-OffsetX)/Ecran)*'Calculs 3D'!$C$32)+(((($C26*$X$4)+'Calculs 3D'!$D$15-OffsetY)/Ecran)*'Calculs 3D'!$D$32)+(((($D26*$X$4)+'Calculs 3D'!$E$15-OffsetZ)/Ecran)*'Calculs 3D'!$E$32)),0)</f>
        <v>0.28870627756293921</v>
      </c>
    </row>
    <row r="27" spans="2:25" x14ac:dyDescent="0.3">
      <c r="B27" s="26"/>
      <c r="C27" s="26"/>
      <c r="D27" s="26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2:25" x14ac:dyDescent="0.3">
      <c r="B28" s="101">
        <v>0.97</v>
      </c>
      <c r="C28" s="101">
        <v>0</v>
      </c>
      <c r="D28" s="101">
        <v>0.25</v>
      </c>
      <c r="F28" s="105">
        <f>IF(Body1Actif=TRUE,((((($B28*$F$4)+'Calculs 3D'!$C$6-OffsetX)/Ecran)*'Calculs 3D'!$C$31)+(((($C28*$F$4)+'Calculs 3D'!$D$6-OffsetY)/Ecran)*'Calculs 3D'!$D$31)+(((($D28*$F$4)+'Calculs 3D'!$E$6-OffsetZ)/Ecran)*'Calculs 3D'!$E$31)),0)</f>
        <v>5.3543044289440254E-2</v>
      </c>
      <c r="G28" s="105">
        <f>IF(Body1Actif=TRUE,((((($B28*$F$4)+'Calculs 3D'!$C$6-OffsetX)/Ecran)*'Calculs 3D'!$C$32)+(((($C28*$F$4)+'Calculs 3D'!$D$6-OffsetY)/Ecran)*'Calculs 3D'!$D$32)+(((($D28*$F$4)+'Calculs 3D'!$E$6-OffsetZ)/Ecran)*'Calculs 3D'!$E$32)),0)</f>
        <v>0.26337446660109637</v>
      </c>
      <c r="H28" s="105">
        <f>IF(Body2Actif=TRUE,((((($B28*$H$4)+'Calculs 3D'!$C$7-OffsetX)/Ecran)*'Calculs 3D'!$C$31)+(((($C28*$H$4)+'Calculs 3D'!$D$7-OffsetY)/Ecran)*'Calculs 3D'!$D$31)+(((($D28*$H$4)+'Calculs 3D'!$E$7-OffsetZ)/Ecran)*'Calculs 3D'!$E$31)),0)</f>
        <v>3.6800979658193615E-2</v>
      </c>
      <c r="I28" s="105">
        <f>IF(Body2Actif=TRUE,((((($B28*$H$4)+'Calculs 3D'!$C$7-OffsetX)/Ecran)*'Calculs 3D'!$C$32)+(((($C28*$H$4)+'Calculs 3D'!$D$7-OffsetY)/Ecran)*'Calculs 3D'!$D$32)+(((($D28*$H$4)+'Calculs 3D'!$E$7-OffsetZ)/Ecran)*'Calculs 3D'!$E$32)),0)</f>
        <v>2.8415486474422342E-2</v>
      </c>
      <c r="J28" s="105">
        <f>IF(Body3Actif=TRUE,((((($B28*$J$4)+'Calculs 3D'!$C$8-OffsetX)/Ecran)*'Calculs 3D'!$C$31)+(((($C28*$J$4)+'Calculs 3D'!$D$8-OffsetY)/Ecran)*'Calculs 3D'!$D$31)+(((($D28*$J$4)+'Calculs 3D'!$E$8-OffsetZ)/Ecran)*'Calculs 3D'!$E$31)),0)</f>
        <v>0.22379435273900616</v>
      </c>
      <c r="K28" s="105">
        <f>IF(Body3Actif=TRUE,((((($B28*$J$4)+'Calculs 3D'!$C$8-OffsetX)/Ecran)*'Calculs 3D'!$C$32)+(((($C28*$J$4)+'Calculs 3D'!$D$8-OffsetY)/Ecran)*'Calculs 3D'!$D$32)+(((($D28*$J$4)+'Calculs 3D'!$E$8-OffsetZ)/Ecran)*'Calculs 3D'!$E$32)),0)</f>
        <v>-8.1713627993868387E-2</v>
      </c>
      <c r="L28" s="105">
        <f>IF(Body4Actif=TRUE,((((($B28*$L$4)+'Calculs 3D'!$C$9-OffsetX)/Ecran)*'Calculs 3D'!$C$31)+(((($C28*$L$4)+'Calculs 3D'!$D$9-OffsetY)/Ecran)*'Calculs 3D'!$D$31)+(((($D28*$L$4)+'Calculs 3D'!$E$9-OffsetZ)/Ecran)*'Calculs 3D'!$E$31)),0)</f>
        <v>-8.7849876019949868E-2</v>
      </c>
      <c r="M28" s="105">
        <f>IF(Body4Actif=TRUE,((((($B28*$L$4)+'Calculs 3D'!$C$9-OffsetX)/Ecran)*'Calculs 3D'!$C$32)+(((($C28*$L$4)+'Calculs 3D'!$D$9-OffsetY)/Ecran)*'Calculs 3D'!$D$32)+(((($D28*$L$4)+'Calculs 3D'!$E$9-OffsetZ)/Ecran)*'Calculs 3D'!$E$32)),0)</f>
        <v>-0.17321036893807634</v>
      </c>
      <c r="N28" s="105">
        <f>IF(Body5Actif=TRUE,((((($B28*$N$4)+'Calculs 3D'!$C$10-OffsetX)/Ecran)*'Calculs 3D'!$C$31)+(((($C28*$N$4)+'Calculs 3D'!$D$10-OffsetY)/Ecran)*'Calculs 3D'!$D$31)+(((($D28*$N$4)+'Calculs 3D'!$E$10-OffsetZ)/Ecran)*'Calculs 3D'!$E$31)),0)</f>
        <v>8.4771342718938623E-3</v>
      </c>
      <c r="O28" s="105">
        <f>IF(Body5Actif=TRUE,((((($B28*$N$4)+'Calculs 3D'!$C$10-OffsetX)/Ecran)*'Calculs 3D'!$C$32)+(((($C28*$N$4)+'Calculs 3D'!$D$10-OffsetY)/Ecran)*'Calculs 3D'!$D$32)+(((($D28*$N$4)+'Calculs 3D'!$E$10-OffsetZ)/Ecran)*'Calculs 3D'!$E$32)),0)</f>
        <v>-6.4520327693224997E-3</v>
      </c>
      <c r="P28" s="105">
        <f>IF(Body6Actif=TRUE,((((($B28*$P$4)+'Calculs 3D'!$C$11-OffsetX)/Ecran)*'Calculs 3D'!$C$31)+(((($C28*$P$4)+'Calculs 3D'!$D$11-OffsetY)/Ecran)*'Calculs 3D'!$D$31)+(((($D28*$P$4)+'Calculs 3D'!$E$11-OffsetZ)/Ecran)*'Calculs 3D'!$E$31)),0)</f>
        <v>0.18172144260548431</v>
      </c>
      <c r="Q28" s="105">
        <f>IF(Body6Actif=TRUE,((((($B28*$P$4)+'Calculs 3D'!$C$11-OffsetX)/Ecran)*'Calculs 3D'!$C$32)+(((($C28*$P$4)+'Calculs 3D'!$D$11-OffsetY)/Ecran)*'Calculs 3D'!$D$32)+(((($D28*$P$4)+'Calculs 3D'!$E$11-OffsetZ)/Ecran)*'Calculs 3D'!$E$32)),0)</f>
        <v>0.1309221537377625</v>
      </c>
      <c r="R28" s="105">
        <f>IF(Body7Actif=TRUE,((((($B28*$R$4)+'Calculs 3D'!$C$12-OffsetX)/Ecran)*'Calculs 3D'!$C$31)+(((($C28*$R$4)+'Calculs 3D'!$D$12-OffsetY)/Ecran)*'Calculs 3D'!$D$31)+(((($D28*$R$4)+'Calculs 3D'!$E$12-OffsetZ)/Ecran)*'Calculs 3D'!$E$31)),0)</f>
        <v>-0.26964656832969025</v>
      </c>
      <c r="S28" s="105">
        <f>IF(Body7Actif=TRUE,((((($B28*$R$4)+'Calculs 3D'!$C$12-OffsetX)/Ecran)*'Calculs 3D'!$C$32)+(((($C28*$R$4)+'Calculs 3D'!$D$12-OffsetY)/Ecran)*'Calculs 3D'!$D$32)+(((($D28*$R$4)+'Calculs 3D'!$E$12-OffsetZ)/Ecran)*'Calculs 3D'!$E$32)),0)</f>
        <v>6.0201789696455524E-2</v>
      </c>
      <c r="T28" s="105">
        <f>IF(Body8Actif=TRUE,((((($B28*$T$4)+'Calculs 3D'!$C$13-OffsetX)/Ecran)*'Calculs 3D'!$C$31)+(((($C28*$T$4)+'Calculs 3D'!$D$13-OffsetY)/Ecran)*'Calculs 3D'!$D$31)+(((($D28*$T$4)+'Calculs 3D'!$E$13-OffsetZ)/Ecran)*'Calculs 3D'!$E$31)),0)</f>
        <v>0.17217118448408603</v>
      </c>
      <c r="U28" s="105">
        <f>IF(Body8Actif=TRUE,((((($B28*$T$4)+'Calculs 3D'!$C$13-OffsetX)/Ecran)*'Calculs 3D'!$C$32)+(((($C28*$T$4)+'Calculs 3D'!$D$13-OffsetY)/Ecran)*'Calculs 3D'!$D$32)+(((($D28*$T$4)+'Calculs 3D'!$E$13-OffsetZ)/Ecran)*'Calculs 3D'!$E$32)),0)</f>
        <v>-0.13134363889352163</v>
      </c>
      <c r="V28" s="105">
        <f>IF(Body9Actif=TRUE,((((($B28*$V$4)+'Calculs 3D'!$C$14-OffsetX)/Ecran)*'Calculs 3D'!$C$31)+(((($C28*$V$4)+'Calculs 3D'!$D$14-OffsetY)/Ecran)*'Calculs 3D'!$D$31)+(((($D28*$V$4)+'Calculs 3D'!$E$14-OffsetZ)/Ecran)*'Calculs 3D'!$E$31)),0)</f>
        <v>-0.17210831749642197</v>
      </c>
      <c r="W28" s="105">
        <f>IF(Body9Actif=TRUE,((((($B28*$V$4)+'Calculs 3D'!$C$14-OffsetX)/Ecran)*'Calculs 3D'!$C$32)+(((($C28*$V$4)+'Calculs 3D'!$D$14-OffsetY)/Ecran)*'Calculs 3D'!$D$32)+(((($D28*$V$4)+'Calculs 3D'!$E$14-OffsetZ)/Ecran)*'Calculs 3D'!$E$32)),0)</f>
        <v>0.28760095292508414</v>
      </c>
      <c r="X28" s="105">
        <f>IF(Body10Actif=TRUE,((((($B28*$X$4)+'Calculs 3D'!$C$15-OffsetX)/Ecran)*'Calculs 3D'!$C$31)+(((($C28*$X$4)+'Calculs 3D'!$D$15-OffsetY)/Ecran)*'Calculs 3D'!$D$31)+(((($D28*$X$4)+'Calculs 3D'!$E$15-OffsetZ)/Ecran)*'Calculs 3D'!$E$31)),0)</f>
        <v>-7.0641079443565513E-3</v>
      </c>
      <c r="Y28" s="105">
        <f>IF(Body10Actif=TRUE,((((($B28*$X$4)+'Calculs 3D'!$C$15-OffsetX)/Ecran)*'Calculs 3D'!$C$32)+(((($C28*$X$4)+'Calculs 3D'!$D$15-OffsetY)/Ecran)*'Calculs 3D'!$D$32)+(((($D28*$X$4)+'Calculs 3D'!$E$15-OffsetZ)/Ecran)*'Calculs 3D'!$E$32)),0)</f>
        <v>0.29092548493769371</v>
      </c>
    </row>
    <row r="29" spans="2:25" x14ac:dyDescent="0.3">
      <c r="B29" s="102">
        <v>0.92252482080629894</v>
      </c>
      <c r="C29" s="102">
        <v>0.29974648454369895</v>
      </c>
      <c r="D29" s="102">
        <v>0.25</v>
      </c>
      <c r="F29" s="105">
        <f>IF(Body1Actif=TRUE,((((($B29*$F$4)+'Calculs 3D'!$C$6-OffsetX)/Ecran)*'Calculs 3D'!$C$31)+(((($C29*$F$4)+'Calculs 3D'!$D$6-OffsetY)/Ecran)*'Calculs 3D'!$D$31)+(((($D29*$F$4)+'Calculs 3D'!$E$6-OffsetZ)/Ecran)*'Calculs 3D'!$E$31)),0)</f>
        <v>5.4063412272594147E-2</v>
      </c>
      <c r="G29" s="105">
        <f>IF(Body1Actif=TRUE,((((($B29*$F$4)+'Calculs 3D'!$C$6-OffsetX)/Ecran)*'Calculs 3D'!$C$32)+(((($C29*$F$4)+'Calculs 3D'!$D$6-OffsetY)/Ecran)*'Calculs 3D'!$D$32)+(((($D29*$F$4)+'Calculs 3D'!$E$6-OffsetZ)/Ecran)*'Calculs 3D'!$E$32)),0)</f>
        <v>0.26400322914973579</v>
      </c>
      <c r="H29" s="105">
        <f>IF(Body2Actif=TRUE,((((($B29*$H$4)+'Calculs 3D'!$C$7-OffsetX)/Ecran)*'Calculs 3D'!$C$31)+(((($C29*$H$4)+'Calculs 3D'!$D$7-OffsetY)/Ecran)*'Calculs 3D'!$D$31)+(((($D29*$H$4)+'Calculs 3D'!$E$7-OffsetZ)/Ecran)*'Calculs 3D'!$E$31)),0)</f>
        <v>3.8829309760719119E-2</v>
      </c>
      <c r="I29" s="105">
        <f>IF(Body2Actif=TRUE,((((($B29*$H$4)+'Calculs 3D'!$C$7-OffsetX)/Ecran)*'Calculs 3D'!$C$32)+(((($C29*$H$4)+'Calculs 3D'!$D$7-OffsetY)/Ecran)*'Calculs 3D'!$D$32)+(((($D29*$H$4)+'Calculs 3D'!$E$7-OffsetZ)/Ecran)*'Calculs 3D'!$E$32)),0)</f>
        <v>3.0866325200156974E-2</v>
      </c>
      <c r="J29" s="105">
        <f>IF(Body3Actif=TRUE,((((($B29*$J$4)+'Calculs 3D'!$C$8-OffsetX)/Ecran)*'Calculs 3D'!$C$31)+(((($C29*$J$4)+'Calculs 3D'!$D$8-OffsetY)/Ecran)*'Calculs 3D'!$D$31)+(((($D29*$J$4)+'Calculs 3D'!$E$8-OffsetZ)/Ecran)*'Calculs 3D'!$E$31)),0)</f>
        <v>0.22469578769314974</v>
      </c>
      <c r="K29" s="105">
        <f>IF(Body3Actif=TRUE,((((($B29*$J$4)+'Calculs 3D'!$C$8-OffsetX)/Ecran)*'Calculs 3D'!$C$32)+(((($C29*$J$4)+'Calculs 3D'!$D$8-OffsetY)/Ecran)*'Calculs 3D'!$D$32)+(((($D29*$J$4)+'Calculs 3D'!$E$8-OffsetZ)/Ecran)*'Calculs 3D'!$E$32)),0)</f>
        <v>-8.0624420822119E-2</v>
      </c>
      <c r="L29" s="105">
        <f>IF(Body4Actif=TRUE,((((($B29*$L$4)+'Calculs 3D'!$C$9-OffsetX)/Ecran)*'Calculs 3D'!$C$31)+(((($C29*$L$4)+'Calculs 3D'!$D$9-OffsetY)/Ecran)*'Calculs 3D'!$D$31)+(((($D29*$L$4)+'Calculs 3D'!$E$9-OffsetZ)/Ecran)*'Calculs 3D'!$E$31)),0)</f>
        <v>-8.6677746826743257E-2</v>
      </c>
      <c r="M29" s="105">
        <f>IF(Body4Actif=TRUE,((((($B29*$L$4)+'Calculs 3D'!$C$9-OffsetX)/Ecran)*'Calculs 3D'!$C$32)+(((($C29*$L$4)+'Calculs 3D'!$D$9-OffsetY)/Ecran)*'Calculs 3D'!$D$32)+(((($D29*$L$4)+'Calculs 3D'!$E$9-OffsetZ)/Ecran)*'Calculs 3D'!$E$32)),0)</f>
        <v>-0.17179408092129936</v>
      </c>
      <c r="N29" s="105">
        <f>IF(Body5Actif=TRUE,((((($B29*$N$4)+'Calculs 3D'!$C$10-OffsetX)/Ecran)*'Calculs 3D'!$C$31)+(((($C29*$N$4)+'Calculs 3D'!$D$10-OffsetY)/Ecran)*'Calculs 3D'!$D$31)+(((($D29*$N$4)+'Calculs 3D'!$E$10-OffsetZ)/Ecran)*'Calculs 3D'!$E$31)),0)</f>
        <v>9.8152273505530026E-3</v>
      </c>
      <c r="O29" s="105">
        <f>IF(Body5Actif=TRUE,((((($B29*$N$4)+'Calculs 3D'!$C$10-OffsetX)/Ecran)*'Calculs 3D'!$C$32)+(((($C29*$N$4)+'Calculs 3D'!$D$10-OffsetY)/Ecran)*'Calculs 3D'!$D$32)+(((($D29*$N$4)+'Calculs 3D'!$E$10-OffsetZ)/Ecran)*'Calculs 3D'!$E$32)),0)</f>
        <v>-4.8352099791208365E-3</v>
      </c>
      <c r="P29" s="105">
        <f>IF(Body6Actif=TRUE,((((($B29*$P$4)+'Calculs 3D'!$C$11-OffsetX)/Ecran)*'Calculs 3D'!$C$31)+(((($C29*$P$4)+'Calculs 3D'!$D$11-OffsetY)/Ecran)*'Calculs 3D'!$D$31)+(((($D29*$P$4)+'Calculs 3D'!$E$11-OffsetZ)/Ecran)*'Calculs 3D'!$E$31)),0)</f>
        <v>0.18366056791444285</v>
      </c>
      <c r="Q29" s="105">
        <f>IF(Body6Actif=TRUE,((((($B29*$P$4)+'Calculs 3D'!$C$11-OffsetX)/Ecran)*'Calculs 3D'!$C$32)+(((($C29*$P$4)+'Calculs 3D'!$D$11-OffsetY)/Ecran)*'Calculs 3D'!$D$32)+(((($D29*$P$4)+'Calculs 3D'!$E$11-OffsetZ)/Ecran)*'Calculs 3D'!$E$32)),0)</f>
        <v>0.13326520598321817</v>
      </c>
      <c r="R29" s="105">
        <f>IF(Body7Actif=TRUE,((((($B29*$R$4)+'Calculs 3D'!$C$12-OffsetX)/Ecran)*'Calculs 3D'!$C$31)+(((($C29*$R$4)+'Calculs 3D'!$D$12-OffsetY)/Ecran)*'Calculs 3D'!$D$31)+(((($D29*$R$4)+'Calculs 3D'!$E$12-OffsetZ)/Ecran)*'Calculs 3D'!$E$31)),0)</f>
        <v>-0.2676991755501712</v>
      </c>
      <c r="S29" s="105">
        <f>IF(Body7Actif=TRUE,((((($B29*$R$4)+'Calculs 3D'!$C$12-OffsetX)/Ecran)*'Calculs 3D'!$C$32)+(((($C29*$R$4)+'Calculs 3D'!$D$12-OffsetY)/Ecran)*'Calculs 3D'!$D$32)+(((($D29*$R$4)+'Calculs 3D'!$E$12-OffsetZ)/Ecran)*'Calculs 3D'!$E$32)),0)</f>
        <v>6.2554831557008098E-2</v>
      </c>
      <c r="T29" s="105">
        <f>IF(Body8Actif=TRUE,((((($B29*$T$4)+'Calculs 3D'!$C$13-OffsetX)/Ecran)*'Calculs 3D'!$C$31)+(((($C29*$T$4)+'Calculs 3D'!$D$13-OffsetY)/Ecran)*'Calculs 3D'!$D$31)+(((($D29*$T$4)+'Calculs 3D'!$E$13-OffsetZ)/Ecran)*'Calculs 3D'!$E$31)),0)</f>
        <v>0.17287353210837769</v>
      </c>
      <c r="U29" s="105">
        <f>IF(Body8Actif=TRUE,((((($B29*$T$4)+'Calculs 3D'!$C$13-OffsetX)/Ecran)*'Calculs 3D'!$C$32)+(((($C29*$T$4)+'Calculs 3D'!$D$13-OffsetY)/Ecran)*'Calculs 3D'!$D$32)+(((($D29*$T$4)+'Calculs 3D'!$E$13-OffsetZ)/Ecran)*'Calculs 3D'!$E$32)),0)</f>
        <v>-0.13049498967493606</v>
      </c>
      <c r="V29" s="105">
        <f>IF(Body9Actif=TRUE,((((($B29*$V$4)+'Calculs 3D'!$C$14-OffsetX)/Ecran)*'Calculs 3D'!$C$31)+(((($C29*$V$4)+'Calculs 3D'!$D$14-OffsetY)/Ecran)*'Calculs 3D'!$D$31)+(((($D29*$V$4)+'Calculs 3D'!$E$14-OffsetZ)/Ecran)*'Calculs 3D'!$E$31)),0)</f>
        <v>-0.17113379897160097</v>
      </c>
      <c r="W29" s="105">
        <f>IF(Body9Actif=TRUE,((((($B29*$V$4)+'Calculs 3D'!$C$14-OffsetX)/Ecran)*'Calculs 3D'!$C$32)+(((($C29*$V$4)+'Calculs 3D'!$D$14-OffsetY)/Ecran)*'Calculs 3D'!$D$32)+(((($D29*$V$4)+'Calculs 3D'!$E$14-OffsetZ)/Ecran)*'Calculs 3D'!$E$32)),0)</f>
        <v>0.2887784672441801</v>
      </c>
      <c r="X29" s="105">
        <f>IF(Body10Actif=TRUE,((((($B29*$X$4)+'Calculs 3D'!$C$15-OffsetX)/Ecran)*'Calculs 3D'!$C$31)+(((($C29*$X$4)+'Calculs 3D'!$D$15-OffsetY)/Ecran)*'Calculs 3D'!$D$31)+(((($D29*$X$4)+'Calculs 3D'!$E$15-OffsetZ)/Ecran)*'Calculs 3D'!$E$31)),0)</f>
        <v>-5.5931169652104207E-3</v>
      </c>
      <c r="Y29" s="105">
        <f>IF(Body10Actif=TRUE,((((($B29*$X$4)+'Calculs 3D'!$C$15-OffsetX)/Ecran)*'Calculs 3D'!$C$32)+(((($C29*$X$4)+'Calculs 3D'!$D$15-OffsetY)/Ecran)*'Calculs 3D'!$D$32)+(((($D29*$X$4)+'Calculs 3D'!$E$15-OffsetZ)/Ecran)*'Calculs 3D'!$E$32)),0)</f>
        <v>0.29270288875002626</v>
      </c>
    </row>
    <row r="30" spans="2:25" x14ac:dyDescent="0.3">
      <c r="B30" s="102">
        <v>0.784746484543699</v>
      </c>
      <c r="C30" s="102">
        <v>0.57015169472369898</v>
      </c>
      <c r="D30" s="102">
        <v>0.25</v>
      </c>
      <c r="F30" s="105">
        <f>IF(Body1Actif=TRUE,((((($B30*$F$4)+'Calculs 3D'!$C$6-OffsetX)/Ecran)*'Calculs 3D'!$C$31)+(((($C30*$F$4)+'Calculs 3D'!$D$6-OffsetY)/Ecran)*'Calculs 3D'!$D$31)+(((($D30*$F$4)+'Calculs 3D'!$E$6-OffsetZ)/Ecran)*'Calculs 3D'!$E$31)),0)</f>
        <v>5.4242718859660276E-2</v>
      </c>
      <c r="G30" s="105">
        <f>IF(Body1Actif=TRUE,((((($B30*$F$4)+'Calculs 3D'!$C$6-OffsetX)/Ecran)*'Calculs 3D'!$C$32)+(((($C30*$F$4)+'Calculs 3D'!$D$6-OffsetY)/Ecran)*'Calculs 3D'!$D$32)+(((($D30*$F$4)+'Calculs 3D'!$E$6-OffsetZ)/Ecran)*'Calculs 3D'!$E$32)),0)</f>
        <v>0.26470021780406661</v>
      </c>
      <c r="H30" s="105">
        <f>IF(Body2Actif=TRUE,((((($B30*$H$4)+'Calculs 3D'!$C$7-OffsetX)/Ecran)*'Calculs 3D'!$C$31)+(((($C30*$H$4)+'Calculs 3D'!$D$7-OffsetY)/Ecran)*'Calculs 3D'!$D$31)+(((($D30*$H$4)+'Calculs 3D'!$E$7-OffsetZ)/Ecran)*'Calculs 3D'!$E$31)),0)</f>
        <v>3.9528224682277194E-2</v>
      </c>
      <c r="I30" s="105">
        <f>IF(Body2Actif=TRUE,((((($B30*$H$4)+'Calculs 3D'!$C$7-OffsetX)/Ecran)*'Calculs 3D'!$C$32)+(((($C30*$H$4)+'Calculs 3D'!$D$7-OffsetY)/Ecran)*'Calculs 3D'!$D$32)+(((($D30*$H$4)+'Calculs 3D'!$E$7-OffsetZ)/Ecran)*'Calculs 3D'!$E$32)),0)</f>
        <v>3.3583100855971798E-2</v>
      </c>
      <c r="J30" s="105">
        <f>IF(Body3Actif=TRUE,((((($B30*$J$4)+'Calculs 3D'!$C$8-OffsetX)/Ecran)*'Calculs 3D'!$C$31)+(((($C30*$J$4)+'Calculs 3D'!$D$8-OffsetY)/Ecran)*'Calculs 3D'!$D$31)+(((($D30*$J$4)+'Calculs 3D'!$E$8-OffsetZ)/Ecran)*'Calculs 3D'!$E$31)),0)</f>
        <v>0.22500640100972996</v>
      </c>
      <c r="K30" s="105">
        <f>IF(Body3Actif=TRUE,((((($B30*$J$4)+'Calculs 3D'!$C$8-OffsetX)/Ecran)*'Calculs 3D'!$C$32)+(((($C30*$J$4)+'Calculs 3D'!$D$8-OffsetY)/Ecran)*'Calculs 3D'!$D$32)+(((($D30*$J$4)+'Calculs 3D'!$E$8-OffsetZ)/Ecran)*'Calculs 3D'!$E$32)),0)</f>
        <v>-7.9417025371216504E-2</v>
      </c>
      <c r="L30" s="105">
        <f>IF(Body4Actif=TRUE,((((($B30*$L$4)+'Calculs 3D'!$C$9-OffsetX)/Ecran)*'Calculs 3D'!$C$31)+(((($C30*$L$4)+'Calculs 3D'!$D$9-OffsetY)/Ecran)*'Calculs 3D'!$D$31)+(((($D30*$L$4)+'Calculs 3D'!$E$9-OffsetZ)/Ecran)*'Calculs 3D'!$E$31)),0)</f>
        <v>-8.6273858632160957E-2</v>
      </c>
      <c r="M30" s="105">
        <f>IF(Body4Actif=TRUE,((((($B30*$L$4)+'Calculs 3D'!$C$9-OffsetX)/Ecran)*'Calculs 3D'!$C$32)+(((($C30*$L$4)+'Calculs 3D'!$D$9-OffsetY)/Ecran)*'Calculs 3D'!$D$32)+(((($D30*$L$4)+'Calculs 3D'!$E$9-OffsetZ)/Ecran)*'Calculs 3D'!$E$32)),0)</f>
        <v>-0.17022411356065689</v>
      </c>
      <c r="N30" s="105">
        <f>IF(Body5Actif=TRUE,((((($B30*$N$4)+'Calculs 3D'!$C$10-OffsetX)/Ecran)*'Calculs 3D'!$C$31)+(((($C30*$N$4)+'Calculs 3D'!$D$10-OffsetY)/Ecran)*'Calculs 3D'!$D$31)+(((($D30*$N$4)+'Calculs 3D'!$E$10-OffsetZ)/Ecran)*'Calculs 3D'!$E$31)),0)</f>
        <v>1.0276302802691687E-2</v>
      </c>
      <c r="O30" s="105">
        <f>IF(Body5Actif=TRUE,((((($B30*$N$4)+'Calculs 3D'!$C$10-OffsetX)/Ecran)*'Calculs 3D'!$C$32)+(((($C30*$N$4)+'Calculs 3D'!$D$10-OffsetY)/Ecran)*'Calculs 3D'!$D$32)+(((($D30*$N$4)+'Calculs 3D'!$E$10-OffsetZ)/Ecran)*'Calculs 3D'!$E$32)),0)</f>
        <v>-3.0429481097194438E-3</v>
      </c>
      <c r="P30" s="105">
        <f>IF(Body6Actif=TRUE,((((($B30*$P$4)+'Calculs 3D'!$C$11-OffsetX)/Ecran)*'Calculs 3D'!$C$31)+(((($C30*$P$4)+'Calculs 3D'!$D$11-OffsetY)/Ecran)*'Calculs 3D'!$D$31)+(((($D30*$P$4)+'Calculs 3D'!$E$11-OffsetZ)/Ecran)*'Calculs 3D'!$E$31)),0)</f>
        <v>0.18432874495895571</v>
      </c>
      <c r="Q30" s="105">
        <f>IF(Body6Actif=TRUE,((((($B30*$P$4)+'Calculs 3D'!$C$11-OffsetX)/Ecran)*'Calculs 3D'!$C$32)+(((($C30*$P$4)+'Calculs 3D'!$D$11-OffsetY)/Ecran)*'Calculs 3D'!$D$32)+(((($D30*$P$4)+'Calculs 3D'!$E$11-OffsetZ)/Ecran)*'Calculs 3D'!$E$32)),0)</f>
        <v>0.13586249940522749</v>
      </c>
      <c r="R30" s="105">
        <f>IF(Body7Actif=TRUE,((((($B30*$R$4)+'Calculs 3D'!$C$12-OffsetX)/Ecran)*'Calculs 3D'!$C$31)+(((($C30*$R$4)+'Calculs 3D'!$D$12-OffsetY)/Ecran)*'Calculs 3D'!$D$31)+(((($D30*$R$4)+'Calculs 3D'!$E$12-OffsetZ)/Ecran)*'Calculs 3D'!$E$31)),0)</f>
        <v>-0.26702814972945016</v>
      </c>
      <c r="S30" s="105">
        <f>IF(Body7Actif=TRUE,((((($B30*$R$4)+'Calculs 3D'!$C$12-OffsetX)/Ecran)*'Calculs 3D'!$C$32)+(((($C30*$R$4)+'Calculs 3D'!$D$12-OffsetY)/Ecran)*'Calculs 3D'!$D$32)+(((($D30*$R$4)+'Calculs 3D'!$E$12-OffsetZ)/Ecran)*'Calculs 3D'!$E$32)),0)</f>
        <v>6.516319855265619E-2</v>
      </c>
      <c r="T30" s="105">
        <f>IF(Body8Actif=TRUE,((((($B30*$T$4)+'Calculs 3D'!$C$13-OffsetX)/Ecran)*'Calculs 3D'!$C$31)+(((($C30*$T$4)+'Calculs 3D'!$D$13-OffsetY)/Ecran)*'Calculs 3D'!$D$31)+(((($D30*$T$4)+'Calculs 3D'!$E$13-OffsetZ)/Ecran)*'Calculs 3D'!$E$31)),0)</f>
        <v>0.17311554460630749</v>
      </c>
      <c r="U30" s="105">
        <f>IF(Body8Actif=TRUE,((((($B30*$T$4)+'Calculs 3D'!$C$13-OffsetX)/Ecran)*'Calculs 3D'!$C$32)+(((($C30*$T$4)+'Calculs 3D'!$D$13-OffsetY)/Ecran)*'Calculs 3D'!$D$32)+(((($D30*$T$4)+'Calculs 3D'!$E$13-OffsetZ)/Ecran)*'Calculs 3D'!$E$32)),0)</f>
        <v>-0.12955425476930149</v>
      </c>
      <c r="V30" s="105">
        <f>IF(Body9Actif=TRUE,((((($B30*$V$4)+'Calculs 3D'!$C$14-OffsetX)/Ecran)*'Calculs 3D'!$C$31)+(((($C30*$V$4)+'Calculs 3D'!$D$14-OffsetY)/Ecran)*'Calculs 3D'!$D$31)+(((($D30*$V$4)+'Calculs 3D'!$E$14-OffsetZ)/Ecran)*'Calculs 3D'!$E$31)),0)</f>
        <v>-0.17079800277280469</v>
      </c>
      <c r="W30" s="105">
        <f>IF(Body9Actif=TRUE,((((($B30*$V$4)+'Calculs 3D'!$C$14-OffsetX)/Ecran)*'Calculs 3D'!$C$32)+(((($C30*$V$4)+'Calculs 3D'!$D$14-OffsetY)/Ecran)*'Calculs 3D'!$D$32)+(((($D30*$V$4)+'Calculs 3D'!$E$14-OffsetZ)/Ecran)*'Calculs 3D'!$E$32)),0)</f>
        <v>0.29008375192199354</v>
      </c>
      <c r="X30" s="105">
        <f>IF(Body10Actif=TRUE,((((($B30*$X$4)+'Calculs 3D'!$C$15-OffsetX)/Ecran)*'Calculs 3D'!$C$31)+(((($C30*$X$4)+'Calculs 3D'!$D$15-OffsetY)/Ecran)*'Calculs 3D'!$D$31)+(((($D30*$X$4)+'Calculs 3D'!$E$15-OffsetZ)/Ecran)*'Calculs 3D'!$E$31)),0)</f>
        <v>-5.0862480174378166E-3</v>
      </c>
      <c r="Y30" s="105">
        <f>IF(Body10Actif=TRUE,((((($B30*$X$4)+'Calculs 3D'!$C$15-OffsetX)/Ecran)*'Calculs 3D'!$C$32)+(((($C30*$X$4)+'Calculs 3D'!$D$15-OffsetY)/Ecran)*'Calculs 3D'!$D$32)+(((($D30*$X$4)+'Calculs 3D'!$E$15-OffsetZ)/Ecran)*'Calculs 3D'!$E$32)),0)</f>
        <v>0.29467315605370203</v>
      </c>
    </row>
    <row r="31" spans="2:25" x14ac:dyDescent="0.3">
      <c r="B31" s="102">
        <v>0.57015169472369898</v>
      </c>
      <c r="C31" s="102">
        <v>0.784746484543699</v>
      </c>
      <c r="D31" s="102">
        <v>0.25</v>
      </c>
      <c r="F31" s="105">
        <f>IF(Body1Actif=TRUE,((((($B31*$F$4)+'Calculs 3D'!$C$6-OffsetX)/Ecran)*'Calculs 3D'!$C$31)+(((($C31*$F$4)+'Calculs 3D'!$D$6-OffsetY)/Ecran)*'Calculs 3D'!$D$31)+(((($D31*$F$4)+'Calculs 3D'!$E$6-OffsetZ)/Ecran)*'Calculs 3D'!$E$31)),0)</f>
        <v>5.4063412272594147E-2</v>
      </c>
      <c r="G31" s="105">
        <f>IF(Body1Actif=TRUE,((((($B31*$F$4)+'Calculs 3D'!$C$6-OffsetX)/Ecran)*'Calculs 3D'!$C$32)+(((($C31*$F$4)+'Calculs 3D'!$D$6-OffsetY)/Ecran)*'Calculs 3D'!$D$32)+(((($D31*$F$4)+'Calculs 3D'!$E$6-OffsetZ)/Ecran)*'Calculs 3D'!$E$32)),0)</f>
        <v>0.26539720645839743</v>
      </c>
      <c r="H31" s="105">
        <f>IF(Body2Actif=TRUE,((((($B31*$H$4)+'Calculs 3D'!$C$7-OffsetX)/Ecran)*'Calculs 3D'!$C$31)+(((($C31*$H$4)+'Calculs 3D'!$D$7-OffsetY)/Ecran)*'Calculs 3D'!$D$31)+(((($D31*$H$4)+'Calculs 3D'!$E$7-OffsetZ)/Ecran)*'Calculs 3D'!$E$31)),0)</f>
        <v>3.8829309760719126E-2</v>
      </c>
      <c r="I31" s="105">
        <f>IF(Body2Actif=TRUE,((((($B31*$H$4)+'Calculs 3D'!$C$7-OffsetX)/Ecran)*'Calculs 3D'!$C$32)+(((($C31*$H$4)+'Calculs 3D'!$D$7-OffsetY)/Ecran)*'Calculs 3D'!$D$32)+(((($D31*$H$4)+'Calculs 3D'!$E$7-OffsetZ)/Ecran)*'Calculs 3D'!$E$32)),0)</f>
        <v>3.6299876511786622E-2</v>
      </c>
      <c r="J31" s="105">
        <f>IF(Body3Actif=TRUE,((((($B31*$J$4)+'Calculs 3D'!$C$8-OffsetX)/Ecran)*'Calculs 3D'!$C$31)+(((($C31*$J$4)+'Calculs 3D'!$D$8-OffsetY)/Ecran)*'Calculs 3D'!$D$31)+(((($D31*$J$4)+'Calculs 3D'!$E$8-OffsetZ)/Ecran)*'Calculs 3D'!$E$31)),0)</f>
        <v>0.22469578769314974</v>
      </c>
      <c r="K31" s="105">
        <f>IF(Body3Actif=TRUE,((((($B31*$J$4)+'Calculs 3D'!$C$8-OffsetX)/Ecran)*'Calculs 3D'!$C$32)+(((($C31*$J$4)+'Calculs 3D'!$D$8-OffsetY)/Ecran)*'Calculs 3D'!$D$32)+(((($D31*$J$4)+'Calculs 3D'!$E$8-OffsetZ)/Ecran)*'Calculs 3D'!$E$32)),0)</f>
        <v>-7.8209629920313994E-2</v>
      </c>
      <c r="L31" s="105">
        <f>IF(Body4Actif=TRUE,((((($B31*$L$4)+'Calculs 3D'!$C$9-OffsetX)/Ecran)*'Calculs 3D'!$C$31)+(((($C31*$L$4)+'Calculs 3D'!$D$9-OffsetY)/Ecran)*'Calculs 3D'!$D$31)+(((($D31*$L$4)+'Calculs 3D'!$E$9-OffsetZ)/Ecran)*'Calculs 3D'!$E$31)),0)</f>
        <v>-8.6677746826743243E-2</v>
      </c>
      <c r="M31" s="105">
        <f>IF(Body4Actif=TRUE,((((($B31*$L$4)+'Calculs 3D'!$C$9-OffsetX)/Ecran)*'Calculs 3D'!$C$32)+(((($C31*$L$4)+'Calculs 3D'!$D$9-OffsetY)/Ecran)*'Calculs 3D'!$D$32)+(((($D31*$L$4)+'Calculs 3D'!$E$9-OffsetZ)/Ecran)*'Calculs 3D'!$E$32)),0)</f>
        <v>-0.16865414620001443</v>
      </c>
      <c r="N31" s="105">
        <f>IF(Body5Actif=TRUE,((((($B31*$N$4)+'Calculs 3D'!$C$10-OffsetX)/Ecran)*'Calculs 3D'!$C$31)+(((($C31*$N$4)+'Calculs 3D'!$D$10-OffsetY)/Ecran)*'Calculs 3D'!$D$31)+(((($D31*$N$4)+'Calculs 3D'!$E$10-OffsetZ)/Ecran)*'Calculs 3D'!$E$31)),0)</f>
        <v>9.8152273505530026E-3</v>
      </c>
      <c r="O31" s="105">
        <f>IF(Body5Actif=TRUE,((((($B31*$N$4)+'Calculs 3D'!$C$10-OffsetX)/Ecran)*'Calculs 3D'!$C$32)+(((($C31*$N$4)+'Calculs 3D'!$D$10-OffsetY)/Ecran)*'Calculs 3D'!$D$32)+(((($D31*$N$4)+'Calculs 3D'!$E$10-OffsetZ)/Ecran)*'Calculs 3D'!$E$32)),0)</f>
        <v>-1.2506862403180528E-3</v>
      </c>
      <c r="P31" s="105">
        <f>IF(Body6Actif=TRUE,((((($B31*$P$4)+'Calculs 3D'!$C$11-OffsetX)/Ecran)*'Calculs 3D'!$C$31)+(((($C31*$P$4)+'Calculs 3D'!$D$11-OffsetY)/Ecran)*'Calculs 3D'!$D$31)+(((($D31*$P$4)+'Calculs 3D'!$E$11-OffsetZ)/Ecran)*'Calculs 3D'!$E$31)),0)</f>
        <v>0.18366056791444282</v>
      </c>
      <c r="Q31" s="105">
        <f>IF(Body6Actif=TRUE,((((($B31*$P$4)+'Calculs 3D'!$C$11-OffsetX)/Ecran)*'Calculs 3D'!$C$32)+(((($C31*$P$4)+'Calculs 3D'!$D$11-OffsetY)/Ecran)*'Calculs 3D'!$D$32)+(((($D31*$P$4)+'Calculs 3D'!$E$11-OffsetZ)/Ecran)*'Calculs 3D'!$E$32)),0)</f>
        <v>0.13845979282723681</v>
      </c>
      <c r="R31" s="105">
        <f>IF(Body7Actif=TRUE,((((($B31*$R$4)+'Calculs 3D'!$C$12-OffsetX)/Ecran)*'Calculs 3D'!$C$31)+(((($C31*$R$4)+'Calculs 3D'!$D$12-OffsetY)/Ecran)*'Calculs 3D'!$D$31)+(((($D31*$R$4)+'Calculs 3D'!$E$12-OffsetZ)/Ecran)*'Calculs 3D'!$E$31)),0)</f>
        <v>-0.2676991755501712</v>
      </c>
      <c r="S31" s="105">
        <f>IF(Body7Actif=TRUE,((((($B31*$R$4)+'Calculs 3D'!$C$12-OffsetX)/Ecran)*'Calculs 3D'!$C$32)+(((($C31*$R$4)+'Calculs 3D'!$D$12-OffsetY)/Ecran)*'Calculs 3D'!$D$32)+(((($D31*$R$4)+'Calculs 3D'!$E$12-OffsetZ)/Ecran)*'Calculs 3D'!$E$32)),0)</f>
        <v>6.7771565548304241E-2</v>
      </c>
      <c r="T31" s="105">
        <f>IF(Body8Actif=TRUE,((((($B31*$T$4)+'Calculs 3D'!$C$13-OffsetX)/Ecran)*'Calculs 3D'!$C$31)+(((($C31*$T$4)+'Calculs 3D'!$D$13-OffsetY)/Ecran)*'Calculs 3D'!$D$31)+(((($D31*$T$4)+'Calculs 3D'!$E$13-OffsetZ)/Ecran)*'Calculs 3D'!$E$31)),0)</f>
        <v>0.17287353210837769</v>
      </c>
      <c r="U31" s="105">
        <f>IF(Body8Actif=TRUE,((((($B31*$T$4)+'Calculs 3D'!$C$13-OffsetX)/Ecran)*'Calculs 3D'!$C$32)+(((($C31*$T$4)+'Calculs 3D'!$D$13-OffsetY)/Ecran)*'Calculs 3D'!$D$32)+(((($D31*$T$4)+'Calculs 3D'!$E$13-OffsetZ)/Ecran)*'Calculs 3D'!$E$32)),0)</f>
        <v>-0.12861351986366687</v>
      </c>
      <c r="V31" s="105">
        <f>IF(Body9Actif=TRUE,((((($B31*$V$4)+'Calculs 3D'!$C$14-OffsetX)/Ecran)*'Calculs 3D'!$C$31)+(((($C31*$V$4)+'Calculs 3D'!$D$14-OffsetY)/Ecran)*'Calculs 3D'!$D$31)+(((($D31*$V$4)+'Calculs 3D'!$E$14-OffsetZ)/Ecran)*'Calculs 3D'!$E$31)),0)</f>
        <v>-0.17113379897160097</v>
      </c>
      <c r="W31" s="105">
        <f>IF(Body9Actif=TRUE,((((($B31*$V$4)+'Calculs 3D'!$C$14-OffsetX)/Ecran)*'Calculs 3D'!$C$32)+(((($C31*$V$4)+'Calculs 3D'!$D$14-OffsetY)/Ecran)*'Calculs 3D'!$D$32)+(((($D31*$V$4)+'Calculs 3D'!$E$14-OffsetZ)/Ecran)*'Calculs 3D'!$E$32)),0)</f>
        <v>0.29138903659980697</v>
      </c>
      <c r="X31" s="105">
        <f>IF(Body10Actif=TRUE,((((($B31*$X$4)+'Calculs 3D'!$C$15-OffsetX)/Ecran)*'Calculs 3D'!$C$31)+(((($C31*$X$4)+'Calculs 3D'!$D$15-OffsetY)/Ecran)*'Calculs 3D'!$D$31)+(((($D31*$X$4)+'Calculs 3D'!$E$15-OffsetZ)/Ecran)*'Calculs 3D'!$E$31)),0)</f>
        <v>-5.5931169652103929E-3</v>
      </c>
      <c r="Y31" s="105">
        <f>IF(Body10Actif=TRUE,((((($B31*$X$4)+'Calculs 3D'!$C$15-OffsetX)/Ecran)*'Calculs 3D'!$C$32)+(((($C31*$X$4)+'Calculs 3D'!$D$15-OffsetY)/Ecran)*'Calculs 3D'!$D$32)+(((($D31*$X$4)+'Calculs 3D'!$E$15-OffsetZ)/Ecran)*'Calculs 3D'!$E$32)),0)</f>
        <v>0.29664342335737781</v>
      </c>
    </row>
    <row r="32" spans="2:25" x14ac:dyDescent="0.3">
      <c r="B32" s="102">
        <v>0.29974648454369901</v>
      </c>
      <c r="C32" s="102">
        <v>0.92252482080629894</v>
      </c>
      <c r="D32" s="102">
        <v>0.25</v>
      </c>
      <c r="F32" s="105">
        <f>IF(Body1Actif=TRUE,((((($B32*$F$4)+'Calculs 3D'!$C$6-OffsetX)/Ecran)*'Calculs 3D'!$C$31)+(((($C32*$F$4)+'Calculs 3D'!$D$6-OffsetY)/Ecran)*'Calculs 3D'!$D$31)+(((($D32*$F$4)+'Calculs 3D'!$E$6-OffsetZ)/Ecran)*'Calculs 3D'!$E$31)),0)</f>
        <v>5.3543044289440241E-2</v>
      </c>
      <c r="G32" s="105">
        <f>IF(Body1Actif=TRUE,((((($B32*$F$4)+'Calculs 3D'!$C$6-OffsetX)/Ecran)*'Calculs 3D'!$C$32)+(((($C32*$F$4)+'Calculs 3D'!$D$6-OffsetY)/Ecran)*'Calculs 3D'!$D$32)+(((($D32*$F$4)+'Calculs 3D'!$E$6-OffsetZ)/Ecran)*'Calculs 3D'!$E$32)),0)</f>
        <v>0.26602596900703684</v>
      </c>
      <c r="H32" s="105">
        <f>IF(Body2Actif=TRUE,((((($B32*$H$4)+'Calculs 3D'!$C$7-OffsetX)/Ecran)*'Calculs 3D'!$C$31)+(((($C32*$H$4)+'Calculs 3D'!$D$7-OffsetY)/Ecran)*'Calculs 3D'!$D$31)+(((($D32*$H$4)+'Calculs 3D'!$E$7-OffsetZ)/Ecran)*'Calculs 3D'!$E$31)),0)</f>
        <v>3.6800979658193622E-2</v>
      </c>
      <c r="I32" s="105">
        <f>IF(Body2Actif=TRUE,((((($B32*$H$4)+'Calculs 3D'!$C$7-OffsetX)/Ecran)*'Calculs 3D'!$C$32)+(((($C32*$H$4)+'Calculs 3D'!$D$7-OffsetY)/Ecran)*'Calculs 3D'!$D$32)+(((($D32*$H$4)+'Calculs 3D'!$E$7-OffsetZ)/Ecran)*'Calculs 3D'!$E$32)),0)</f>
        <v>3.8750715237521258E-2</v>
      </c>
      <c r="J32" s="105">
        <f>IF(Body3Actif=TRUE,((((($B32*$J$4)+'Calculs 3D'!$C$8-OffsetX)/Ecran)*'Calculs 3D'!$C$31)+(((($C32*$J$4)+'Calculs 3D'!$D$8-OffsetY)/Ecran)*'Calculs 3D'!$D$31)+(((($D32*$J$4)+'Calculs 3D'!$E$8-OffsetZ)/Ecran)*'Calculs 3D'!$E$31)),0)</f>
        <v>0.22379435273900616</v>
      </c>
      <c r="K32" s="105">
        <f>IF(Body3Actif=TRUE,((((($B32*$J$4)+'Calculs 3D'!$C$8-OffsetX)/Ecran)*'Calculs 3D'!$C$32)+(((($C32*$J$4)+'Calculs 3D'!$D$8-OffsetY)/Ecran)*'Calculs 3D'!$D$32)+(((($D32*$J$4)+'Calculs 3D'!$E$8-OffsetZ)/Ecran)*'Calculs 3D'!$E$32)),0)</f>
        <v>-7.7120422748564621E-2</v>
      </c>
      <c r="L32" s="105">
        <f>IF(Body4Actif=TRUE,((((($B32*$L$4)+'Calculs 3D'!$C$9-OffsetX)/Ecran)*'Calculs 3D'!$C$31)+(((($C32*$L$4)+'Calculs 3D'!$D$9-OffsetY)/Ecran)*'Calculs 3D'!$D$31)+(((($D32*$L$4)+'Calculs 3D'!$E$9-OffsetZ)/Ecran)*'Calculs 3D'!$E$31)),0)</f>
        <v>-8.7849876019949868E-2</v>
      </c>
      <c r="M32" s="105">
        <f>IF(Body4Actif=TRUE,((((($B32*$L$4)+'Calculs 3D'!$C$9-OffsetX)/Ecran)*'Calculs 3D'!$C$32)+(((($C32*$L$4)+'Calculs 3D'!$D$9-OffsetY)/Ecran)*'Calculs 3D'!$D$32)+(((($D32*$L$4)+'Calculs 3D'!$E$9-OffsetZ)/Ecran)*'Calculs 3D'!$E$32)),0)</f>
        <v>-0.16723785818323744</v>
      </c>
      <c r="N32" s="105">
        <f>IF(Body5Actif=TRUE,((((($B32*$N$4)+'Calculs 3D'!$C$10-OffsetX)/Ecran)*'Calculs 3D'!$C$31)+(((($C32*$N$4)+'Calculs 3D'!$D$10-OffsetY)/Ecran)*'Calculs 3D'!$D$31)+(((($D32*$N$4)+'Calculs 3D'!$E$10-OffsetZ)/Ecran)*'Calculs 3D'!$E$31)),0)</f>
        <v>8.4771342718938641E-3</v>
      </c>
      <c r="O32" s="105">
        <f>IF(Body5Actif=TRUE,((((($B32*$N$4)+'Calculs 3D'!$C$10-OffsetX)/Ecran)*'Calculs 3D'!$C$32)+(((($C32*$N$4)+'Calculs 3D'!$D$10-OffsetY)/Ecran)*'Calculs 3D'!$D$32)+(((($D32*$N$4)+'Calculs 3D'!$E$10-OffsetZ)/Ecran)*'Calculs 3D'!$E$32)),0)</f>
        <v>3.6613654988361388E-4</v>
      </c>
      <c r="P32" s="105">
        <f>IF(Body6Actif=TRUE,((((($B32*$P$4)+'Calculs 3D'!$C$11-OffsetX)/Ecran)*'Calculs 3D'!$C$31)+(((($C32*$P$4)+'Calculs 3D'!$D$11-OffsetY)/Ecran)*'Calculs 3D'!$D$31)+(((($D32*$P$4)+'Calculs 3D'!$E$11-OffsetZ)/Ecran)*'Calculs 3D'!$E$31)),0)</f>
        <v>0.18172144260548428</v>
      </c>
      <c r="Q32" s="105">
        <f>IF(Body6Actif=TRUE,((((($B32*$P$4)+'Calculs 3D'!$C$11-OffsetX)/Ecran)*'Calculs 3D'!$C$32)+(((($C32*$P$4)+'Calculs 3D'!$D$11-OffsetY)/Ecran)*'Calculs 3D'!$D$32)+(((($D32*$P$4)+'Calculs 3D'!$E$11-OffsetZ)/Ecran)*'Calculs 3D'!$E$32)),0)</f>
        <v>0.14080284507269247</v>
      </c>
      <c r="R32" s="105">
        <f>IF(Body7Actif=TRUE,((((($B32*$R$4)+'Calculs 3D'!$C$12-OffsetX)/Ecran)*'Calculs 3D'!$C$31)+(((($C32*$R$4)+'Calculs 3D'!$D$12-OffsetY)/Ecran)*'Calculs 3D'!$D$31)+(((($D32*$R$4)+'Calculs 3D'!$E$12-OffsetZ)/Ecran)*'Calculs 3D'!$E$31)),0)</f>
        <v>-0.26964656832969031</v>
      </c>
      <c r="S32" s="105">
        <f>IF(Body7Actif=TRUE,((((($B32*$R$4)+'Calculs 3D'!$C$12-OffsetX)/Ecran)*'Calculs 3D'!$C$32)+(((($C32*$R$4)+'Calculs 3D'!$D$12-OffsetY)/Ecran)*'Calculs 3D'!$D$32)+(((($D32*$R$4)+'Calculs 3D'!$E$12-OffsetZ)/Ecran)*'Calculs 3D'!$E$32)),0)</f>
        <v>7.0124607408856815E-2</v>
      </c>
      <c r="T32" s="105">
        <f>IF(Body8Actif=TRUE,((((($B32*$T$4)+'Calculs 3D'!$C$13-OffsetX)/Ecran)*'Calculs 3D'!$C$31)+(((($C32*$T$4)+'Calculs 3D'!$D$13-OffsetY)/Ecran)*'Calculs 3D'!$D$31)+(((($D32*$T$4)+'Calculs 3D'!$E$13-OffsetZ)/Ecran)*'Calculs 3D'!$E$31)),0)</f>
        <v>0.172171184484086</v>
      </c>
      <c r="U32" s="105">
        <f>IF(Body8Actif=TRUE,((((($B32*$T$4)+'Calculs 3D'!$C$13-OffsetX)/Ecran)*'Calculs 3D'!$C$32)+(((($C32*$T$4)+'Calculs 3D'!$D$13-OffsetY)/Ecran)*'Calculs 3D'!$D$32)+(((($D32*$T$4)+'Calculs 3D'!$E$13-OffsetZ)/Ecran)*'Calculs 3D'!$E$32)),0)</f>
        <v>-0.12776487064508132</v>
      </c>
      <c r="V32" s="105">
        <f>IF(Body9Actif=TRUE,((((($B32*$V$4)+'Calculs 3D'!$C$14-OffsetX)/Ecran)*'Calculs 3D'!$C$31)+(((($C32*$V$4)+'Calculs 3D'!$D$14-OffsetY)/Ecran)*'Calculs 3D'!$D$31)+(((($D32*$V$4)+'Calculs 3D'!$E$14-OffsetZ)/Ecran)*'Calculs 3D'!$E$31)),0)</f>
        <v>-0.17210831749642194</v>
      </c>
      <c r="W32" s="105">
        <f>IF(Body9Actif=TRUE,((((($B32*$V$4)+'Calculs 3D'!$C$14-OffsetX)/Ecran)*'Calculs 3D'!$C$32)+(((($C32*$V$4)+'Calculs 3D'!$D$14-OffsetY)/Ecran)*'Calculs 3D'!$D$32)+(((($D32*$V$4)+'Calculs 3D'!$E$14-OffsetZ)/Ecran)*'Calculs 3D'!$E$32)),0)</f>
        <v>0.29256655091890293</v>
      </c>
      <c r="X32" s="105">
        <f>IF(Body10Actif=TRUE,((((($B32*$X$4)+'Calculs 3D'!$C$15-OffsetX)/Ecran)*'Calculs 3D'!$C$31)+(((($C32*$X$4)+'Calculs 3D'!$D$15-OffsetY)/Ecran)*'Calculs 3D'!$D$31)+(((($D32*$X$4)+'Calculs 3D'!$E$15-OffsetZ)/Ecran)*'Calculs 3D'!$E$31)),0)</f>
        <v>-7.0641079443565513E-3</v>
      </c>
      <c r="Y32" s="105">
        <f>IF(Body10Actif=TRUE,((((($B32*$X$4)+'Calculs 3D'!$C$15-OffsetX)/Ecran)*'Calculs 3D'!$C$32)+(((($C32*$X$4)+'Calculs 3D'!$D$15-OffsetY)/Ecran)*'Calculs 3D'!$D$32)+(((($D32*$X$4)+'Calculs 3D'!$E$15-OffsetZ)/Ecran)*'Calculs 3D'!$E$32)),0)</f>
        <v>0.29842082716971036</v>
      </c>
    </row>
    <row r="33" spans="2:25" x14ac:dyDescent="0.3">
      <c r="B33" s="102">
        <v>5.9419700063068066E-17</v>
      </c>
      <c r="C33" s="102">
        <v>0.97</v>
      </c>
      <c r="D33" s="102">
        <v>0.25</v>
      </c>
      <c r="F33" s="105">
        <f>IF(Body1Actif=TRUE,((((($B33*$F$4)+'Calculs 3D'!$C$6-OffsetX)/Ecran)*'Calculs 3D'!$C$31)+(((($C33*$F$4)+'Calculs 3D'!$D$6-OffsetY)/Ecran)*'Calculs 3D'!$D$31)+(((($D33*$F$4)+'Calculs 3D'!$E$6-OffsetZ)/Ecran)*'Calculs 3D'!$E$31)),0)</f>
        <v>5.2732552154006622E-2</v>
      </c>
      <c r="G33" s="105">
        <f>IF(Body1Actif=TRUE,((((($B33*$F$4)+'Calculs 3D'!$C$6-OffsetX)/Ecran)*'Calculs 3D'!$C$32)+(((($C33*$F$4)+'Calculs 3D'!$D$6-OffsetY)/Ecran)*'Calculs 3D'!$D$32)+(((($D33*$F$4)+'Calculs 3D'!$E$6-OffsetZ)/Ecran)*'Calculs 3D'!$E$32)),0)</f>
        <v>0.26652495779087781</v>
      </c>
      <c r="H33" s="105">
        <f>IF(Body2Actif=TRUE,((((($B33*$H$4)+'Calculs 3D'!$C$7-OffsetX)/Ecran)*'Calculs 3D'!$C$31)+(((($C33*$H$4)+'Calculs 3D'!$D$7-OffsetY)/Ecran)*'Calculs 3D'!$D$31)+(((($D33*$H$4)+'Calculs 3D'!$E$7-OffsetZ)/Ecran)*'Calculs 3D'!$E$31)),0)</f>
        <v>3.3641781457342701E-2</v>
      </c>
      <c r="I33" s="105">
        <f>IF(Body2Actif=TRUE,((((($B33*$H$4)+'Calculs 3D'!$C$7-OffsetX)/Ecran)*'Calculs 3D'!$C$32)+(((($C33*$H$4)+'Calculs 3D'!$D$7-OffsetY)/Ecran)*'Calculs 3D'!$D$32)+(((($D33*$H$4)+'Calculs 3D'!$E$7-OffsetZ)/Ecran)*'Calculs 3D'!$E$32)),0)</f>
        <v>4.06957118627033E-2</v>
      </c>
      <c r="J33" s="105">
        <f>IF(Body3Actif=TRUE,((((($B33*$J$4)+'Calculs 3D'!$C$8-OffsetX)/Ecran)*'Calculs 3D'!$C$31)+(((($C33*$J$4)+'Calculs 3D'!$D$8-OffsetY)/Ecran)*'Calculs 3D'!$D$31)+(((($D33*$J$4)+'Calculs 3D'!$E$8-OffsetZ)/Ecran)*'Calculs 3D'!$E$31)),0)</f>
        <v>0.22239033488127741</v>
      </c>
      <c r="K33" s="105">
        <f>IF(Body3Actif=TRUE,((((($B33*$J$4)+'Calculs 3D'!$C$8-OffsetX)/Ecran)*'Calculs 3D'!$C$32)+(((($C33*$J$4)+'Calculs 3D'!$D$8-OffsetY)/Ecran)*'Calculs 3D'!$D$32)+(((($D33*$J$4)+'Calculs 3D'!$E$8-OffsetZ)/Ecran)*'Calculs 3D'!$E$32)),0)</f>
        <v>-7.6256023042891807E-2</v>
      </c>
      <c r="L33" s="105">
        <f>IF(Body4Actif=TRUE,((((($B33*$L$4)+'Calculs 3D'!$C$9-OffsetX)/Ecran)*'Calculs 3D'!$C$31)+(((($C33*$L$4)+'Calculs 3D'!$D$9-OffsetY)/Ecran)*'Calculs 3D'!$D$31)+(((($D33*$L$4)+'Calculs 3D'!$E$9-OffsetZ)/Ecran)*'Calculs 3D'!$E$31)),0)</f>
        <v>-8.9675510039645467E-2</v>
      </c>
      <c r="M33" s="105">
        <f>IF(Body4Actif=TRUE,((((($B33*$L$4)+'Calculs 3D'!$C$9-OffsetX)/Ecran)*'Calculs 3D'!$C$32)+(((($C33*$L$4)+'Calculs 3D'!$D$9-OffsetY)/Ecran)*'Calculs 3D'!$D$32)+(((($D33*$L$4)+'Calculs 3D'!$E$9-OffsetZ)/Ecran)*'Calculs 3D'!$E$32)),0)</f>
        <v>-0.16611388564926693</v>
      </c>
      <c r="N33" s="105">
        <f>IF(Body5Actif=TRUE,((((($B33*$N$4)+'Calculs 3D'!$C$10-OffsetX)/Ecran)*'Calculs 3D'!$C$31)+(((($C33*$N$4)+'Calculs 3D'!$D$10-OffsetY)/Ecran)*'Calculs 3D'!$D$31)+(((($D33*$N$4)+'Calculs 3D'!$E$10-OffsetZ)/Ecran)*'Calculs 3D'!$E$31)),0)</f>
        <v>6.3930054402961062E-3</v>
      </c>
      <c r="O33" s="105">
        <f>IF(Body5Actif=TRUE,((((($B33*$N$4)+'Calculs 3D'!$C$10-OffsetX)/Ecran)*'Calculs 3D'!$C$32)+(((($C33*$N$4)+'Calculs 3D'!$D$10-OffsetY)/Ecran)*'Calculs 3D'!$D$32)+(((($D33*$N$4)+'Calculs 3D'!$E$10-OffsetZ)/Ecran)*'Calculs 3D'!$E$32)),0)</f>
        <v>1.6492543811138273E-3</v>
      </c>
      <c r="P33" s="105">
        <f>IF(Body6Actif=TRUE,((((($B33*$P$4)+'Calculs 3D'!$C$11-OffsetX)/Ecran)*'Calculs 3D'!$C$31)+(((($C33*$P$4)+'Calculs 3D'!$D$11-OffsetY)/Ecran)*'Calculs 3D'!$D$31)+(((($D33*$P$4)+'Calculs 3D'!$E$11-OffsetZ)/Ecran)*'Calculs 3D'!$E$31)),0)</f>
        <v>0.17870118412800146</v>
      </c>
      <c r="Q33" s="105">
        <f>IF(Body6Actif=TRUE,((((($B33*$P$4)+'Calculs 3D'!$C$11-OffsetX)/Ecran)*'Calculs 3D'!$C$32)+(((($C33*$P$4)+'Calculs 3D'!$D$11-OffsetY)/Ecran)*'Calculs 3D'!$D$32)+(((($D33*$P$4)+'Calculs 3D'!$E$11-OffsetZ)/Ecran)*'Calculs 3D'!$E$32)),0)</f>
        <v>0.14266230186280437</v>
      </c>
      <c r="R33" s="105">
        <f>IF(Body7Actif=TRUE,((((($B33*$R$4)+'Calculs 3D'!$C$12-OffsetX)/Ecran)*'Calculs 3D'!$C$31)+(((($C33*$R$4)+'Calculs 3D'!$D$12-OffsetY)/Ecran)*'Calculs 3D'!$D$31)+(((($D33*$R$4)+'Calculs 3D'!$E$12-OffsetZ)/Ecran)*'Calculs 3D'!$E$31)),0)</f>
        <v>-0.2726797036944647</v>
      </c>
      <c r="S33" s="105">
        <f>IF(Body7Actif=TRUE,((((($B33*$R$4)+'Calculs 3D'!$C$12-OffsetX)/Ecran)*'Calculs 3D'!$C$32)+(((($C33*$R$4)+'Calculs 3D'!$D$12-OffsetY)/Ecran)*'Calculs 3D'!$D$32)+(((($D33*$R$4)+'Calculs 3D'!$E$12-OffsetZ)/Ecran)*'Calculs 3D'!$E$32)),0)</f>
        <v>7.1991992002396296E-2</v>
      </c>
      <c r="T33" s="105">
        <f>IF(Body8Actif=TRUE,((((($B33*$T$4)+'Calculs 3D'!$C$13-OffsetX)/Ecran)*'Calculs 3D'!$C$31)+(((($C33*$T$4)+'Calculs 3D'!$D$13-OffsetY)/Ecran)*'Calculs 3D'!$D$31)+(((($D33*$T$4)+'Calculs 3D'!$E$13-OffsetZ)/Ecran)*'Calculs 3D'!$E$31)),0)</f>
        <v>0.17107725241244165</v>
      </c>
      <c r="U33" s="105">
        <f>IF(Body8Actif=TRUE,((((($B33*$T$4)+'Calculs 3D'!$C$13-OffsetX)/Ecran)*'Calculs 3D'!$C$32)+(((($C33*$T$4)+'Calculs 3D'!$D$13-OffsetY)/Ecran)*'Calculs 3D'!$D$32)+(((($D33*$T$4)+'Calculs 3D'!$E$13-OffsetZ)/Ecran)*'Calculs 3D'!$E$32)),0)</f>
        <v>-0.12709137881194671</v>
      </c>
      <c r="V33" s="105">
        <f>IF(Body9Actif=TRUE,((((($B33*$V$4)+'Calculs 3D'!$C$14-OffsetX)/Ecran)*'Calculs 3D'!$C$31)+(((($C33*$V$4)+'Calculs 3D'!$D$14-OffsetY)/Ecran)*'Calculs 3D'!$D$31)+(((($D33*$V$4)+'Calculs 3D'!$E$14-OffsetZ)/Ecran)*'Calculs 3D'!$E$31)),0)</f>
        <v>-0.17362616568418837</v>
      </c>
      <c r="W33" s="105">
        <f>IF(Body9Actif=TRUE,((((($B33*$V$4)+'Calculs 3D'!$C$14-OffsetX)/Ecran)*'Calculs 3D'!$C$32)+(((($C33*$V$4)+'Calculs 3D'!$D$14-OffsetY)/Ecran)*'Calculs 3D'!$D$32)+(((($D33*$V$4)+'Calculs 3D'!$E$14-OffsetZ)/Ecran)*'Calculs 3D'!$E$32)),0)</f>
        <v>0.29350103157350355</v>
      </c>
      <c r="X33" s="105">
        <f>IF(Body10Actif=TRUE,((((($B33*$X$4)+'Calculs 3D'!$C$15-OffsetX)/Ecran)*'Calculs 3D'!$C$31)+(((($C33*$X$4)+'Calculs 3D'!$D$15-OffsetY)/Ecran)*'Calculs 3D'!$D$31)+(((($D33*$X$4)+'Calculs 3D'!$E$15-OffsetZ)/Ecran)*'Calculs 3D'!$E$31)),0)</f>
        <v>-9.3552301088405676E-3</v>
      </c>
      <c r="Y33" s="105">
        <f>IF(Body10Actif=TRUE,((((($B33*$X$4)+'Calculs 3D'!$C$15-OffsetX)/Ecran)*'Calculs 3D'!$C$32)+(((($C33*$X$4)+'Calculs 3D'!$D$15-OffsetY)/Ecran)*'Calculs 3D'!$D$32)+(((($D33*$X$4)+'Calculs 3D'!$E$15-OffsetZ)/Ecran)*'Calculs 3D'!$E$32)),0)</f>
        <v>0.29983138282164795</v>
      </c>
    </row>
    <row r="34" spans="2:25" x14ac:dyDescent="0.3">
      <c r="B34" s="102">
        <v>-0.2997464845436989</v>
      </c>
      <c r="C34" s="102">
        <v>0.92252482080629905</v>
      </c>
      <c r="D34" s="102">
        <v>0.25</v>
      </c>
      <c r="F34" s="105">
        <f>IF(Body1Actif=TRUE,((((($B34*$F$4)+'Calculs 3D'!$C$6-OffsetX)/Ecran)*'Calculs 3D'!$C$31)+(((($C34*$F$4)+'Calculs 3D'!$D$6-OffsetY)/Ecran)*'Calculs 3D'!$D$31)+(((($D34*$F$4)+'Calculs 3D'!$E$6-OffsetZ)/Ecran)*'Calculs 3D'!$E$31)),0)</f>
        <v>5.1711272483540238E-2</v>
      </c>
      <c r="G34" s="105">
        <f>IF(Body1Actif=TRUE,((((($B34*$F$4)+'Calculs 3D'!$C$6-OffsetX)/Ecran)*'Calculs 3D'!$C$32)+(((($C34*$F$4)+'Calculs 3D'!$D$6-OffsetY)/Ecran)*'Calculs 3D'!$D$32)+(((($D34*$F$4)+'Calculs 3D'!$E$6-OffsetZ)/Ecran)*'Calculs 3D'!$E$32)),0)</f>
        <v>0.26684532831109853</v>
      </c>
      <c r="H34" s="105">
        <f>IF(Body2Actif=TRUE,((((($B34*$H$4)+'Calculs 3D'!$C$7-OffsetX)/Ecran)*'Calculs 3D'!$C$31)+(((($C34*$H$4)+'Calculs 3D'!$D$7-OffsetY)/Ecran)*'Calculs 3D'!$D$31)+(((($D34*$H$4)+'Calculs 3D'!$E$7-OffsetZ)/Ecran)*'Calculs 3D'!$E$31)),0)</f>
        <v>2.9660959489493828E-2</v>
      </c>
      <c r="I34" s="105">
        <f>IF(Body2Actif=TRUE,((((($B34*$H$4)+'Calculs 3D'!$C$7-OffsetX)/Ecran)*'Calculs 3D'!$C$32)+(((($C34*$H$4)+'Calculs 3D'!$D$7-OffsetY)/Ecran)*'Calculs 3D'!$D$32)+(((($D34*$H$4)+'Calculs 3D'!$E$7-OffsetZ)/Ecran)*'Calculs 3D'!$E$32)),0)</f>
        <v>4.1944476566071594E-2</v>
      </c>
      <c r="J34" s="105">
        <f>IF(Body3Actif=TRUE,((((($B34*$J$4)+'Calculs 3D'!$C$8-OffsetX)/Ecran)*'Calculs 3D'!$C$31)+(((($C34*$J$4)+'Calculs 3D'!$D$8-OffsetY)/Ecran)*'Calculs 3D'!$D$31)+(((($D34*$J$4)+'Calculs 3D'!$E$8-OffsetZ)/Ecran)*'Calculs 3D'!$E$31)),0)</f>
        <v>0.22062116917024566</v>
      </c>
      <c r="K34" s="105">
        <f>IF(Body3Actif=TRUE,((((($B34*$J$4)+'Calculs 3D'!$C$8-OffsetX)/Ecran)*'Calculs 3D'!$C$32)+(((($C34*$J$4)+'Calculs 3D'!$D$8-OffsetY)/Ecran)*'Calculs 3D'!$D$32)+(((($D34*$J$4)+'Calculs 3D'!$E$8-OffsetZ)/Ecran)*'Calculs 3D'!$E$32)),0)</f>
        <v>-7.5701044269113615E-2</v>
      </c>
      <c r="L34" s="105">
        <f>IF(Body4Actif=TRUE,((((($B34*$L$4)+'Calculs 3D'!$C$9-OffsetX)/Ecran)*'Calculs 3D'!$C$31)+(((($C34*$L$4)+'Calculs 3D'!$D$9-OffsetY)/Ecran)*'Calculs 3D'!$D$31)+(((($D34*$L$4)+'Calculs 3D'!$E$9-OffsetZ)/Ecran)*'Calculs 3D'!$E$31)),0)</f>
        <v>-9.197594310804208E-2</v>
      </c>
      <c r="M34" s="105">
        <f>IF(Body4Actif=TRUE,((((($B34*$L$4)+'Calculs 3D'!$C$9-OffsetX)/Ecran)*'Calculs 3D'!$C$32)+(((($C34*$L$4)+'Calculs 3D'!$D$9-OffsetY)/Ecran)*'Calculs 3D'!$D$32)+(((($D34*$L$4)+'Calculs 3D'!$E$9-OffsetZ)/Ecran)*'Calculs 3D'!$E$32)),0)</f>
        <v>-0.16539225086090506</v>
      </c>
      <c r="N34" s="105">
        <f>IF(Body5Actif=TRUE,((((($B34*$N$4)+'Calculs 3D'!$C$10-OffsetX)/Ecran)*'Calculs 3D'!$C$31)+(((($C34*$N$4)+'Calculs 3D'!$D$10-OffsetY)/Ecran)*'Calculs 3D'!$D$31)+(((($D34*$N$4)+'Calculs 3D'!$E$10-OffsetZ)/Ecran)*'Calculs 3D'!$E$31)),0)</f>
        <v>3.7668499067759469E-3</v>
      </c>
      <c r="O34" s="105">
        <f>IF(Body5Actif=TRUE,((((($B34*$N$4)+'Calculs 3D'!$C$10-OffsetX)/Ecran)*'Calculs 3D'!$C$32)+(((($C34*$N$4)+'Calculs 3D'!$D$10-OffsetY)/Ecran)*'Calculs 3D'!$D$32)+(((($D34*$N$4)+'Calculs 3D'!$E$10-OffsetZ)/Ecran)*'Calculs 3D'!$E$32)),0)</f>
        <v>2.4730667400441678E-3</v>
      </c>
      <c r="P34" s="105">
        <f>IF(Body6Actif=TRUE,((((($B34*$P$4)+'Calculs 3D'!$C$11-OffsetX)/Ecran)*'Calculs 3D'!$C$31)+(((($C34*$P$4)+'Calculs 3D'!$D$11-OffsetY)/Ecran)*'Calculs 3D'!$D$31)+(((($D34*$P$4)+'Calculs 3D'!$E$11-OffsetZ)/Ecran)*'Calculs 3D'!$E$31)),0)</f>
        <v>0.17489543642514854</v>
      </c>
      <c r="Q34" s="105">
        <f>IF(Body6Actif=TRUE,((((($B34*$P$4)+'Calculs 3D'!$C$11-OffsetX)/Ecran)*'Calculs 3D'!$C$32)+(((($C34*$P$4)+'Calculs 3D'!$D$11-OffsetY)/Ecran)*'Calculs 3D'!$D$32)+(((($D34*$P$4)+'Calculs 3D'!$E$11-OffsetZ)/Ecran)*'Calculs 3D'!$E$32)),0)</f>
        <v>0.14385614661135909</v>
      </c>
      <c r="R34" s="105">
        <f>IF(Body7Actif=TRUE,((((($B34*$R$4)+'Calculs 3D'!$C$12-OffsetX)/Ecran)*'Calculs 3D'!$C$31)+(((($C34*$R$4)+'Calculs 3D'!$D$12-OffsetY)/Ecran)*'Calculs 3D'!$D$31)+(((($D34*$R$4)+'Calculs 3D'!$E$12-OffsetZ)/Ecran)*'Calculs 3D'!$E$31)),0)</f>
        <v>-0.27650167722189378</v>
      </c>
      <c r="S34" s="105">
        <f>IF(Body7Actif=TRUE,((((($B34*$R$4)+'Calculs 3D'!$C$12-OffsetX)/Ecran)*'Calculs 3D'!$C$32)+(((($C34*$R$4)+'Calculs 3D'!$D$12-OffsetY)/Ecran)*'Calculs 3D'!$D$32)+(((($D34*$R$4)+'Calculs 3D'!$E$12-OffsetZ)/Ecran)*'Calculs 3D'!$E$32)),0)</f>
        <v>7.319092671407354E-2</v>
      </c>
      <c r="T34" s="105">
        <f>IF(Body8Actif=TRUE,((((($B34*$T$4)+'Calculs 3D'!$C$13-OffsetX)/Ecran)*'Calculs 3D'!$C$31)+(((($C34*$T$4)+'Calculs 3D'!$D$13-OffsetY)/Ecran)*'Calculs 3D'!$D$31)+(((($D34*$T$4)+'Calculs 3D'!$E$13-OffsetZ)/Ecran)*'Calculs 3D'!$E$31)),0)</f>
        <v>0.16969881758649014</v>
      </c>
      <c r="U34" s="105">
        <f>IF(Body8Actif=TRUE,((((($B34*$T$4)+'Calculs 3D'!$C$13-OffsetX)/Ecran)*'Calculs 3D'!$C$32)+(((($C34*$T$4)+'Calculs 3D'!$D$13-OffsetY)/Ecran)*'Calculs 3D'!$D$32)+(((($D34*$T$4)+'Calculs 3D'!$E$13-OffsetZ)/Ecran)*'Calculs 3D'!$E$32)),0)</f>
        <v>-0.12665897043738378</v>
      </c>
      <c r="V34" s="105">
        <f>IF(Body9Actif=TRUE,((((($B34*$V$4)+'Calculs 3D'!$C$14-OffsetX)/Ecran)*'Calculs 3D'!$C$31)+(((($C34*$V$4)+'Calculs 3D'!$D$14-OffsetY)/Ecran)*'Calculs 3D'!$D$31)+(((($D34*$V$4)+'Calculs 3D'!$E$14-OffsetZ)/Ecran)*'Calculs 3D'!$E$31)),0)</f>
        <v>-0.17553876597881146</v>
      </c>
      <c r="W34" s="105">
        <f>IF(Body9Actif=TRUE,((((($B34*$V$4)+'Calculs 3D'!$C$14-OffsetX)/Ecran)*'Calculs 3D'!$C$32)+(((($C34*$V$4)+'Calculs 3D'!$D$14-OffsetY)/Ecran)*'Calculs 3D'!$D$32)+(((($D34*$V$4)+'Calculs 3D'!$E$14-OffsetZ)/Ecran)*'Calculs 3D'!$E$32)),0)</f>
        <v>0.29410100508622705</v>
      </c>
      <c r="X34" s="105">
        <f>IF(Body10Actif=TRUE,((((($B34*$X$4)+'Calculs 3D'!$C$15-OffsetX)/Ecran)*'Calculs 3D'!$C$31)+(((($C34*$X$4)+'Calculs 3D'!$D$15-OffsetY)/Ecran)*'Calculs 3D'!$D$31)+(((($D34*$X$4)+'Calculs 3D'!$E$15-OffsetZ)/Ecran)*'Calculs 3D'!$E$31)),0)</f>
        <v>-1.2242212458016072E-2</v>
      </c>
      <c r="Y34" s="105">
        <f>IF(Body10Actif=TRUE,((((($B34*$X$4)+'Calculs 3D'!$C$15-OffsetX)/Ecran)*'Calculs 3D'!$C$32)+(((($C34*$X$4)+'Calculs 3D'!$D$15-OffsetY)/Ecran)*'Calculs 3D'!$D$32)+(((($D34*$X$4)+'Calculs 3D'!$E$15-OffsetZ)/Ecran)*'Calculs 3D'!$E$32)),0)</f>
        <v>0.3007370152980598</v>
      </c>
    </row>
    <row r="35" spans="2:25" x14ac:dyDescent="0.3">
      <c r="B35" s="102">
        <v>-0.57015169472369887</v>
      </c>
      <c r="C35" s="102">
        <v>0.784746484543699</v>
      </c>
      <c r="D35" s="102">
        <v>0.25</v>
      </c>
      <c r="F35" s="105">
        <f>IF(Body1Actif=TRUE,((((($B35*$F$4)+'Calculs 3D'!$C$6-OffsetX)/Ecran)*'Calculs 3D'!$C$31)+(((($C35*$F$4)+'Calculs 3D'!$D$6-OffsetY)/Ecran)*'Calculs 3D'!$D$31)+(((($D35*$F$4)+'Calculs 3D'!$E$6-OffsetZ)/Ecran)*'Calculs 3D'!$E$31)),0)</f>
        <v>5.0579175247860278E-2</v>
      </c>
      <c r="G35" s="105">
        <f>IF(Body1Actif=TRUE,((((($B35*$F$4)+'Calculs 3D'!$C$6-OffsetX)/Ecran)*'Calculs 3D'!$C$32)+(((($C35*$F$4)+'Calculs 3D'!$D$6-OffsetY)/Ecran)*'Calculs 3D'!$D$32)+(((($D35*$F$4)+'Calculs 3D'!$E$6-OffsetZ)/Ecran)*'Calculs 3D'!$E$32)),0)</f>
        <v>0.26695572046902727</v>
      </c>
      <c r="H35" s="105">
        <f>IF(Body2Actif=TRUE,((((($B35*$H$4)+'Calculs 3D'!$C$7-OffsetX)/Ecran)*'Calculs 3D'!$C$31)+(((($C35*$H$4)+'Calculs 3D'!$D$7-OffsetY)/Ecran)*'Calculs 3D'!$D$31)+(((($D35*$H$4)+'Calculs 3D'!$E$7-OffsetZ)/Ecran)*'Calculs 3D'!$E$31)),0)</f>
        <v>2.5248184344877592E-2</v>
      </c>
      <c r="I35" s="105">
        <f>IF(Body2Actif=TRUE,((((($B35*$H$4)+'Calculs 3D'!$C$7-OffsetX)/Ecran)*'Calculs 3D'!$C$32)+(((($C35*$H$4)+'Calculs 3D'!$D$7-OffsetY)/Ecran)*'Calculs 3D'!$D$32)+(((($D35*$H$4)+'Calculs 3D'!$E$7-OffsetZ)/Ecran)*'Calculs 3D'!$E$32)),0)</f>
        <v>4.2374771557805148E-2</v>
      </c>
      <c r="J35" s="105">
        <f>IF(Body3Actif=TRUE,((((($B35*$J$4)+'Calculs 3D'!$C$8-OffsetX)/Ecran)*'Calculs 3D'!$C$31)+(((($C35*$J$4)+'Calculs 3D'!$D$8-OffsetY)/Ecran)*'Calculs 3D'!$D$31)+(((($D35*$J$4)+'Calculs 3D'!$E$8-OffsetZ)/Ecran)*'Calculs 3D'!$E$31)),0)</f>
        <v>0.218660033872209</v>
      </c>
      <c r="K35" s="105">
        <f>IF(Body3Actif=TRUE,((((($B35*$J$4)+'Calculs 3D'!$C$8-OffsetX)/Ecran)*'Calculs 3D'!$C$32)+(((($C35*$J$4)+'Calculs 3D'!$D$8-OffsetY)/Ecran)*'Calculs 3D'!$D$32)+(((($D35*$J$4)+'Calculs 3D'!$E$8-OffsetZ)/Ecran)*'Calculs 3D'!$E$32)),0)</f>
        <v>-7.5509811616372047E-2</v>
      </c>
      <c r="L35" s="105">
        <f>IF(Body4Actif=TRUE,((((($B35*$L$4)+'Calculs 3D'!$C$9-OffsetX)/Ecran)*'Calculs 3D'!$C$31)+(((($C35*$L$4)+'Calculs 3D'!$D$9-OffsetY)/Ecran)*'Calculs 3D'!$D$31)+(((($D35*$L$4)+'Calculs 3D'!$E$9-OffsetZ)/Ecran)*'Calculs 3D'!$E$31)),0)</f>
        <v>-9.4525992808345352E-2</v>
      </c>
      <c r="M35" s="105">
        <f>IF(Body4Actif=TRUE,((((($B35*$L$4)+'Calculs 3D'!$C$9-OffsetX)/Ecran)*'Calculs 3D'!$C$32)+(((($C35*$L$4)+'Calculs 3D'!$D$9-OffsetY)/Ecran)*'Calculs 3D'!$D$32)+(((($D35*$L$4)+'Calculs 3D'!$E$9-OffsetZ)/Ecran)*'Calculs 3D'!$E$32)),0)</f>
        <v>-0.16514359245916194</v>
      </c>
      <c r="N35" s="105">
        <f>IF(Body5Actif=TRUE,((((($B35*$N$4)+'Calculs 3D'!$C$10-OffsetX)/Ecran)*'Calculs 3D'!$C$31)+(((($C35*$N$4)+'Calculs 3D'!$D$10-OffsetY)/Ecran)*'Calculs 3D'!$D$31)+(((($D35*$N$4)+'Calculs 3D'!$E$10-OffsetZ)/Ecran)*'Calculs 3D'!$E$31)),0)</f>
        <v>8.557340724558507E-4</v>
      </c>
      <c r="O35" s="105">
        <f>IF(Body5Actif=TRUE,((((($B35*$N$4)+'Calculs 3D'!$C$10-OffsetX)/Ecran)*'Calculs 3D'!$C$32)+(((($C35*$N$4)+'Calculs 3D'!$D$10-OffsetY)/Ecran)*'Calculs 3D'!$D$32)+(((($D35*$N$4)+'Calculs 3D'!$E$10-OffsetZ)/Ecran)*'Calculs 3D'!$E$32)),0)</f>
        <v>2.7569331331443129E-3</v>
      </c>
      <c r="P35" s="105">
        <f>IF(Body6Actif=TRUE,((((($B35*$P$4)+'Calculs 3D'!$C$11-OffsetX)/Ecran)*'Calculs 3D'!$C$31)+(((($C35*$P$4)+'Calculs 3D'!$D$11-OffsetY)/Ecran)*'Calculs 3D'!$D$31)+(((($D35*$P$4)+'Calculs 3D'!$E$11-OffsetZ)/Ecran)*'Calculs 3D'!$E$31)),0)</f>
        <v>0.17067673259828417</v>
      </c>
      <c r="Q35" s="105">
        <f>IF(Body6Actif=TRUE,((((($B35*$P$4)+'Calculs 3D'!$C$11-OffsetX)/Ecran)*'Calculs 3D'!$C$32)+(((($C35*$P$4)+'Calculs 3D'!$D$11-OffsetY)/Ecran)*'Calculs 3D'!$D$32)+(((($D35*$P$4)+'Calculs 3D'!$E$11-OffsetZ)/Ecran)*'Calculs 3D'!$E$32)),0)</f>
        <v>0.14426751747636266</v>
      </c>
      <c r="R35" s="105">
        <f>IF(Body7Actif=TRUE,((((($B35*$R$4)+'Calculs 3D'!$C$12-OffsetX)/Ecran)*'Calculs 3D'!$C$31)+(((($C35*$R$4)+'Calculs 3D'!$D$12-OffsetY)/Ecran)*'Calculs 3D'!$D$31)+(((($D35*$R$4)+'Calculs 3D'!$E$12-OffsetZ)/Ecran)*'Calculs 3D'!$E$31)),0)</f>
        <v>-0.28073836751385717</v>
      </c>
      <c r="S35" s="105">
        <f>IF(Body7Actif=TRUE,((((($B35*$R$4)+'Calculs 3D'!$C$12-OffsetX)/Ecran)*'Calculs 3D'!$C$32)+(((($C35*$R$4)+'Calculs 3D'!$D$12-OffsetY)/Ecran)*'Calculs 3D'!$D$32)+(((($D35*$R$4)+'Calculs 3D'!$E$12-OffsetZ)/Ecran)*'Calculs 3D'!$E$32)),0)</f>
        <v>7.3604051460840245E-2</v>
      </c>
      <c r="T35" s="105">
        <f>IF(Body8Actif=TRUE,((((($B35*$T$4)+'Calculs 3D'!$C$13-OffsetX)/Ecran)*'Calculs 3D'!$C$31)+(((($C35*$T$4)+'Calculs 3D'!$D$13-OffsetY)/Ecran)*'Calculs 3D'!$D$31)+(((($D35*$T$4)+'Calculs 3D'!$E$13-OffsetZ)/Ecran)*'Calculs 3D'!$E$31)),0)</f>
        <v>0.16817081081111579</v>
      </c>
      <c r="U35" s="105">
        <f>IF(Body8Actif=TRUE,((((($B35*$T$4)+'Calculs 3D'!$C$13-OffsetX)/Ecran)*'Calculs 3D'!$C$32)+(((($C35*$T$4)+'Calculs 3D'!$D$13-OffsetY)/Ecran)*'Calculs 3D'!$D$32)+(((($D35*$T$4)+'Calculs 3D'!$E$13-OffsetZ)/Ecran)*'Calculs 3D'!$E$32)),0)</f>
        <v>-0.12650997266586111</v>
      </c>
      <c r="V35" s="105">
        <f>IF(Body9Actif=TRUE,((((($B35*$V$4)+'Calculs 3D'!$C$14-OffsetX)/Ecran)*'Calculs 3D'!$C$31)+(((($C35*$V$4)+'Calculs 3D'!$D$14-OffsetY)/Ecran)*'Calculs 3D'!$D$31)+(((($D35*$V$4)+'Calculs 3D'!$E$14-OffsetZ)/Ecran)*'Calculs 3D'!$E$31)),0)</f>
        <v>-0.17765889973758367</v>
      </c>
      <c r="W35" s="105">
        <f>IF(Body9Actif=TRUE,((((($B35*$V$4)+'Calculs 3D'!$C$14-OffsetX)/Ecran)*'Calculs 3D'!$C$32)+(((($C35*$V$4)+'Calculs 3D'!$D$14-OffsetY)/Ecran)*'Calculs 3D'!$D$32)+(((($D35*$V$4)+'Calculs 3D'!$E$14-OffsetZ)/Ecran)*'Calculs 3D'!$E$32)),0)</f>
        <v>0.29430774186938669</v>
      </c>
      <c r="X35" s="105">
        <f>IF(Body10Actif=TRUE,((((($B35*$X$4)+'Calculs 3D'!$C$15-OffsetX)/Ecran)*'Calculs 3D'!$C$31)+(((($C35*$X$4)+'Calculs 3D'!$D$15-OffsetY)/Ecran)*'Calculs 3D'!$D$31)+(((($D35*$X$4)+'Calculs 3D'!$E$15-OffsetZ)/Ecran)*'Calculs 3D'!$E$31)),0)</f>
        <v>-1.5442457044756885E-2</v>
      </c>
      <c r="Y35" s="105">
        <f>IF(Body10Actif=TRUE,((((($B35*$X$4)+'Calculs 3D'!$C$15-OffsetX)/Ecran)*'Calculs 3D'!$C$32)+(((($C35*$X$4)+'Calculs 3D'!$D$15-OffsetY)/Ecran)*'Calculs 3D'!$D$32)+(((($D35*$X$4)+'Calculs 3D'!$E$15-OffsetZ)/Ecran)*'Calculs 3D'!$E$32)),0)</f>
        <v>0.3010490749822422</v>
      </c>
    </row>
    <row r="36" spans="2:25" x14ac:dyDescent="0.3">
      <c r="B36" s="102">
        <v>-0.78474648454369889</v>
      </c>
      <c r="C36" s="102">
        <v>0.57015169472369909</v>
      </c>
      <c r="D36" s="102">
        <v>0.25</v>
      </c>
      <c r="F36" s="105">
        <f>IF(Body1Actif=TRUE,((((($B36*$F$4)+'Calculs 3D'!$C$6-OffsetX)/Ecran)*'Calculs 3D'!$C$31)+(((($C36*$F$4)+'Calculs 3D'!$D$6-OffsetY)/Ecran)*'Calculs 3D'!$D$31)+(((($D36*$F$4)+'Calculs 3D'!$E$6-OffsetZ)/Ecran)*'Calculs 3D'!$E$31)),0)</f>
        <v>4.9447078012180304E-2</v>
      </c>
      <c r="G36" s="105">
        <f>IF(Body1Actif=TRUE,((((($B36*$F$4)+'Calculs 3D'!$C$6-OffsetX)/Ecran)*'Calculs 3D'!$C$32)+(((($C36*$F$4)+'Calculs 3D'!$D$6-OffsetY)/Ecran)*'Calculs 3D'!$D$32)+(((($D36*$F$4)+'Calculs 3D'!$E$6-OffsetZ)/Ecran)*'Calculs 3D'!$E$32)),0)</f>
        <v>0.26684532831109853</v>
      </c>
      <c r="H36" s="105">
        <f>IF(Body2Actif=TRUE,((((($B36*$H$4)+'Calculs 3D'!$C$7-OffsetX)/Ecran)*'Calculs 3D'!$C$31)+(((($C36*$H$4)+'Calculs 3D'!$D$7-OffsetY)/Ecran)*'Calculs 3D'!$D$31)+(((($D36*$H$4)+'Calculs 3D'!$E$7-OffsetZ)/Ecran)*'Calculs 3D'!$E$31)),0)</f>
        <v>2.0835409200261355E-2</v>
      </c>
      <c r="I36" s="105">
        <f>IF(Body2Actif=TRUE,((((($B36*$H$4)+'Calculs 3D'!$C$7-OffsetX)/Ecran)*'Calculs 3D'!$C$32)+(((($C36*$H$4)+'Calculs 3D'!$D$7-OffsetY)/Ecran)*'Calculs 3D'!$D$32)+(((($D36*$H$4)+'Calculs 3D'!$E$7-OffsetZ)/Ecran)*'Calculs 3D'!$E$32)),0)</f>
        <v>4.1944476566071594E-2</v>
      </c>
      <c r="J36" s="105">
        <f>IF(Body3Actif=TRUE,((((($B36*$J$4)+'Calculs 3D'!$C$8-OffsetX)/Ecran)*'Calculs 3D'!$C$31)+(((($C36*$J$4)+'Calculs 3D'!$D$8-OffsetY)/Ecran)*'Calculs 3D'!$D$31)+(((($D36*$J$4)+'Calculs 3D'!$E$8-OffsetZ)/Ecran)*'Calculs 3D'!$E$31)),0)</f>
        <v>0.21669889857417229</v>
      </c>
      <c r="K36" s="105">
        <f>IF(Body3Actif=TRUE,((((($B36*$J$4)+'Calculs 3D'!$C$8-OffsetX)/Ecran)*'Calculs 3D'!$C$32)+(((($C36*$J$4)+'Calculs 3D'!$D$8-OffsetY)/Ecran)*'Calculs 3D'!$D$32)+(((($D36*$J$4)+'Calculs 3D'!$E$8-OffsetZ)/Ecran)*'Calculs 3D'!$E$32)),0)</f>
        <v>-7.5701044269113643E-2</v>
      </c>
      <c r="L36" s="105">
        <f>IF(Body4Actif=TRUE,((((($B36*$L$4)+'Calculs 3D'!$C$9-OffsetX)/Ecran)*'Calculs 3D'!$C$31)+(((($C36*$L$4)+'Calculs 3D'!$D$9-OffsetY)/Ecran)*'Calculs 3D'!$D$31)+(((($D36*$L$4)+'Calculs 3D'!$E$9-OffsetZ)/Ecran)*'Calculs 3D'!$E$31)),0)</f>
        <v>-9.7076042508648638E-2</v>
      </c>
      <c r="M36" s="105">
        <f>IF(Body4Actif=TRUE,((((($B36*$L$4)+'Calculs 3D'!$C$9-OffsetX)/Ecran)*'Calculs 3D'!$C$32)+(((($C36*$L$4)+'Calculs 3D'!$D$9-OffsetY)/Ecran)*'Calculs 3D'!$D$32)+(((($D36*$L$4)+'Calculs 3D'!$E$9-OffsetZ)/Ecran)*'Calculs 3D'!$E$32)),0)</f>
        <v>-0.16539225086090506</v>
      </c>
      <c r="N36" s="105">
        <f>IF(Body5Actif=TRUE,((((($B36*$N$4)+'Calculs 3D'!$C$10-OffsetX)/Ecran)*'Calculs 3D'!$C$31)+(((($C36*$N$4)+'Calculs 3D'!$D$10-OffsetY)/Ecran)*'Calculs 3D'!$D$31)+(((($D36*$N$4)+'Calculs 3D'!$E$10-OffsetZ)/Ecran)*'Calculs 3D'!$E$31)),0)</f>
        <v>-2.0553817618642369E-3</v>
      </c>
      <c r="O36" s="105">
        <f>IF(Body5Actif=TRUE,((((($B36*$N$4)+'Calculs 3D'!$C$10-OffsetX)/Ecran)*'Calculs 3D'!$C$32)+(((($C36*$N$4)+'Calculs 3D'!$D$10-OffsetY)/Ecran)*'Calculs 3D'!$D$32)+(((($D36*$N$4)+'Calculs 3D'!$E$10-OffsetZ)/Ecran)*'Calculs 3D'!$E$32)),0)</f>
        <v>2.473066740044166E-3</v>
      </c>
      <c r="P36" s="105">
        <f>IF(Body6Actif=TRUE,((((($B36*$P$4)+'Calculs 3D'!$C$11-OffsetX)/Ecran)*'Calculs 3D'!$C$31)+(((($C36*$P$4)+'Calculs 3D'!$D$11-OffsetY)/Ecran)*'Calculs 3D'!$D$31)+(((($D36*$P$4)+'Calculs 3D'!$E$11-OffsetZ)/Ecran)*'Calculs 3D'!$E$31)),0)</f>
        <v>0.16645802877141982</v>
      </c>
      <c r="Q36" s="105">
        <f>IF(Body6Actif=TRUE,((((($B36*$P$4)+'Calculs 3D'!$C$11-OffsetX)/Ecran)*'Calculs 3D'!$C$32)+(((($C36*$P$4)+'Calculs 3D'!$D$11-OffsetY)/Ecran)*'Calculs 3D'!$D$32)+(((($D36*$P$4)+'Calculs 3D'!$E$11-OffsetZ)/Ecran)*'Calculs 3D'!$E$32)),0)</f>
        <v>0.14385614661135909</v>
      </c>
      <c r="R36" s="105">
        <f>IF(Body7Actif=TRUE,((((($B36*$R$4)+'Calculs 3D'!$C$12-OffsetX)/Ecran)*'Calculs 3D'!$C$31)+(((($C36*$R$4)+'Calculs 3D'!$D$12-OffsetY)/Ecran)*'Calculs 3D'!$D$31)+(((($D36*$R$4)+'Calculs 3D'!$E$12-OffsetZ)/Ecran)*'Calculs 3D'!$E$31)),0)</f>
        <v>-0.28497505780582055</v>
      </c>
      <c r="S36" s="105">
        <f>IF(Body7Actif=TRUE,((((($B36*$R$4)+'Calculs 3D'!$C$12-OffsetX)/Ecran)*'Calculs 3D'!$C$32)+(((($C36*$R$4)+'Calculs 3D'!$D$12-OffsetY)/Ecran)*'Calculs 3D'!$D$32)+(((($D36*$R$4)+'Calculs 3D'!$E$12-OffsetZ)/Ecran)*'Calculs 3D'!$E$32)),0)</f>
        <v>7.3190926714073554E-2</v>
      </c>
      <c r="T36" s="105">
        <f>IF(Body8Actif=TRUE,((((($B36*$T$4)+'Calculs 3D'!$C$13-OffsetX)/Ecran)*'Calculs 3D'!$C$31)+(((($C36*$T$4)+'Calculs 3D'!$D$13-OffsetY)/Ecran)*'Calculs 3D'!$D$31)+(((($D36*$T$4)+'Calculs 3D'!$E$13-OffsetZ)/Ecran)*'Calculs 3D'!$E$31)),0)</f>
        <v>0.16664280403574139</v>
      </c>
      <c r="U36" s="105">
        <f>IF(Body8Actif=TRUE,((((($B36*$T$4)+'Calculs 3D'!$C$13-OffsetX)/Ecran)*'Calculs 3D'!$C$32)+(((($C36*$T$4)+'Calculs 3D'!$D$13-OffsetY)/Ecran)*'Calculs 3D'!$D$32)+(((($D36*$T$4)+'Calculs 3D'!$E$13-OffsetZ)/Ecran)*'Calculs 3D'!$E$32)),0)</f>
        <v>-0.12665897043738381</v>
      </c>
      <c r="V36" s="105">
        <f>IF(Body9Actif=TRUE,((((($B36*$V$4)+'Calculs 3D'!$C$14-OffsetX)/Ecran)*'Calculs 3D'!$C$31)+(((($C36*$V$4)+'Calculs 3D'!$D$14-OffsetY)/Ecran)*'Calculs 3D'!$D$31)+(((($D36*$V$4)+'Calculs 3D'!$E$14-OffsetZ)/Ecran)*'Calculs 3D'!$E$31)),0)</f>
        <v>-0.17977903349635591</v>
      </c>
      <c r="W36" s="105">
        <f>IF(Body9Actif=TRUE,((((($B36*$V$4)+'Calculs 3D'!$C$14-OffsetX)/Ecran)*'Calculs 3D'!$C$32)+(((($C36*$V$4)+'Calculs 3D'!$D$14-OffsetY)/Ecran)*'Calculs 3D'!$D$32)+(((($D36*$V$4)+'Calculs 3D'!$E$14-OffsetZ)/Ecran)*'Calculs 3D'!$E$32)),0)</f>
        <v>0.29410100508622705</v>
      </c>
      <c r="X36" s="105">
        <f>IF(Body10Actif=TRUE,((((($B36*$X$4)+'Calculs 3D'!$C$15-OffsetX)/Ecran)*'Calculs 3D'!$C$31)+(((($C36*$X$4)+'Calculs 3D'!$D$15-OffsetY)/Ecran)*'Calculs 3D'!$D$31)+(((($D36*$X$4)+'Calculs 3D'!$E$15-OffsetZ)/Ecran)*'Calculs 3D'!$E$31)),0)</f>
        <v>-1.8642701631497727E-2</v>
      </c>
      <c r="Y36" s="105">
        <f>IF(Body10Actif=TRUE,((((($B36*$X$4)+'Calculs 3D'!$C$15-OffsetX)/Ecran)*'Calculs 3D'!$C$32)+(((($C36*$X$4)+'Calculs 3D'!$D$15-OffsetY)/Ecran)*'Calculs 3D'!$D$32)+(((($D36*$X$4)+'Calculs 3D'!$E$15-OffsetZ)/Ecran)*'Calculs 3D'!$E$32)),0)</f>
        <v>0.30073701529805974</v>
      </c>
    </row>
    <row r="37" spans="2:25" x14ac:dyDescent="0.3">
      <c r="B37" s="102">
        <v>-0.92252482080629894</v>
      </c>
      <c r="C37" s="102">
        <v>0.29974648454369907</v>
      </c>
      <c r="D37" s="102">
        <v>0.25</v>
      </c>
      <c r="F37" s="105">
        <f>IF(Body1Actif=TRUE,((((($B37*$F$4)+'Calculs 3D'!$C$6-OffsetX)/Ecran)*'Calculs 3D'!$C$31)+(((($C37*$F$4)+'Calculs 3D'!$D$6-OffsetY)/Ecran)*'Calculs 3D'!$D$31)+(((($D37*$F$4)+'Calculs 3D'!$E$6-OffsetZ)/Ecran)*'Calculs 3D'!$E$31)),0)</f>
        <v>4.8425798341713934E-2</v>
      </c>
      <c r="G37" s="105">
        <f>IF(Body1Actif=TRUE,((((($B37*$F$4)+'Calculs 3D'!$C$6-OffsetX)/Ecran)*'Calculs 3D'!$C$32)+(((($C37*$F$4)+'Calculs 3D'!$D$6-OffsetY)/Ecran)*'Calculs 3D'!$D$32)+(((($D37*$F$4)+'Calculs 3D'!$E$6-OffsetZ)/Ecran)*'Calculs 3D'!$E$32)),0)</f>
        <v>0.26652495779087781</v>
      </c>
      <c r="H37" s="105">
        <f>IF(Body2Actif=TRUE,((((($B37*$H$4)+'Calculs 3D'!$C$7-OffsetX)/Ecran)*'Calculs 3D'!$C$31)+(((($C37*$H$4)+'Calculs 3D'!$D$7-OffsetY)/Ecran)*'Calculs 3D'!$D$31)+(((($D37*$H$4)+'Calculs 3D'!$E$7-OffsetZ)/Ecran)*'Calculs 3D'!$E$31)),0)</f>
        <v>1.6854587232412472E-2</v>
      </c>
      <c r="I37" s="105">
        <f>IF(Body2Actif=TRUE,((((($B37*$H$4)+'Calculs 3D'!$C$7-OffsetX)/Ecran)*'Calculs 3D'!$C$32)+(((($C37*$H$4)+'Calculs 3D'!$D$7-OffsetY)/Ecran)*'Calculs 3D'!$D$32)+(((($D37*$H$4)+'Calculs 3D'!$E$7-OffsetZ)/Ecran)*'Calculs 3D'!$E$32)),0)</f>
        <v>4.06957118627033E-2</v>
      </c>
      <c r="J37" s="105">
        <f>IF(Body3Actif=TRUE,((((($B37*$J$4)+'Calculs 3D'!$C$8-OffsetX)/Ecran)*'Calculs 3D'!$C$31)+(((($C37*$J$4)+'Calculs 3D'!$D$8-OffsetY)/Ecran)*'Calculs 3D'!$D$31)+(((($D37*$J$4)+'Calculs 3D'!$E$8-OffsetZ)/Ecran)*'Calculs 3D'!$E$31)),0)</f>
        <v>0.21492973286314054</v>
      </c>
      <c r="K37" s="105">
        <f>IF(Body3Actif=TRUE,((((($B37*$J$4)+'Calculs 3D'!$C$8-OffsetX)/Ecran)*'Calculs 3D'!$C$32)+(((($C37*$J$4)+'Calculs 3D'!$D$8-OffsetY)/Ecran)*'Calculs 3D'!$D$32)+(((($D37*$J$4)+'Calculs 3D'!$E$8-OffsetZ)/Ecran)*'Calculs 3D'!$E$32)),0)</f>
        <v>-7.6256023042891793E-2</v>
      </c>
      <c r="L37" s="105">
        <f>IF(Body4Actif=TRUE,((((($B37*$L$4)+'Calculs 3D'!$C$9-OffsetX)/Ecran)*'Calculs 3D'!$C$31)+(((($C37*$L$4)+'Calculs 3D'!$D$9-OffsetY)/Ecran)*'Calculs 3D'!$D$31)+(((($D37*$L$4)+'Calculs 3D'!$E$9-OffsetZ)/Ecran)*'Calculs 3D'!$E$31)),0)</f>
        <v>-9.9376475577045237E-2</v>
      </c>
      <c r="M37" s="105">
        <f>IF(Body4Actif=TRUE,((((($B37*$L$4)+'Calculs 3D'!$C$9-OffsetX)/Ecran)*'Calculs 3D'!$C$32)+(((($C37*$L$4)+'Calculs 3D'!$D$9-OffsetY)/Ecran)*'Calculs 3D'!$D$32)+(((($D37*$L$4)+'Calculs 3D'!$E$9-OffsetZ)/Ecran)*'Calculs 3D'!$E$32)),0)</f>
        <v>-0.16611388564926693</v>
      </c>
      <c r="N37" s="105">
        <f>IF(Body5Actif=TRUE,((((($B37*$N$4)+'Calculs 3D'!$C$10-OffsetX)/Ecran)*'Calculs 3D'!$C$31)+(((($C37*$N$4)+'Calculs 3D'!$D$10-OffsetY)/Ecran)*'Calculs 3D'!$D$31)+(((($D37*$N$4)+'Calculs 3D'!$E$10-OffsetZ)/Ecran)*'Calculs 3D'!$E$31)),0)</f>
        <v>-4.6815372953843987E-3</v>
      </c>
      <c r="O37" s="105">
        <f>IF(Body5Actif=TRUE,((((($B37*$N$4)+'Calculs 3D'!$C$10-OffsetX)/Ecran)*'Calculs 3D'!$C$32)+(((($C37*$N$4)+'Calculs 3D'!$D$10-OffsetY)/Ecran)*'Calculs 3D'!$D$32)+(((($D37*$N$4)+'Calculs 3D'!$E$10-OffsetZ)/Ecran)*'Calculs 3D'!$E$32)),0)</f>
        <v>1.6492543811138273E-3</v>
      </c>
      <c r="P37" s="105">
        <f>IF(Body6Actif=TRUE,((((($B37*$P$4)+'Calculs 3D'!$C$11-OffsetX)/Ecran)*'Calculs 3D'!$C$31)+(((($C37*$P$4)+'Calculs 3D'!$D$11-OffsetY)/Ecran)*'Calculs 3D'!$D$31)+(((($D37*$P$4)+'Calculs 3D'!$E$11-OffsetZ)/Ecran)*'Calculs 3D'!$E$31)),0)</f>
        <v>0.16265228106856688</v>
      </c>
      <c r="Q37" s="105">
        <f>IF(Body6Actif=TRUE,((((($B37*$P$4)+'Calculs 3D'!$C$11-OffsetX)/Ecran)*'Calculs 3D'!$C$32)+(((($C37*$P$4)+'Calculs 3D'!$D$11-OffsetY)/Ecran)*'Calculs 3D'!$D$32)+(((($D37*$P$4)+'Calculs 3D'!$E$11-OffsetZ)/Ecran)*'Calculs 3D'!$E$32)),0)</f>
        <v>0.14266230186280437</v>
      </c>
      <c r="R37" s="105">
        <f>IF(Body7Actif=TRUE,((((($B37*$R$4)+'Calculs 3D'!$C$12-OffsetX)/Ecran)*'Calculs 3D'!$C$31)+(((($C37*$R$4)+'Calculs 3D'!$D$12-OffsetY)/Ecran)*'Calculs 3D'!$D$31)+(((($D37*$R$4)+'Calculs 3D'!$E$12-OffsetZ)/Ecran)*'Calculs 3D'!$E$31)),0)</f>
        <v>-0.28879703133324958</v>
      </c>
      <c r="S37" s="105">
        <f>IF(Body7Actif=TRUE,((((($B37*$R$4)+'Calculs 3D'!$C$12-OffsetX)/Ecran)*'Calculs 3D'!$C$32)+(((($C37*$R$4)+'Calculs 3D'!$D$12-OffsetY)/Ecran)*'Calculs 3D'!$D$32)+(((($D37*$R$4)+'Calculs 3D'!$E$12-OffsetZ)/Ecran)*'Calculs 3D'!$E$32)),0)</f>
        <v>7.1991992002396282E-2</v>
      </c>
      <c r="T37" s="105">
        <f>IF(Body8Actif=TRUE,((((($B37*$T$4)+'Calculs 3D'!$C$13-OffsetX)/Ecran)*'Calculs 3D'!$C$31)+(((($C37*$T$4)+'Calculs 3D'!$D$13-OffsetY)/Ecran)*'Calculs 3D'!$D$31)+(((($D37*$T$4)+'Calculs 3D'!$E$13-OffsetZ)/Ecran)*'Calculs 3D'!$E$31)),0)</f>
        <v>0.1652643692097899</v>
      </c>
      <c r="U37" s="105">
        <f>IF(Body8Actif=TRUE,((((($B37*$T$4)+'Calculs 3D'!$C$13-OffsetX)/Ecran)*'Calculs 3D'!$C$32)+(((($C37*$T$4)+'Calculs 3D'!$D$13-OffsetY)/Ecran)*'Calculs 3D'!$D$32)+(((($D37*$T$4)+'Calculs 3D'!$E$13-OffsetZ)/Ecran)*'Calculs 3D'!$E$32)),0)</f>
        <v>-0.12709137881194671</v>
      </c>
      <c r="V37" s="105">
        <f>IF(Body9Actif=TRUE,((((($B37*$V$4)+'Calculs 3D'!$C$14-OffsetX)/Ecran)*'Calculs 3D'!$C$31)+(((($C37*$V$4)+'Calculs 3D'!$D$14-OffsetY)/Ecran)*'Calculs 3D'!$D$31)+(((($D37*$V$4)+'Calculs 3D'!$E$14-OffsetZ)/Ecran)*'Calculs 3D'!$E$31)),0)</f>
        <v>-0.18169163379097897</v>
      </c>
      <c r="W37" s="105">
        <f>IF(Body9Actif=TRUE,((((($B37*$V$4)+'Calculs 3D'!$C$14-OffsetX)/Ecran)*'Calculs 3D'!$C$32)+(((($C37*$V$4)+'Calculs 3D'!$D$14-OffsetY)/Ecran)*'Calculs 3D'!$D$32)+(((($D37*$V$4)+'Calculs 3D'!$E$14-OffsetZ)/Ecran)*'Calculs 3D'!$E$32)),0)</f>
        <v>0.2935010315735036</v>
      </c>
      <c r="X37" s="105">
        <f>IF(Body10Actif=TRUE,((((($B37*$X$4)+'Calculs 3D'!$C$15-OffsetX)/Ecran)*'Calculs 3D'!$C$31)+(((($C37*$X$4)+'Calculs 3D'!$D$15-OffsetY)/Ecran)*'Calculs 3D'!$D$31)+(((($D37*$X$4)+'Calculs 3D'!$E$15-OffsetZ)/Ecran)*'Calculs 3D'!$E$31)),0)</f>
        <v>-2.1529683980673231E-2</v>
      </c>
      <c r="Y37" s="105">
        <f>IF(Body10Actif=TRUE,((((($B37*$X$4)+'Calculs 3D'!$C$15-OffsetX)/Ecran)*'Calculs 3D'!$C$32)+(((($C37*$X$4)+'Calculs 3D'!$D$15-OffsetY)/Ecran)*'Calculs 3D'!$D$32)+(((($D37*$X$4)+'Calculs 3D'!$E$15-OffsetZ)/Ecran)*'Calculs 3D'!$E$32)),0)</f>
        <v>0.29983138282164795</v>
      </c>
    </row>
    <row r="38" spans="2:25" x14ac:dyDescent="0.3">
      <c r="B38" s="102">
        <v>-0.97</v>
      </c>
      <c r="C38" s="102">
        <v>1.1883940012613613E-16</v>
      </c>
      <c r="D38" s="102">
        <v>0.25</v>
      </c>
      <c r="F38" s="105">
        <f>IF(Body1Actif=TRUE,((((($B38*$F$4)+'Calculs 3D'!$C$6-OffsetX)/Ecran)*'Calculs 3D'!$C$31)+(((($C38*$F$4)+'Calculs 3D'!$D$6-OffsetY)/Ecran)*'Calculs 3D'!$D$31)+(((($D38*$F$4)+'Calculs 3D'!$E$6-OffsetZ)/Ecran)*'Calculs 3D'!$E$31)),0)</f>
        <v>4.7615306206280315E-2</v>
      </c>
      <c r="G38" s="105">
        <f>IF(Body1Actif=TRUE,((((($B38*$F$4)+'Calculs 3D'!$C$6-OffsetX)/Ecran)*'Calculs 3D'!$C$32)+(((($C38*$F$4)+'Calculs 3D'!$D$6-OffsetY)/Ecran)*'Calculs 3D'!$D$32)+(((($D38*$F$4)+'Calculs 3D'!$E$6-OffsetZ)/Ecran)*'Calculs 3D'!$E$32)),0)</f>
        <v>0.2660259690070369</v>
      </c>
      <c r="H38" s="105">
        <f>IF(Body2Actif=TRUE,((((($B38*$H$4)+'Calculs 3D'!$C$7-OffsetX)/Ecran)*'Calculs 3D'!$C$31)+(((($C38*$H$4)+'Calculs 3D'!$D$7-OffsetY)/Ecran)*'Calculs 3D'!$D$31)+(((($D38*$H$4)+'Calculs 3D'!$E$7-OffsetZ)/Ecran)*'Calculs 3D'!$E$31)),0)</f>
        <v>1.3695389031561558E-2</v>
      </c>
      <c r="I38" s="105">
        <f>IF(Body2Actif=TRUE,((((($B38*$H$4)+'Calculs 3D'!$C$7-OffsetX)/Ecran)*'Calculs 3D'!$C$32)+(((($C38*$H$4)+'Calculs 3D'!$D$7-OffsetY)/Ecran)*'Calculs 3D'!$D$32)+(((($D38*$H$4)+'Calculs 3D'!$E$7-OffsetZ)/Ecran)*'Calculs 3D'!$E$32)),0)</f>
        <v>3.8750715237521258E-2</v>
      </c>
      <c r="J38" s="105">
        <f>IF(Body3Actif=TRUE,((((($B38*$J$4)+'Calculs 3D'!$C$8-OffsetX)/Ecran)*'Calculs 3D'!$C$31)+(((($C38*$J$4)+'Calculs 3D'!$D$8-OffsetY)/Ecran)*'Calculs 3D'!$D$31)+(((($D38*$J$4)+'Calculs 3D'!$E$8-OffsetZ)/Ecran)*'Calculs 3D'!$E$31)),0)</f>
        <v>0.21352571500541179</v>
      </c>
      <c r="K38" s="105">
        <f>IF(Body3Actif=TRUE,((((($B38*$J$4)+'Calculs 3D'!$C$8-OffsetX)/Ecran)*'Calculs 3D'!$C$32)+(((($C38*$J$4)+'Calculs 3D'!$D$8-OffsetY)/Ecran)*'Calculs 3D'!$D$32)+(((($D38*$J$4)+'Calculs 3D'!$E$8-OffsetZ)/Ecran)*'Calculs 3D'!$E$32)),0)</f>
        <v>-7.7120422748564649E-2</v>
      </c>
      <c r="L38" s="105">
        <f>IF(Body4Actif=TRUE,((((($B38*$L$4)+'Calculs 3D'!$C$9-OffsetX)/Ecran)*'Calculs 3D'!$C$31)+(((($C38*$L$4)+'Calculs 3D'!$D$9-OffsetY)/Ecran)*'Calculs 3D'!$D$31)+(((($D38*$L$4)+'Calculs 3D'!$E$9-OffsetZ)/Ecran)*'Calculs 3D'!$E$31)),0)</f>
        <v>-0.10120210959674084</v>
      </c>
      <c r="M38" s="105">
        <f>IF(Body4Actif=TRUE,((((($B38*$L$4)+'Calculs 3D'!$C$9-OffsetX)/Ecran)*'Calculs 3D'!$C$32)+(((($C38*$L$4)+'Calculs 3D'!$D$9-OffsetY)/Ecran)*'Calculs 3D'!$D$32)+(((($D38*$L$4)+'Calculs 3D'!$E$9-OffsetZ)/Ecran)*'Calculs 3D'!$E$32)),0)</f>
        <v>-0.16723785818323744</v>
      </c>
      <c r="N38" s="105">
        <f>IF(Body5Actif=TRUE,((((($B38*$N$4)+'Calculs 3D'!$C$10-OffsetX)/Ecran)*'Calculs 3D'!$C$31)+(((($C38*$N$4)+'Calculs 3D'!$D$10-OffsetY)/Ecran)*'Calculs 3D'!$D$31)+(((($D38*$N$4)+'Calculs 3D'!$E$10-OffsetZ)/Ecran)*'Calculs 3D'!$E$31)),0)</f>
        <v>-6.765666126982154E-3</v>
      </c>
      <c r="O38" s="105">
        <f>IF(Body5Actif=TRUE,((((($B38*$N$4)+'Calculs 3D'!$C$10-OffsetX)/Ecran)*'Calculs 3D'!$C$32)+(((($C38*$N$4)+'Calculs 3D'!$D$10-OffsetY)/Ecran)*'Calculs 3D'!$D$32)+(((($D38*$N$4)+'Calculs 3D'!$E$10-OffsetZ)/Ecran)*'Calculs 3D'!$E$32)),0)</f>
        <v>3.6613654988361215E-4</v>
      </c>
      <c r="P38" s="105">
        <f>IF(Body6Actif=TRUE,((((($B38*$P$4)+'Calculs 3D'!$C$11-OffsetX)/Ecran)*'Calculs 3D'!$C$31)+(((($C38*$P$4)+'Calculs 3D'!$D$11-OffsetY)/Ecran)*'Calculs 3D'!$D$31)+(((($D38*$P$4)+'Calculs 3D'!$E$11-OffsetZ)/Ecran)*'Calculs 3D'!$E$31)),0)</f>
        <v>0.15963202259108406</v>
      </c>
      <c r="Q38" s="105">
        <f>IF(Body6Actif=TRUE,((((($B38*$P$4)+'Calculs 3D'!$C$11-OffsetX)/Ecran)*'Calculs 3D'!$C$32)+(((($C38*$P$4)+'Calculs 3D'!$D$11-OffsetY)/Ecran)*'Calculs 3D'!$D$32)+(((($D38*$P$4)+'Calculs 3D'!$E$11-OffsetZ)/Ecran)*'Calculs 3D'!$E$32)),0)</f>
        <v>0.14080284507269247</v>
      </c>
      <c r="R38" s="105">
        <f>IF(Body7Actif=TRUE,((((($B38*$R$4)+'Calculs 3D'!$C$12-OffsetX)/Ecran)*'Calculs 3D'!$C$31)+(((($C38*$R$4)+'Calculs 3D'!$D$12-OffsetY)/Ecran)*'Calculs 3D'!$D$31)+(((($D38*$R$4)+'Calculs 3D'!$E$12-OffsetZ)/Ecran)*'Calculs 3D'!$E$31)),0)</f>
        <v>-0.29183016669802403</v>
      </c>
      <c r="S38" s="105">
        <f>IF(Body7Actif=TRUE,((((($B38*$R$4)+'Calculs 3D'!$C$12-OffsetX)/Ecran)*'Calculs 3D'!$C$32)+(((($C38*$R$4)+'Calculs 3D'!$D$12-OffsetY)/Ecran)*'Calculs 3D'!$D$32)+(((($D38*$R$4)+'Calculs 3D'!$E$12-OffsetZ)/Ecran)*'Calculs 3D'!$E$32)),0)</f>
        <v>7.0124607408856801E-2</v>
      </c>
      <c r="T38" s="105">
        <f>IF(Body8Actif=TRUE,((((($B38*$T$4)+'Calculs 3D'!$C$13-OffsetX)/Ecran)*'Calculs 3D'!$C$31)+(((($C38*$T$4)+'Calculs 3D'!$D$13-OffsetY)/Ecran)*'Calculs 3D'!$D$31)+(((($D38*$T$4)+'Calculs 3D'!$E$13-OffsetZ)/Ecran)*'Calculs 3D'!$E$31)),0)</f>
        <v>0.16417043713814555</v>
      </c>
      <c r="U38" s="105">
        <f>IF(Body8Actif=TRUE,((((($B38*$T$4)+'Calculs 3D'!$C$13-OffsetX)/Ecran)*'Calculs 3D'!$C$32)+(((($C38*$T$4)+'Calculs 3D'!$D$13-OffsetY)/Ecran)*'Calculs 3D'!$D$32)+(((($D38*$T$4)+'Calculs 3D'!$E$13-OffsetZ)/Ecran)*'Calculs 3D'!$E$32)),0)</f>
        <v>-0.1277648706450813</v>
      </c>
      <c r="V38" s="105">
        <f>IF(Body9Actif=TRUE,((((($B38*$V$4)+'Calculs 3D'!$C$14-OffsetX)/Ecran)*'Calculs 3D'!$C$31)+(((($C38*$V$4)+'Calculs 3D'!$D$14-OffsetY)/Ecran)*'Calculs 3D'!$D$31)+(((($D38*$V$4)+'Calculs 3D'!$E$14-OffsetZ)/Ecran)*'Calculs 3D'!$E$31)),0)</f>
        <v>-0.18320948197874543</v>
      </c>
      <c r="W38" s="105">
        <f>IF(Body9Actif=TRUE,((((($B38*$V$4)+'Calculs 3D'!$C$14-OffsetX)/Ecran)*'Calculs 3D'!$C$32)+(((($C38*$V$4)+'Calculs 3D'!$D$14-OffsetY)/Ecran)*'Calculs 3D'!$D$32)+(((($D38*$V$4)+'Calculs 3D'!$E$14-OffsetZ)/Ecran)*'Calculs 3D'!$E$32)),0)</f>
        <v>0.29256655091890293</v>
      </c>
      <c r="X38" s="105">
        <f>IF(Body10Actif=TRUE,((((($B38*$X$4)+'Calculs 3D'!$C$15-OffsetX)/Ecran)*'Calculs 3D'!$C$31)+(((($C38*$X$4)+'Calculs 3D'!$D$15-OffsetY)/Ecran)*'Calculs 3D'!$D$31)+(((($D38*$X$4)+'Calculs 3D'!$E$15-OffsetZ)/Ecran)*'Calculs 3D'!$E$31)),0)</f>
        <v>-2.3820806145157303E-2</v>
      </c>
      <c r="Y38" s="105">
        <f>IF(Body10Actif=TRUE,((((($B38*$X$4)+'Calculs 3D'!$C$15-OffsetX)/Ecran)*'Calculs 3D'!$C$32)+(((($C38*$X$4)+'Calculs 3D'!$D$15-OffsetY)/Ecran)*'Calculs 3D'!$D$32)+(((($D38*$X$4)+'Calculs 3D'!$E$15-OffsetZ)/Ecran)*'Calculs 3D'!$E$32)),0)</f>
        <v>0.29842082716971041</v>
      </c>
    </row>
    <row r="39" spans="2:25" x14ac:dyDescent="0.3">
      <c r="B39" s="102">
        <v>-0.92252482080629894</v>
      </c>
      <c r="C39" s="102">
        <v>-0.29974648454369929</v>
      </c>
      <c r="D39" s="102">
        <v>0.25</v>
      </c>
      <c r="F39" s="105">
        <f>IF(Body1Actif=TRUE,((((($B39*$F$4)+'Calculs 3D'!$C$6-OffsetX)/Ecran)*'Calculs 3D'!$C$31)+(((($C39*$F$4)+'Calculs 3D'!$D$6-OffsetY)/Ecran)*'Calculs 3D'!$D$31)+(((($D39*$F$4)+'Calculs 3D'!$E$6-OffsetZ)/Ecran)*'Calculs 3D'!$E$31)),0)</f>
        <v>4.7094938223126402E-2</v>
      </c>
      <c r="G39" s="105">
        <f>IF(Body1Actif=TRUE,((((($B39*$F$4)+'Calculs 3D'!$C$6-OffsetX)/Ecran)*'Calculs 3D'!$C$32)+(((($C39*$F$4)+'Calculs 3D'!$D$6-OffsetY)/Ecran)*'Calculs 3D'!$D$32)+(((($D39*$F$4)+'Calculs 3D'!$E$6-OffsetZ)/Ecran)*'Calculs 3D'!$E$32)),0)</f>
        <v>0.26539720645839743</v>
      </c>
      <c r="H39" s="105">
        <f>IF(Body2Actif=TRUE,((((($B39*$H$4)+'Calculs 3D'!$C$7-OffsetX)/Ecran)*'Calculs 3D'!$C$31)+(((($C39*$H$4)+'Calculs 3D'!$D$7-OffsetY)/Ecran)*'Calculs 3D'!$D$31)+(((($D39*$H$4)+'Calculs 3D'!$E$7-OffsetZ)/Ecran)*'Calculs 3D'!$E$31)),0)</f>
        <v>1.1667058929036054E-2</v>
      </c>
      <c r="I39" s="105">
        <f>IF(Body2Actif=TRUE,((((($B39*$H$4)+'Calculs 3D'!$C$7-OffsetX)/Ecran)*'Calculs 3D'!$C$32)+(((($C39*$H$4)+'Calculs 3D'!$D$7-OffsetY)/Ecran)*'Calculs 3D'!$D$32)+(((($D39*$H$4)+'Calculs 3D'!$E$7-OffsetZ)/Ecran)*'Calculs 3D'!$E$32)),0)</f>
        <v>3.6299876511786622E-2</v>
      </c>
      <c r="J39" s="105">
        <f>IF(Body3Actif=TRUE,((((($B39*$J$4)+'Calculs 3D'!$C$8-OffsetX)/Ecran)*'Calculs 3D'!$C$31)+(((($C39*$J$4)+'Calculs 3D'!$D$8-OffsetY)/Ecran)*'Calculs 3D'!$D$31)+(((($D39*$J$4)+'Calculs 3D'!$E$8-OffsetZ)/Ecran)*'Calculs 3D'!$E$31)),0)</f>
        <v>0.21262428005126821</v>
      </c>
      <c r="K39" s="105">
        <f>IF(Body3Actif=TRUE,((((($B39*$J$4)+'Calculs 3D'!$C$8-OffsetX)/Ecran)*'Calculs 3D'!$C$32)+(((($C39*$J$4)+'Calculs 3D'!$D$8-OffsetY)/Ecran)*'Calculs 3D'!$D$32)+(((($D39*$J$4)+'Calculs 3D'!$E$8-OffsetZ)/Ecran)*'Calculs 3D'!$E$32)),0)</f>
        <v>-7.8209629920314008E-2</v>
      </c>
      <c r="L39" s="105">
        <f>IF(Body4Actif=TRUE,((((($B39*$L$4)+'Calculs 3D'!$C$9-OffsetX)/Ecran)*'Calculs 3D'!$C$31)+(((($C39*$L$4)+'Calculs 3D'!$D$9-OffsetY)/Ecran)*'Calculs 3D'!$D$31)+(((($D39*$L$4)+'Calculs 3D'!$E$9-OffsetZ)/Ecran)*'Calculs 3D'!$E$31)),0)</f>
        <v>-0.10237423878994747</v>
      </c>
      <c r="M39" s="105">
        <f>IF(Body4Actif=TRUE,((((($B39*$L$4)+'Calculs 3D'!$C$9-OffsetX)/Ecran)*'Calculs 3D'!$C$32)+(((($C39*$L$4)+'Calculs 3D'!$D$9-OffsetY)/Ecran)*'Calculs 3D'!$D$32)+(((($D39*$L$4)+'Calculs 3D'!$E$9-OffsetZ)/Ecran)*'Calculs 3D'!$E$32)),0)</f>
        <v>-0.16865414620001443</v>
      </c>
      <c r="N39" s="105">
        <f>IF(Body5Actif=TRUE,((((($B39*$N$4)+'Calculs 3D'!$C$10-OffsetX)/Ecran)*'Calculs 3D'!$C$31)+(((($C39*$N$4)+'Calculs 3D'!$D$10-OffsetY)/Ecran)*'Calculs 3D'!$D$31)+(((($D39*$N$4)+'Calculs 3D'!$E$10-OffsetZ)/Ecran)*'Calculs 3D'!$E$31)),0)</f>
        <v>-8.1037592056412977E-3</v>
      </c>
      <c r="O39" s="105">
        <f>IF(Body5Actif=TRUE,((((($B39*$N$4)+'Calculs 3D'!$C$10-OffsetX)/Ecran)*'Calculs 3D'!$C$32)+(((($C39*$N$4)+'Calculs 3D'!$D$10-OffsetY)/Ecran)*'Calculs 3D'!$D$32)+(((($D39*$N$4)+'Calculs 3D'!$E$10-OffsetZ)/Ecran)*'Calculs 3D'!$E$32)),0)</f>
        <v>-1.2506862403180528E-3</v>
      </c>
      <c r="P39" s="105">
        <f>IF(Body6Actif=TRUE,((((($B39*$P$4)+'Calculs 3D'!$C$11-OffsetX)/Ecran)*'Calculs 3D'!$C$31)+(((($C39*$P$4)+'Calculs 3D'!$D$11-OffsetY)/Ecran)*'Calculs 3D'!$D$31)+(((($D39*$P$4)+'Calculs 3D'!$E$11-OffsetZ)/Ecran)*'Calculs 3D'!$E$31)),0)</f>
        <v>0.15769289728212554</v>
      </c>
      <c r="Q39" s="105">
        <f>IF(Body6Actif=TRUE,((((($B39*$P$4)+'Calculs 3D'!$C$11-OffsetX)/Ecran)*'Calculs 3D'!$C$32)+(((($C39*$P$4)+'Calculs 3D'!$D$11-OffsetY)/Ecran)*'Calculs 3D'!$D$32)+(((($D39*$P$4)+'Calculs 3D'!$E$11-OffsetZ)/Ecran)*'Calculs 3D'!$E$32)),0)</f>
        <v>0.13845979282723681</v>
      </c>
      <c r="R39" s="105">
        <f>IF(Body7Actif=TRUE,((((($B39*$R$4)+'Calculs 3D'!$C$12-OffsetX)/Ecran)*'Calculs 3D'!$C$31)+(((($C39*$R$4)+'Calculs 3D'!$D$12-OffsetY)/Ecran)*'Calculs 3D'!$D$31)+(((($D39*$R$4)+'Calculs 3D'!$E$12-OffsetZ)/Ecran)*'Calculs 3D'!$E$31)),0)</f>
        <v>-0.29377755947754314</v>
      </c>
      <c r="S39" s="105">
        <f>IF(Body7Actif=TRUE,((((($B39*$R$4)+'Calculs 3D'!$C$12-OffsetX)/Ecran)*'Calculs 3D'!$C$32)+(((($C39*$R$4)+'Calculs 3D'!$D$12-OffsetY)/Ecran)*'Calculs 3D'!$D$32)+(((($D39*$R$4)+'Calculs 3D'!$E$12-OffsetZ)/Ecran)*'Calculs 3D'!$E$32)),0)</f>
        <v>6.7771565548304255E-2</v>
      </c>
      <c r="T39" s="105">
        <f>IF(Body8Actif=TRUE,((((($B39*$T$4)+'Calculs 3D'!$C$13-OffsetX)/Ecran)*'Calculs 3D'!$C$31)+(((($C39*$T$4)+'Calculs 3D'!$D$13-OffsetY)/Ecran)*'Calculs 3D'!$D$31)+(((($D39*$T$4)+'Calculs 3D'!$E$13-OffsetZ)/Ecran)*'Calculs 3D'!$E$31)),0)</f>
        <v>0.16346808951385383</v>
      </c>
      <c r="U39" s="105">
        <f>IF(Body8Actif=TRUE,((((($B39*$T$4)+'Calculs 3D'!$C$13-OffsetX)/Ecran)*'Calculs 3D'!$C$32)+(((($C39*$T$4)+'Calculs 3D'!$D$13-OffsetY)/Ecran)*'Calculs 3D'!$D$32)+(((($D39*$T$4)+'Calculs 3D'!$E$13-OffsetZ)/Ecran)*'Calculs 3D'!$E$32)),0)</f>
        <v>-0.1286135198636669</v>
      </c>
      <c r="V39" s="105">
        <f>IF(Body9Actif=TRUE,((((($B39*$V$4)+'Calculs 3D'!$C$14-OffsetX)/Ecran)*'Calculs 3D'!$C$31)+(((($C39*$V$4)+'Calculs 3D'!$D$14-OffsetY)/Ecran)*'Calculs 3D'!$D$31)+(((($D39*$V$4)+'Calculs 3D'!$E$14-OffsetZ)/Ecran)*'Calculs 3D'!$E$31)),0)</f>
        <v>-0.1841840005035664</v>
      </c>
      <c r="W39" s="105">
        <f>IF(Body9Actif=TRUE,((((($B39*$V$4)+'Calculs 3D'!$C$14-OffsetX)/Ecran)*'Calculs 3D'!$C$32)+(((($C39*$V$4)+'Calculs 3D'!$D$14-OffsetY)/Ecran)*'Calculs 3D'!$D$32)+(((($D39*$V$4)+'Calculs 3D'!$E$14-OffsetZ)/Ecran)*'Calculs 3D'!$E$32)),0)</f>
        <v>0.29138903659980697</v>
      </c>
      <c r="X39" s="105">
        <f>IF(Body10Actif=TRUE,((((($B39*$X$4)+'Calculs 3D'!$C$15-OffsetX)/Ecran)*'Calculs 3D'!$C$31)+(((($C39*$X$4)+'Calculs 3D'!$D$15-OffsetY)/Ecran)*'Calculs 3D'!$D$31)+(((($D39*$X$4)+'Calculs 3D'!$E$15-OffsetZ)/Ecran)*'Calculs 3D'!$E$31)),0)</f>
        <v>-2.529179712430342E-2</v>
      </c>
      <c r="Y39" s="105">
        <f>IF(Body10Actif=TRUE,((((($B39*$X$4)+'Calculs 3D'!$C$15-OffsetX)/Ecran)*'Calculs 3D'!$C$32)+(((($C39*$X$4)+'Calculs 3D'!$D$15-OffsetY)/Ecran)*'Calculs 3D'!$D$32)+(((($D39*$X$4)+'Calculs 3D'!$E$15-OffsetZ)/Ecran)*'Calculs 3D'!$E$32)),0)</f>
        <v>0.29664342335737781</v>
      </c>
    </row>
    <row r="40" spans="2:25" x14ac:dyDescent="0.3">
      <c r="B40" s="102">
        <v>-0.78474648454369911</v>
      </c>
      <c r="C40" s="102">
        <v>-0.57015169472369887</v>
      </c>
      <c r="D40" s="102">
        <v>0.25</v>
      </c>
      <c r="F40" s="105">
        <f>IF(Body1Actif=TRUE,((((($B40*$F$4)+'Calculs 3D'!$C$6-OffsetX)/Ecran)*'Calculs 3D'!$C$31)+(((($C40*$F$4)+'Calculs 3D'!$D$6-OffsetY)/Ecran)*'Calculs 3D'!$D$31)+(((($D40*$F$4)+'Calculs 3D'!$E$6-OffsetZ)/Ecran)*'Calculs 3D'!$E$31)),0)</f>
        <v>4.6915631636060287E-2</v>
      </c>
      <c r="G40" s="105">
        <f>IF(Body1Actif=TRUE,((((($B40*$F$4)+'Calculs 3D'!$C$6-OffsetX)/Ecran)*'Calculs 3D'!$C$32)+(((($C40*$F$4)+'Calculs 3D'!$D$6-OffsetY)/Ecran)*'Calculs 3D'!$D$32)+(((($D40*$F$4)+'Calculs 3D'!$E$6-OffsetZ)/Ecran)*'Calculs 3D'!$E$32)),0)</f>
        <v>0.26470021780406661</v>
      </c>
      <c r="H40" s="105">
        <f>IF(Body2Actif=TRUE,((((($B40*$H$4)+'Calculs 3D'!$C$7-OffsetX)/Ecran)*'Calculs 3D'!$C$31)+(((($C40*$H$4)+'Calculs 3D'!$D$7-OffsetY)/Ecran)*'Calculs 3D'!$D$31)+(((($D40*$H$4)+'Calculs 3D'!$E$7-OffsetZ)/Ecran)*'Calculs 3D'!$E$31)),0)</f>
        <v>1.096814400747799E-2</v>
      </c>
      <c r="I40" s="105">
        <f>IF(Body2Actif=TRUE,((((($B40*$H$4)+'Calculs 3D'!$C$7-OffsetX)/Ecran)*'Calculs 3D'!$C$32)+(((($C40*$H$4)+'Calculs 3D'!$D$7-OffsetY)/Ecran)*'Calculs 3D'!$D$32)+(((($D40*$H$4)+'Calculs 3D'!$E$7-OffsetZ)/Ecran)*'Calculs 3D'!$E$32)),0)</f>
        <v>3.3583100855971798E-2</v>
      </c>
      <c r="J40" s="105">
        <f>IF(Body3Actif=TRUE,((((($B40*$J$4)+'Calculs 3D'!$C$8-OffsetX)/Ecran)*'Calculs 3D'!$C$31)+(((($C40*$J$4)+'Calculs 3D'!$D$8-OffsetY)/Ecran)*'Calculs 3D'!$D$31)+(((($D40*$J$4)+'Calculs 3D'!$E$8-OffsetZ)/Ecran)*'Calculs 3D'!$E$31)),0)</f>
        <v>0.21231366673468799</v>
      </c>
      <c r="K40" s="105">
        <f>IF(Body3Actif=TRUE,((((($B40*$J$4)+'Calculs 3D'!$C$8-OffsetX)/Ecran)*'Calculs 3D'!$C$32)+(((($C40*$J$4)+'Calculs 3D'!$D$8-OffsetY)/Ecran)*'Calculs 3D'!$D$32)+(((($D40*$J$4)+'Calculs 3D'!$E$8-OffsetZ)/Ecran)*'Calculs 3D'!$E$32)),0)</f>
        <v>-7.9417025371216504E-2</v>
      </c>
      <c r="L40" s="105">
        <f>IF(Body4Actif=TRUE,((((($B40*$L$4)+'Calculs 3D'!$C$9-OffsetX)/Ecran)*'Calculs 3D'!$C$31)+(((($C40*$L$4)+'Calculs 3D'!$D$9-OffsetY)/Ecran)*'Calculs 3D'!$D$31)+(((($D40*$L$4)+'Calculs 3D'!$E$9-OffsetZ)/Ecran)*'Calculs 3D'!$E$31)),0)</f>
        <v>-0.10277812698452975</v>
      </c>
      <c r="M40" s="105">
        <f>IF(Body4Actif=TRUE,((((($B40*$L$4)+'Calculs 3D'!$C$9-OffsetX)/Ecran)*'Calculs 3D'!$C$32)+(((($C40*$L$4)+'Calculs 3D'!$D$9-OffsetY)/Ecran)*'Calculs 3D'!$D$32)+(((($D40*$L$4)+'Calculs 3D'!$E$9-OffsetZ)/Ecran)*'Calculs 3D'!$E$32)),0)</f>
        <v>-0.17022411356065689</v>
      </c>
      <c r="N40" s="105">
        <f>IF(Body5Actif=TRUE,((((($B40*$N$4)+'Calculs 3D'!$C$10-OffsetX)/Ecran)*'Calculs 3D'!$C$31)+(((($C40*$N$4)+'Calculs 3D'!$D$10-OffsetY)/Ecran)*'Calculs 3D'!$D$31)+(((($D40*$N$4)+'Calculs 3D'!$E$10-OffsetZ)/Ecran)*'Calculs 3D'!$E$31)),0)</f>
        <v>-8.5648346577799819E-3</v>
      </c>
      <c r="O40" s="105">
        <f>IF(Body5Actif=TRUE,((((($B40*$N$4)+'Calculs 3D'!$C$10-OffsetX)/Ecran)*'Calculs 3D'!$C$32)+(((($C40*$N$4)+'Calculs 3D'!$D$10-OffsetY)/Ecran)*'Calculs 3D'!$D$32)+(((($D40*$N$4)+'Calculs 3D'!$E$10-OffsetZ)/Ecran)*'Calculs 3D'!$E$32)),0)</f>
        <v>-3.0429481097194438E-3</v>
      </c>
      <c r="P40" s="105">
        <f>IF(Body6Actif=TRUE,((((($B40*$P$4)+'Calculs 3D'!$C$11-OffsetX)/Ecran)*'Calculs 3D'!$C$31)+(((($C40*$P$4)+'Calculs 3D'!$D$11-OffsetY)/Ecran)*'Calculs 3D'!$D$31)+(((($D40*$P$4)+'Calculs 3D'!$E$11-OffsetZ)/Ecran)*'Calculs 3D'!$E$31)),0)</f>
        <v>0.15702472023761266</v>
      </c>
      <c r="Q40" s="105">
        <f>IF(Body6Actif=TRUE,((((($B40*$P$4)+'Calculs 3D'!$C$11-OffsetX)/Ecran)*'Calculs 3D'!$C$32)+(((($C40*$P$4)+'Calculs 3D'!$D$11-OffsetY)/Ecran)*'Calculs 3D'!$D$32)+(((($D40*$P$4)+'Calculs 3D'!$E$11-OffsetZ)/Ecran)*'Calculs 3D'!$E$32)),0)</f>
        <v>0.13586249940522749</v>
      </c>
      <c r="R40" s="105">
        <f>IF(Body7Actif=TRUE,((((($B40*$R$4)+'Calculs 3D'!$C$12-OffsetX)/Ecran)*'Calculs 3D'!$C$31)+(((($C40*$R$4)+'Calculs 3D'!$D$12-OffsetY)/Ecran)*'Calculs 3D'!$D$31)+(((($D40*$R$4)+'Calculs 3D'!$E$12-OffsetZ)/Ecran)*'Calculs 3D'!$E$31)),0)</f>
        <v>-0.29444858529826412</v>
      </c>
      <c r="S40" s="105">
        <f>IF(Body7Actif=TRUE,((((($B40*$R$4)+'Calculs 3D'!$C$12-OffsetX)/Ecran)*'Calculs 3D'!$C$32)+(((($C40*$R$4)+'Calculs 3D'!$D$12-OffsetY)/Ecran)*'Calculs 3D'!$D$32)+(((($D40*$R$4)+'Calculs 3D'!$E$12-OffsetZ)/Ecran)*'Calculs 3D'!$E$32)),0)</f>
        <v>6.5163198552656162E-2</v>
      </c>
      <c r="T40" s="105">
        <f>IF(Body8Actif=TRUE,((((($B40*$T$4)+'Calculs 3D'!$C$13-OffsetX)/Ecran)*'Calculs 3D'!$C$31)+(((($C40*$T$4)+'Calculs 3D'!$D$13-OffsetY)/Ecran)*'Calculs 3D'!$D$31)+(((($D40*$T$4)+'Calculs 3D'!$E$13-OffsetZ)/Ecran)*'Calculs 3D'!$E$31)),0)</f>
        <v>0.16322607701592406</v>
      </c>
      <c r="U40" s="105">
        <f>IF(Body8Actif=TRUE,((((($B40*$T$4)+'Calculs 3D'!$C$13-OffsetX)/Ecran)*'Calculs 3D'!$C$32)+(((($C40*$T$4)+'Calculs 3D'!$D$13-OffsetY)/Ecran)*'Calculs 3D'!$D$32)+(((($D40*$T$4)+'Calculs 3D'!$E$13-OffsetZ)/Ecran)*'Calculs 3D'!$E$32)),0)</f>
        <v>-0.12955425476930149</v>
      </c>
      <c r="V40" s="105">
        <f>IF(Body9Actif=TRUE,((((($B40*$V$4)+'Calculs 3D'!$C$14-OffsetX)/Ecran)*'Calculs 3D'!$C$31)+(((($C40*$V$4)+'Calculs 3D'!$D$14-OffsetY)/Ecran)*'Calculs 3D'!$D$31)+(((($D40*$V$4)+'Calculs 3D'!$E$14-OffsetZ)/Ecran)*'Calculs 3D'!$E$31)),0)</f>
        <v>-0.18451979670236271</v>
      </c>
      <c r="W40" s="105">
        <f>IF(Body9Actif=TRUE,((((($B40*$V$4)+'Calculs 3D'!$C$14-OffsetX)/Ecran)*'Calculs 3D'!$C$32)+(((($C40*$V$4)+'Calculs 3D'!$D$14-OffsetY)/Ecran)*'Calculs 3D'!$D$32)+(((($D40*$V$4)+'Calculs 3D'!$E$14-OffsetZ)/Ecran)*'Calculs 3D'!$E$32)),0)</f>
        <v>0.29008375192199354</v>
      </c>
      <c r="X40" s="105">
        <f>IF(Body10Actif=TRUE,((((($B40*$X$4)+'Calculs 3D'!$C$15-OffsetX)/Ecran)*'Calculs 3D'!$C$31)+(((($C40*$X$4)+'Calculs 3D'!$D$15-OffsetY)/Ecran)*'Calculs 3D'!$D$31)+(((($D40*$X$4)+'Calculs 3D'!$E$15-OffsetZ)/Ecran)*'Calculs 3D'!$E$31)),0)</f>
        <v>-2.5798666072075982E-2</v>
      </c>
      <c r="Y40" s="105">
        <f>IF(Body10Actif=TRUE,((((($B40*$X$4)+'Calculs 3D'!$C$15-OffsetX)/Ecran)*'Calculs 3D'!$C$32)+(((($C40*$X$4)+'Calculs 3D'!$D$15-OffsetY)/Ecran)*'Calculs 3D'!$D$32)+(((($D40*$X$4)+'Calculs 3D'!$E$15-OffsetZ)/Ecran)*'Calculs 3D'!$E$32)),0)</f>
        <v>0.29467315605370203</v>
      </c>
    </row>
    <row r="41" spans="2:25" x14ac:dyDescent="0.3">
      <c r="B41" s="102">
        <v>-0.57015169472369909</v>
      </c>
      <c r="C41" s="102">
        <v>-0.78474648454369889</v>
      </c>
      <c r="D41" s="102">
        <v>0.25</v>
      </c>
      <c r="F41" s="105">
        <f>IF(Body1Actif=TRUE,((((($B41*$F$4)+'Calculs 3D'!$C$6-OffsetX)/Ecran)*'Calculs 3D'!$C$31)+(((($C41*$F$4)+'Calculs 3D'!$D$6-OffsetY)/Ecran)*'Calculs 3D'!$D$31)+(((($D41*$F$4)+'Calculs 3D'!$E$6-OffsetZ)/Ecran)*'Calculs 3D'!$E$31)),0)</f>
        <v>4.7094938223126395E-2</v>
      </c>
      <c r="G41" s="105">
        <f>IF(Body1Actif=TRUE,((((($B41*$F$4)+'Calculs 3D'!$C$6-OffsetX)/Ecran)*'Calculs 3D'!$C$32)+(((($C41*$F$4)+'Calculs 3D'!$D$6-OffsetY)/Ecran)*'Calculs 3D'!$D$32)+(((($D41*$F$4)+'Calculs 3D'!$E$6-OffsetZ)/Ecran)*'Calculs 3D'!$E$32)),0)</f>
        <v>0.26400322914973579</v>
      </c>
      <c r="H41" s="105">
        <f>IF(Body2Actif=TRUE,((((($B41*$H$4)+'Calculs 3D'!$C$7-OffsetX)/Ecran)*'Calculs 3D'!$C$31)+(((($C41*$H$4)+'Calculs 3D'!$D$7-OffsetY)/Ecran)*'Calculs 3D'!$D$31)+(((($D41*$H$4)+'Calculs 3D'!$E$7-OffsetZ)/Ecran)*'Calculs 3D'!$E$31)),0)</f>
        <v>1.1667058929036057E-2</v>
      </c>
      <c r="I41" s="105">
        <f>IF(Body2Actif=TRUE,((((($B41*$H$4)+'Calculs 3D'!$C$7-OffsetX)/Ecran)*'Calculs 3D'!$C$32)+(((($C41*$H$4)+'Calculs 3D'!$D$7-OffsetY)/Ecran)*'Calculs 3D'!$D$32)+(((($D41*$H$4)+'Calculs 3D'!$E$7-OffsetZ)/Ecran)*'Calculs 3D'!$E$32)),0)</f>
        <v>3.0866325200156974E-2</v>
      </c>
      <c r="J41" s="105">
        <f>IF(Body3Actif=TRUE,((((($B41*$J$4)+'Calculs 3D'!$C$8-OffsetX)/Ecran)*'Calculs 3D'!$C$31)+(((($C41*$J$4)+'Calculs 3D'!$D$8-OffsetY)/Ecran)*'Calculs 3D'!$D$31)+(((($D41*$J$4)+'Calculs 3D'!$E$8-OffsetZ)/Ecran)*'Calculs 3D'!$E$31)),0)</f>
        <v>0.21262428005126821</v>
      </c>
      <c r="K41" s="105">
        <f>IF(Body3Actif=TRUE,((((($B41*$J$4)+'Calculs 3D'!$C$8-OffsetX)/Ecran)*'Calculs 3D'!$C$32)+(((($C41*$J$4)+'Calculs 3D'!$D$8-OffsetY)/Ecran)*'Calculs 3D'!$D$32)+(((($D41*$J$4)+'Calculs 3D'!$E$8-OffsetZ)/Ecran)*'Calculs 3D'!$E$32)),0)</f>
        <v>-8.0624420822118986E-2</v>
      </c>
      <c r="L41" s="105">
        <f>IF(Body4Actif=TRUE,((((($B41*$L$4)+'Calculs 3D'!$C$9-OffsetX)/Ecran)*'Calculs 3D'!$C$31)+(((($C41*$L$4)+'Calculs 3D'!$D$9-OffsetY)/Ecran)*'Calculs 3D'!$D$31)+(((($D41*$L$4)+'Calculs 3D'!$E$9-OffsetZ)/Ecran)*'Calculs 3D'!$E$31)),0)</f>
        <v>-0.10237423878994746</v>
      </c>
      <c r="M41" s="105">
        <f>IF(Body4Actif=TRUE,((((($B41*$L$4)+'Calculs 3D'!$C$9-OffsetX)/Ecran)*'Calculs 3D'!$C$32)+(((($C41*$L$4)+'Calculs 3D'!$D$9-OffsetY)/Ecran)*'Calculs 3D'!$D$32)+(((($D41*$L$4)+'Calculs 3D'!$E$9-OffsetZ)/Ecran)*'Calculs 3D'!$E$32)),0)</f>
        <v>-0.17179408092129939</v>
      </c>
      <c r="N41" s="105">
        <f>IF(Body5Actif=TRUE,((((($B41*$N$4)+'Calculs 3D'!$C$10-OffsetX)/Ecran)*'Calculs 3D'!$C$31)+(((($C41*$N$4)+'Calculs 3D'!$D$10-OffsetY)/Ecran)*'Calculs 3D'!$D$31)+(((($D41*$N$4)+'Calculs 3D'!$E$10-OffsetZ)/Ecran)*'Calculs 3D'!$E$31)),0)</f>
        <v>-8.1037592056412977E-3</v>
      </c>
      <c r="O41" s="105">
        <f>IF(Body5Actif=TRUE,((((($B41*$N$4)+'Calculs 3D'!$C$10-OffsetX)/Ecran)*'Calculs 3D'!$C$32)+(((($C41*$N$4)+'Calculs 3D'!$D$10-OffsetY)/Ecran)*'Calculs 3D'!$D$32)+(((($D41*$N$4)+'Calculs 3D'!$E$10-OffsetZ)/Ecran)*'Calculs 3D'!$E$32)),0)</f>
        <v>-4.8352099791208365E-3</v>
      </c>
      <c r="P41" s="105">
        <f>IF(Body6Actif=TRUE,((((($B41*$P$4)+'Calculs 3D'!$C$11-OffsetX)/Ecran)*'Calculs 3D'!$C$31)+(((($C41*$P$4)+'Calculs 3D'!$D$11-OffsetY)/Ecran)*'Calculs 3D'!$D$31)+(((($D41*$P$4)+'Calculs 3D'!$E$11-OffsetZ)/Ecran)*'Calculs 3D'!$E$31)),0)</f>
        <v>0.15769289728212554</v>
      </c>
      <c r="Q41" s="105">
        <f>IF(Body6Actif=TRUE,((((($B41*$P$4)+'Calculs 3D'!$C$11-OffsetX)/Ecran)*'Calculs 3D'!$C$32)+(((($C41*$P$4)+'Calculs 3D'!$D$11-OffsetY)/Ecran)*'Calculs 3D'!$D$32)+(((($D41*$P$4)+'Calculs 3D'!$E$11-OffsetZ)/Ecran)*'Calculs 3D'!$E$32)),0)</f>
        <v>0.13326520598321817</v>
      </c>
      <c r="R41" s="105">
        <f>IF(Body7Actif=TRUE,((((($B41*$R$4)+'Calculs 3D'!$C$12-OffsetX)/Ecran)*'Calculs 3D'!$C$31)+(((($C41*$R$4)+'Calculs 3D'!$D$12-OffsetY)/Ecran)*'Calculs 3D'!$D$31)+(((($D41*$R$4)+'Calculs 3D'!$E$12-OffsetZ)/Ecran)*'Calculs 3D'!$E$31)),0)</f>
        <v>-0.29377755947754314</v>
      </c>
      <c r="S41" s="105">
        <f>IF(Body7Actif=TRUE,((((($B41*$R$4)+'Calculs 3D'!$C$12-OffsetX)/Ecran)*'Calculs 3D'!$C$32)+(((($C41*$R$4)+'Calculs 3D'!$D$12-OffsetY)/Ecran)*'Calculs 3D'!$D$32)+(((($D41*$R$4)+'Calculs 3D'!$E$12-OffsetZ)/Ecran)*'Calculs 3D'!$E$32)),0)</f>
        <v>6.2554831557008098E-2</v>
      </c>
      <c r="T41" s="105">
        <f>IF(Body8Actif=TRUE,((((($B41*$T$4)+'Calculs 3D'!$C$13-OffsetX)/Ecran)*'Calculs 3D'!$C$31)+(((($C41*$T$4)+'Calculs 3D'!$D$13-OffsetY)/Ecran)*'Calculs 3D'!$D$31)+(((($D41*$T$4)+'Calculs 3D'!$E$13-OffsetZ)/Ecran)*'Calculs 3D'!$E$31)),0)</f>
        <v>0.16346808951385386</v>
      </c>
      <c r="U41" s="105">
        <f>IF(Body8Actif=TRUE,((((($B41*$T$4)+'Calculs 3D'!$C$13-OffsetX)/Ecran)*'Calculs 3D'!$C$32)+(((($C41*$T$4)+'Calculs 3D'!$D$13-OffsetY)/Ecran)*'Calculs 3D'!$D$32)+(((($D41*$T$4)+'Calculs 3D'!$E$13-OffsetZ)/Ecran)*'Calculs 3D'!$E$32)),0)</f>
        <v>-0.13049498967493606</v>
      </c>
      <c r="V41" s="105">
        <f>IF(Body9Actif=TRUE,((((($B41*$V$4)+'Calculs 3D'!$C$14-OffsetX)/Ecran)*'Calculs 3D'!$C$31)+(((($C41*$V$4)+'Calculs 3D'!$D$14-OffsetY)/Ecran)*'Calculs 3D'!$D$31)+(((($D41*$V$4)+'Calculs 3D'!$E$14-OffsetZ)/Ecran)*'Calculs 3D'!$E$31)),0)</f>
        <v>-0.1841840005035664</v>
      </c>
      <c r="W41" s="105">
        <f>IF(Body9Actif=TRUE,((((($B41*$V$4)+'Calculs 3D'!$C$14-OffsetX)/Ecran)*'Calculs 3D'!$C$32)+(((($C41*$V$4)+'Calculs 3D'!$D$14-OffsetY)/Ecran)*'Calculs 3D'!$D$32)+(((($D41*$V$4)+'Calculs 3D'!$E$14-OffsetZ)/Ecran)*'Calculs 3D'!$E$32)),0)</f>
        <v>0.2887784672441801</v>
      </c>
      <c r="X41" s="105">
        <f>IF(Body10Actif=TRUE,((((($B41*$X$4)+'Calculs 3D'!$C$15-OffsetX)/Ecran)*'Calculs 3D'!$C$31)+(((($C41*$X$4)+'Calculs 3D'!$D$15-OffsetY)/Ecran)*'Calculs 3D'!$D$31)+(((($D41*$X$4)+'Calculs 3D'!$E$15-OffsetZ)/Ecran)*'Calculs 3D'!$E$31)),0)</f>
        <v>-2.5291797124303406E-2</v>
      </c>
      <c r="Y41" s="105">
        <f>IF(Body10Actif=TRUE,((((($B41*$X$4)+'Calculs 3D'!$C$15-OffsetX)/Ecran)*'Calculs 3D'!$C$32)+(((($C41*$X$4)+'Calculs 3D'!$D$15-OffsetY)/Ecran)*'Calculs 3D'!$D$32)+(((($D41*$X$4)+'Calculs 3D'!$E$15-OffsetZ)/Ecran)*'Calculs 3D'!$E$32)),0)</f>
        <v>0.2927028887500262</v>
      </c>
    </row>
    <row r="42" spans="2:25" x14ac:dyDescent="0.3">
      <c r="B42" s="102">
        <v>-0.29974648454369912</v>
      </c>
      <c r="C42" s="102">
        <v>-0.92252482080629894</v>
      </c>
      <c r="D42" s="102">
        <v>0.25</v>
      </c>
      <c r="F42" s="105">
        <f>IF(Body1Actif=TRUE,((((($B42*$F$4)+'Calculs 3D'!$C$6-OffsetX)/Ecran)*'Calculs 3D'!$C$31)+(((($C42*$F$4)+'Calculs 3D'!$D$6-OffsetY)/Ecran)*'Calculs 3D'!$D$31)+(((($D42*$F$4)+'Calculs 3D'!$E$6-OffsetZ)/Ecran)*'Calculs 3D'!$E$31)),0)</f>
        <v>4.7615306206280308E-2</v>
      </c>
      <c r="G42" s="105">
        <f>IF(Body1Actif=TRUE,((((($B42*$F$4)+'Calculs 3D'!$C$6-OffsetX)/Ecran)*'Calculs 3D'!$C$32)+(((($C42*$F$4)+'Calculs 3D'!$D$6-OffsetY)/Ecran)*'Calculs 3D'!$D$32)+(((($D42*$F$4)+'Calculs 3D'!$E$6-OffsetZ)/Ecran)*'Calculs 3D'!$E$32)),0)</f>
        <v>0.26337446660109637</v>
      </c>
      <c r="H42" s="105">
        <f>IF(Body2Actif=TRUE,((((($B42*$H$4)+'Calculs 3D'!$C$7-OffsetX)/Ecran)*'Calculs 3D'!$C$31)+(((($C42*$H$4)+'Calculs 3D'!$D$7-OffsetY)/Ecran)*'Calculs 3D'!$D$31)+(((($D42*$H$4)+'Calculs 3D'!$E$7-OffsetZ)/Ecran)*'Calculs 3D'!$E$31)),0)</f>
        <v>1.3695389031561554E-2</v>
      </c>
      <c r="I42" s="105">
        <f>IF(Body2Actif=TRUE,((((($B42*$H$4)+'Calculs 3D'!$C$7-OffsetX)/Ecran)*'Calculs 3D'!$C$32)+(((($C42*$H$4)+'Calculs 3D'!$D$7-OffsetY)/Ecran)*'Calculs 3D'!$D$32)+(((($D42*$H$4)+'Calculs 3D'!$E$7-OffsetZ)/Ecran)*'Calculs 3D'!$E$32)),0)</f>
        <v>2.8415486474422342E-2</v>
      </c>
      <c r="J42" s="105">
        <f>IF(Body3Actif=TRUE,((((($B42*$J$4)+'Calculs 3D'!$C$8-OffsetX)/Ecran)*'Calculs 3D'!$C$31)+(((($C42*$J$4)+'Calculs 3D'!$D$8-OffsetY)/Ecran)*'Calculs 3D'!$D$31)+(((($D42*$J$4)+'Calculs 3D'!$E$8-OffsetZ)/Ecran)*'Calculs 3D'!$E$31)),0)</f>
        <v>0.21352571500541179</v>
      </c>
      <c r="K42" s="105">
        <f>IF(Body3Actif=TRUE,((((($B42*$J$4)+'Calculs 3D'!$C$8-OffsetX)/Ecran)*'Calculs 3D'!$C$32)+(((($C42*$J$4)+'Calculs 3D'!$D$8-OffsetY)/Ecran)*'Calculs 3D'!$D$32)+(((($D42*$J$4)+'Calculs 3D'!$E$8-OffsetZ)/Ecran)*'Calculs 3D'!$E$32)),0)</f>
        <v>-8.1713627993868374E-2</v>
      </c>
      <c r="L42" s="105">
        <f>IF(Body4Actif=TRUE,((((($B42*$L$4)+'Calculs 3D'!$C$9-OffsetX)/Ecran)*'Calculs 3D'!$C$31)+(((($C42*$L$4)+'Calculs 3D'!$D$9-OffsetY)/Ecran)*'Calculs 3D'!$D$31)+(((($D42*$L$4)+'Calculs 3D'!$E$9-OffsetZ)/Ecran)*'Calculs 3D'!$E$31)),0)</f>
        <v>-0.10120210959674084</v>
      </c>
      <c r="M42" s="105">
        <f>IF(Body4Actif=TRUE,((((($B42*$L$4)+'Calculs 3D'!$C$9-OffsetX)/Ecran)*'Calculs 3D'!$C$32)+(((($C42*$L$4)+'Calculs 3D'!$D$9-OffsetY)/Ecran)*'Calculs 3D'!$D$32)+(((($D42*$L$4)+'Calculs 3D'!$E$9-OffsetZ)/Ecran)*'Calculs 3D'!$E$32)),0)</f>
        <v>-0.17321036893807634</v>
      </c>
      <c r="N42" s="105">
        <f>IF(Body5Actif=TRUE,((((($B42*$N$4)+'Calculs 3D'!$C$10-OffsetX)/Ecran)*'Calculs 3D'!$C$31)+(((($C42*$N$4)+'Calculs 3D'!$D$10-OffsetY)/Ecran)*'Calculs 3D'!$D$31)+(((($D42*$N$4)+'Calculs 3D'!$E$10-OffsetZ)/Ecran)*'Calculs 3D'!$E$31)),0)</f>
        <v>-6.7656661269821575E-3</v>
      </c>
      <c r="O42" s="105">
        <f>IF(Body5Actif=TRUE,((((($B42*$N$4)+'Calculs 3D'!$C$10-OffsetX)/Ecran)*'Calculs 3D'!$C$32)+(((($C42*$N$4)+'Calculs 3D'!$D$10-OffsetY)/Ecran)*'Calculs 3D'!$D$32)+(((($D42*$N$4)+'Calculs 3D'!$E$10-OffsetZ)/Ecran)*'Calculs 3D'!$E$32)),0)</f>
        <v>-6.4520327693224997E-3</v>
      </c>
      <c r="P42" s="105">
        <f>IF(Body6Actif=TRUE,((((($B42*$P$4)+'Calculs 3D'!$C$11-OffsetX)/Ecran)*'Calculs 3D'!$C$31)+(((($C42*$P$4)+'Calculs 3D'!$D$11-OffsetY)/Ecran)*'Calculs 3D'!$D$31)+(((($D42*$P$4)+'Calculs 3D'!$E$11-OffsetZ)/Ecran)*'Calculs 3D'!$E$31)),0)</f>
        <v>0.15963202259108406</v>
      </c>
      <c r="Q42" s="105">
        <f>IF(Body6Actif=TRUE,((((($B42*$P$4)+'Calculs 3D'!$C$11-OffsetX)/Ecran)*'Calculs 3D'!$C$32)+(((($C42*$P$4)+'Calculs 3D'!$D$11-OffsetY)/Ecran)*'Calculs 3D'!$D$32)+(((($D42*$P$4)+'Calculs 3D'!$E$11-OffsetZ)/Ecran)*'Calculs 3D'!$E$32)),0)</f>
        <v>0.1309221537377625</v>
      </c>
      <c r="R42" s="105">
        <f>IF(Body7Actif=TRUE,((((($B42*$R$4)+'Calculs 3D'!$C$12-OffsetX)/Ecran)*'Calculs 3D'!$C$31)+(((($C42*$R$4)+'Calculs 3D'!$D$12-OffsetY)/Ecran)*'Calculs 3D'!$D$31)+(((($D42*$R$4)+'Calculs 3D'!$E$12-OffsetZ)/Ecran)*'Calculs 3D'!$E$31)),0)</f>
        <v>-0.29183016669802403</v>
      </c>
      <c r="S42" s="105">
        <f>IF(Body7Actif=TRUE,((((($B42*$R$4)+'Calculs 3D'!$C$12-OffsetX)/Ecran)*'Calculs 3D'!$C$32)+(((($C42*$R$4)+'Calculs 3D'!$D$12-OffsetY)/Ecran)*'Calculs 3D'!$D$32)+(((($D42*$R$4)+'Calculs 3D'!$E$12-OffsetZ)/Ecran)*'Calculs 3D'!$E$32)),0)</f>
        <v>6.0201789696455538E-2</v>
      </c>
      <c r="T42" s="105">
        <f>IF(Body8Actif=TRUE,((((($B42*$T$4)+'Calculs 3D'!$C$13-OffsetX)/Ecran)*'Calculs 3D'!$C$31)+(((($C42*$T$4)+'Calculs 3D'!$D$13-OffsetY)/Ecran)*'Calculs 3D'!$D$31)+(((($D42*$T$4)+'Calculs 3D'!$E$13-OffsetZ)/Ecran)*'Calculs 3D'!$E$31)),0)</f>
        <v>0.16417043713814555</v>
      </c>
      <c r="U42" s="105">
        <f>IF(Body8Actif=TRUE,((((($B42*$T$4)+'Calculs 3D'!$C$13-OffsetX)/Ecran)*'Calculs 3D'!$C$32)+(((($C42*$T$4)+'Calculs 3D'!$D$13-OffsetY)/Ecran)*'Calculs 3D'!$D$32)+(((($D42*$T$4)+'Calculs 3D'!$E$13-OffsetZ)/Ecran)*'Calculs 3D'!$E$32)),0)</f>
        <v>-0.13134363889352163</v>
      </c>
      <c r="V42" s="105">
        <f>IF(Body9Actif=TRUE,((((($B42*$V$4)+'Calculs 3D'!$C$14-OffsetX)/Ecran)*'Calculs 3D'!$C$31)+(((($C42*$V$4)+'Calculs 3D'!$D$14-OffsetY)/Ecran)*'Calculs 3D'!$D$31)+(((($D42*$V$4)+'Calculs 3D'!$E$14-OffsetZ)/Ecran)*'Calculs 3D'!$E$31)),0)</f>
        <v>-0.1832094819787454</v>
      </c>
      <c r="W42" s="105">
        <f>IF(Body9Actif=TRUE,((((($B42*$V$4)+'Calculs 3D'!$C$14-OffsetX)/Ecran)*'Calculs 3D'!$C$32)+(((($C42*$V$4)+'Calculs 3D'!$D$14-OffsetY)/Ecran)*'Calculs 3D'!$D$32)+(((($D42*$V$4)+'Calculs 3D'!$E$14-OffsetZ)/Ecran)*'Calculs 3D'!$E$32)),0)</f>
        <v>0.2876009529250842</v>
      </c>
      <c r="X42" s="105">
        <f>IF(Body10Actif=TRUE,((((($B42*$X$4)+'Calculs 3D'!$C$15-OffsetX)/Ecran)*'Calculs 3D'!$C$31)+(((($C42*$X$4)+'Calculs 3D'!$D$15-OffsetY)/Ecran)*'Calculs 3D'!$D$31)+(((($D42*$X$4)+'Calculs 3D'!$E$15-OffsetZ)/Ecran)*'Calculs 3D'!$E$31)),0)</f>
        <v>-2.3820806145157275E-2</v>
      </c>
      <c r="Y42" s="105">
        <f>IF(Body10Actif=TRUE,((((($B42*$X$4)+'Calculs 3D'!$C$15-OffsetX)/Ecran)*'Calculs 3D'!$C$32)+(((($C42*$X$4)+'Calculs 3D'!$D$15-OffsetY)/Ecran)*'Calculs 3D'!$D$32)+(((($D42*$X$4)+'Calculs 3D'!$E$15-OffsetZ)/Ecran)*'Calculs 3D'!$E$32)),0)</f>
        <v>0.29092548493769371</v>
      </c>
    </row>
    <row r="43" spans="2:25" x14ac:dyDescent="0.3">
      <c r="B43" s="102">
        <v>-1.782591001892042E-16</v>
      </c>
      <c r="C43" s="102">
        <v>-0.97</v>
      </c>
      <c r="D43" s="102">
        <v>0.25</v>
      </c>
      <c r="F43" s="105">
        <f>IF(Body1Actif=TRUE,((((($B43*$F$4)+'Calculs 3D'!$C$6-OffsetX)/Ecran)*'Calculs 3D'!$C$31)+(((($C43*$F$4)+'Calculs 3D'!$D$6-OffsetY)/Ecran)*'Calculs 3D'!$D$31)+(((($D43*$F$4)+'Calculs 3D'!$E$6-OffsetZ)/Ecran)*'Calculs 3D'!$E$31)),0)</f>
        <v>4.8425798341713948E-2</v>
      </c>
      <c r="G43" s="105">
        <f>IF(Body1Actif=TRUE,((((($B43*$F$4)+'Calculs 3D'!$C$6-OffsetX)/Ecran)*'Calculs 3D'!$C$32)+(((($C43*$F$4)+'Calculs 3D'!$D$6-OffsetY)/Ecran)*'Calculs 3D'!$D$32)+(((($D43*$F$4)+'Calculs 3D'!$E$6-OffsetZ)/Ecran)*'Calculs 3D'!$E$32)),0)</f>
        <v>0.26287547781725545</v>
      </c>
      <c r="H43" s="105">
        <f>IF(Body2Actif=TRUE,((((($B43*$H$4)+'Calculs 3D'!$C$7-OffsetX)/Ecran)*'Calculs 3D'!$C$31)+(((($C43*$H$4)+'Calculs 3D'!$D$7-OffsetY)/Ecran)*'Calculs 3D'!$D$31)+(((($D43*$H$4)+'Calculs 3D'!$E$7-OffsetZ)/Ecran)*'Calculs 3D'!$E$31)),0)</f>
        <v>1.6854587232412468E-2</v>
      </c>
      <c r="I43" s="105">
        <f>IF(Body2Actif=TRUE,((((($B43*$H$4)+'Calculs 3D'!$C$7-OffsetX)/Ecran)*'Calculs 3D'!$C$32)+(((($C43*$H$4)+'Calculs 3D'!$D$7-OffsetY)/Ecran)*'Calculs 3D'!$D$32)+(((($D43*$H$4)+'Calculs 3D'!$E$7-OffsetZ)/Ecran)*'Calculs 3D'!$E$32)),0)</f>
        <v>2.6470489849240303E-2</v>
      </c>
      <c r="J43" s="105">
        <f>IF(Body3Actif=TRUE,((((($B43*$J$4)+'Calculs 3D'!$C$8-OffsetX)/Ecran)*'Calculs 3D'!$C$31)+(((($C43*$J$4)+'Calculs 3D'!$D$8-OffsetY)/Ecran)*'Calculs 3D'!$D$31)+(((($D43*$J$4)+'Calculs 3D'!$E$8-OffsetZ)/Ecran)*'Calculs 3D'!$E$31)),0)</f>
        <v>0.21492973286314054</v>
      </c>
      <c r="K43" s="105">
        <f>IF(Body3Actif=TRUE,((((($B43*$J$4)+'Calculs 3D'!$C$8-OffsetX)/Ecran)*'Calculs 3D'!$C$32)+(((($C43*$J$4)+'Calculs 3D'!$D$8-OffsetY)/Ecran)*'Calculs 3D'!$D$32)+(((($D43*$J$4)+'Calculs 3D'!$E$8-OffsetZ)/Ecran)*'Calculs 3D'!$E$32)),0)</f>
        <v>-8.2578027699541229E-2</v>
      </c>
      <c r="L43" s="105">
        <f>IF(Body4Actif=TRUE,((((($B43*$L$4)+'Calculs 3D'!$C$9-OffsetX)/Ecran)*'Calculs 3D'!$C$31)+(((($C43*$L$4)+'Calculs 3D'!$D$9-OffsetY)/Ecran)*'Calculs 3D'!$D$31)+(((($D43*$L$4)+'Calculs 3D'!$E$9-OffsetZ)/Ecran)*'Calculs 3D'!$E$31)),0)</f>
        <v>-9.9376475577045237E-2</v>
      </c>
      <c r="M43" s="105">
        <f>IF(Body4Actif=TRUE,((((($B43*$L$4)+'Calculs 3D'!$C$9-OffsetX)/Ecran)*'Calculs 3D'!$C$32)+(((($C43*$L$4)+'Calculs 3D'!$D$9-OffsetY)/Ecran)*'Calculs 3D'!$D$32)+(((($D43*$L$4)+'Calculs 3D'!$E$9-OffsetZ)/Ecran)*'Calculs 3D'!$E$32)),0)</f>
        <v>-0.17433434147204685</v>
      </c>
      <c r="N43" s="105">
        <f>IF(Body5Actif=TRUE,((((($B43*$N$4)+'Calculs 3D'!$C$10-OffsetX)/Ecran)*'Calculs 3D'!$C$31)+(((($C43*$N$4)+'Calculs 3D'!$D$10-OffsetY)/Ecran)*'Calculs 3D'!$D$31)+(((($D43*$N$4)+'Calculs 3D'!$E$10-OffsetZ)/Ecran)*'Calculs 3D'!$E$31)),0)</f>
        <v>-4.6815372953844013E-3</v>
      </c>
      <c r="O43" s="105">
        <f>IF(Body5Actif=TRUE,((((($B43*$N$4)+'Calculs 3D'!$C$10-OffsetX)/Ecran)*'Calculs 3D'!$C$32)+(((($C43*$N$4)+'Calculs 3D'!$D$10-OffsetY)/Ecran)*'Calculs 3D'!$D$32)+(((($D43*$N$4)+'Calculs 3D'!$E$10-OffsetZ)/Ecran)*'Calculs 3D'!$E$32)),0)</f>
        <v>-7.7351506005527149E-3</v>
      </c>
      <c r="P43" s="105">
        <f>IF(Body6Actif=TRUE,((((($B43*$P$4)+'Calculs 3D'!$C$11-OffsetX)/Ecran)*'Calculs 3D'!$C$31)+(((($C43*$P$4)+'Calculs 3D'!$D$11-OffsetY)/Ecran)*'Calculs 3D'!$D$31)+(((($D43*$P$4)+'Calculs 3D'!$E$11-OffsetZ)/Ecran)*'Calculs 3D'!$E$31)),0)</f>
        <v>0.16265228106856688</v>
      </c>
      <c r="Q43" s="105">
        <f>IF(Body6Actif=TRUE,((((($B43*$P$4)+'Calculs 3D'!$C$11-OffsetX)/Ecran)*'Calculs 3D'!$C$32)+(((($C43*$P$4)+'Calculs 3D'!$D$11-OffsetY)/Ecran)*'Calculs 3D'!$D$32)+(((($D43*$P$4)+'Calculs 3D'!$E$11-OffsetZ)/Ecran)*'Calculs 3D'!$E$32)),0)</f>
        <v>0.1290626969476506</v>
      </c>
      <c r="R43" s="105">
        <f>IF(Body7Actif=TRUE,((((($B43*$R$4)+'Calculs 3D'!$C$12-OffsetX)/Ecran)*'Calculs 3D'!$C$31)+(((($C43*$R$4)+'Calculs 3D'!$D$12-OffsetY)/Ecran)*'Calculs 3D'!$D$31)+(((($D43*$R$4)+'Calculs 3D'!$E$12-OffsetZ)/Ecran)*'Calculs 3D'!$E$31)),0)</f>
        <v>-0.28879703133324958</v>
      </c>
      <c r="S43" s="105">
        <f>IF(Body7Actif=TRUE,((((($B43*$R$4)+'Calculs 3D'!$C$12-OffsetX)/Ecran)*'Calculs 3D'!$C$32)+(((($C43*$R$4)+'Calculs 3D'!$D$12-OffsetY)/Ecran)*'Calculs 3D'!$D$32)+(((($D43*$R$4)+'Calculs 3D'!$E$12-OffsetZ)/Ecran)*'Calculs 3D'!$E$32)),0)</f>
        <v>5.8334405102916057E-2</v>
      </c>
      <c r="T43" s="105">
        <f>IF(Body8Actif=TRUE,((((($B43*$T$4)+'Calculs 3D'!$C$13-OffsetX)/Ecran)*'Calculs 3D'!$C$31)+(((($C43*$T$4)+'Calculs 3D'!$D$13-OffsetY)/Ecran)*'Calculs 3D'!$D$31)+(((($D43*$T$4)+'Calculs 3D'!$E$13-OffsetZ)/Ecran)*'Calculs 3D'!$E$31)),0)</f>
        <v>0.1652643692097899</v>
      </c>
      <c r="U43" s="105">
        <f>IF(Body8Actif=TRUE,((((($B43*$T$4)+'Calculs 3D'!$C$13-OffsetX)/Ecran)*'Calculs 3D'!$C$32)+(((($C43*$T$4)+'Calculs 3D'!$D$13-OffsetY)/Ecran)*'Calculs 3D'!$D$32)+(((($D43*$T$4)+'Calculs 3D'!$E$13-OffsetZ)/Ecran)*'Calculs 3D'!$E$32)),0)</f>
        <v>-0.13201713072665625</v>
      </c>
      <c r="V43" s="105">
        <f>IF(Body9Actif=TRUE,((((($B43*$V$4)+'Calculs 3D'!$C$14-OffsetX)/Ecran)*'Calculs 3D'!$C$31)+(((($C43*$V$4)+'Calculs 3D'!$D$14-OffsetY)/Ecran)*'Calculs 3D'!$D$31)+(((($D43*$V$4)+'Calculs 3D'!$E$14-OffsetZ)/Ecran)*'Calculs 3D'!$E$31)),0)</f>
        <v>-0.18169163379097897</v>
      </c>
      <c r="W43" s="105">
        <f>IF(Body9Actif=TRUE,((((($B43*$V$4)+'Calculs 3D'!$C$14-OffsetX)/Ecran)*'Calculs 3D'!$C$32)+(((($C43*$V$4)+'Calculs 3D'!$D$14-OffsetY)/Ecran)*'Calculs 3D'!$D$32)+(((($D43*$V$4)+'Calculs 3D'!$E$14-OffsetZ)/Ecran)*'Calculs 3D'!$E$32)),0)</f>
        <v>0.28666647227048353</v>
      </c>
      <c r="X43" s="105">
        <f>IF(Body10Actif=TRUE,((((($B43*$X$4)+'Calculs 3D'!$C$15-OffsetX)/Ecran)*'Calculs 3D'!$C$31)+(((($C43*$X$4)+'Calculs 3D'!$D$15-OffsetY)/Ecran)*'Calculs 3D'!$D$31)+(((($D43*$X$4)+'Calculs 3D'!$E$15-OffsetZ)/Ecran)*'Calculs 3D'!$E$31)),0)</f>
        <v>-2.1529683980673245E-2</v>
      </c>
      <c r="Y43" s="105">
        <f>IF(Body10Actif=TRUE,((((($B43*$X$4)+'Calculs 3D'!$C$15-OffsetX)/Ecran)*'Calculs 3D'!$C$32)+(((($C43*$X$4)+'Calculs 3D'!$D$15-OffsetY)/Ecran)*'Calculs 3D'!$D$32)+(((($D43*$X$4)+'Calculs 3D'!$E$15-OffsetZ)/Ecran)*'Calculs 3D'!$E$32)),0)</f>
        <v>0.28951492928575612</v>
      </c>
    </row>
    <row r="44" spans="2:25" x14ac:dyDescent="0.3">
      <c r="B44" s="102">
        <v>0.29974648454369879</v>
      </c>
      <c r="C44" s="102">
        <v>-0.92252482080629905</v>
      </c>
      <c r="D44" s="102">
        <v>0.25</v>
      </c>
      <c r="F44" s="105">
        <f>IF(Body1Actif=TRUE,((((($B44*$F$4)+'Calculs 3D'!$C$6-OffsetX)/Ecran)*'Calculs 3D'!$C$31)+(((($C44*$F$4)+'Calculs 3D'!$D$6-OffsetY)/Ecran)*'Calculs 3D'!$D$31)+(((($D44*$F$4)+'Calculs 3D'!$E$6-OffsetZ)/Ecran)*'Calculs 3D'!$E$31)),0)</f>
        <v>4.9447078012180311E-2</v>
      </c>
      <c r="G44" s="105">
        <f>IF(Body1Actif=TRUE,((((($B44*$F$4)+'Calculs 3D'!$C$6-OffsetX)/Ecran)*'Calculs 3D'!$C$32)+(((($C44*$F$4)+'Calculs 3D'!$D$6-OffsetY)/Ecran)*'Calculs 3D'!$D$32)+(((($D44*$F$4)+'Calculs 3D'!$E$6-OffsetZ)/Ecran)*'Calculs 3D'!$E$32)),0)</f>
        <v>0.26255510729703468</v>
      </c>
      <c r="H44" s="105">
        <f>IF(Body2Actif=TRUE,((((($B44*$H$4)+'Calculs 3D'!$C$7-OffsetX)/Ecran)*'Calculs 3D'!$C$31)+(((($C44*$H$4)+'Calculs 3D'!$D$7-OffsetY)/Ecran)*'Calculs 3D'!$D$31)+(((($D44*$H$4)+'Calculs 3D'!$E$7-OffsetZ)/Ecran)*'Calculs 3D'!$E$31)),0)</f>
        <v>2.0835409200261352E-2</v>
      </c>
      <c r="I44" s="105">
        <f>IF(Body2Actif=TRUE,((((($B44*$H$4)+'Calculs 3D'!$C$7-OffsetX)/Ecran)*'Calculs 3D'!$C$32)+(((($C44*$H$4)+'Calculs 3D'!$D$7-OffsetY)/Ecran)*'Calculs 3D'!$D$32)+(((($D44*$H$4)+'Calculs 3D'!$E$7-OffsetZ)/Ecran)*'Calculs 3D'!$E$32)),0)</f>
        <v>2.5221725145872009E-2</v>
      </c>
      <c r="J44" s="105">
        <f>IF(Body3Actif=TRUE,((((($B44*$J$4)+'Calculs 3D'!$C$8-OffsetX)/Ecran)*'Calculs 3D'!$C$31)+(((($C44*$J$4)+'Calculs 3D'!$D$8-OffsetY)/Ecran)*'Calculs 3D'!$D$31)+(((($D44*$J$4)+'Calculs 3D'!$E$8-OffsetZ)/Ecran)*'Calculs 3D'!$E$31)),0)</f>
        <v>0.21669889857417229</v>
      </c>
      <c r="K44" s="105">
        <f>IF(Body3Actif=TRUE,((((($B44*$J$4)+'Calculs 3D'!$C$8-OffsetX)/Ecran)*'Calculs 3D'!$C$32)+(((($C44*$J$4)+'Calculs 3D'!$D$8-OffsetY)/Ecran)*'Calculs 3D'!$D$32)+(((($D44*$J$4)+'Calculs 3D'!$E$8-OffsetZ)/Ecran)*'Calculs 3D'!$E$32)),0)</f>
        <v>-8.3133006473319379E-2</v>
      </c>
      <c r="L44" s="105">
        <f>IF(Body4Actif=TRUE,((((($B44*$L$4)+'Calculs 3D'!$C$9-OffsetX)/Ecran)*'Calculs 3D'!$C$31)+(((($C44*$L$4)+'Calculs 3D'!$D$9-OffsetY)/Ecran)*'Calculs 3D'!$D$31)+(((($D44*$L$4)+'Calculs 3D'!$E$9-OffsetZ)/Ecran)*'Calculs 3D'!$E$31)),0)</f>
        <v>-9.7076042508648652E-2</v>
      </c>
      <c r="M44" s="105">
        <f>IF(Body4Actif=TRUE,((((($B44*$L$4)+'Calculs 3D'!$C$9-OffsetX)/Ecran)*'Calculs 3D'!$C$32)+(((($C44*$L$4)+'Calculs 3D'!$D$9-OffsetY)/Ecran)*'Calculs 3D'!$D$32)+(((($D44*$L$4)+'Calculs 3D'!$E$9-OffsetZ)/Ecran)*'Calculs 3D'!$E$32)),0)</f>
        <v>-0.17505597626040872</v>
      </c>
      <c r="N44" s="105">
        <f>IF(Body5Actif=TRUE,((((($B44*$N$4)+'Calculs 3D'!$C$10-OffsetX)/Ecran)*'Calculs 3D'!$C$31)+(((($C44*$N$4)+'Calculs 3D'!$D$10-OffsetY)/Ecran)*'Calculs 3D'!$D$31)+(((($D44*$N$4)+'Calculs 3D'!$E$10-OffsetZ)/Ecran)*'Calculs 3D'!$E$31)),0)</f>
        <v>-2.0553817618642412E-3</v>
      </c>
      <c r="O44" s="105">
        <f>IF(Body5Actif=TRUE,((((($B44*$N$4)+'Calculs 3D'!$C$10-OffsetX)/Ecran)*'Calculs 3D'!$C$32)+(((($C44*$N$4)+'Calculs 3D'!$D$10-OffsetY)/Ecran)*'Calculs 3D'!$D$32)+(((($D44*$N$4)+'Calculs 3D'!$E$10-OffsetZ)/Ecran)*'Calculs 3D'!$E$32)),0)</f>
        <v>-8.5589629594830553E-3</v>
      </c>
      <c r="P44" s="105">
        <f>IF(Body6Actif=TRUE,((((($B44*$P$4)+'Calculs 3D'!$C$11-OffsetX)/Ecran)*'Calculs 3D'!$C$31)+(((($C44*$P$4)+'Calculs 3D'!$D$11-OffsetY)/Ecran)*'Calculs 3D'!$D$31)+(((($D44*$P$4)+'Calculs 3D'!$E$11-OffsetZ)/Ecran)*'Calculs 3D'!$E$31)),0)</f>
        <v>0.16645802877141982</v>
      </c>
      <c r="Q44" s="105">
        <f>IF(Body6Actif=TRUE,((((($B44*$P$4)+'Calculs 3D'!$C$11-OffsetX)/Ecran)*'Calculs 3D'!$C$32)+(((($C44*$P$4)+'Calculs 3D'!$D$11-OffsetY)/Ecran)*'Calculs 3D'!$D$32)+(((($D44*$P$4)+'Calculs 3D'!$E$11-OffsetZ)/Ecran)*'Calculs 3D'!$E$32)),0)</f>
        <v>0.12786885219909586</v>
      </c>
      <c r="R44" s="105">
        <f>IF(Body7Actif=TRUE,((((($B44*$R$4)+'Calculs 3D'!$C$12-OffsetX)/Ecran)*'Calculs 3D'!$C$31)+(((($C44*$R$4)+'Calculs 3D'!$D$12-OffsetY)/Ecran)*'Calculs 3D'!$D$31)+(((($D44*$R$4)+'Calculs 3D'!$E$12-OffsetZ)/Ecran)*'Calculs 3D'!$E$31)),0)</f>
        <v>-0.28497505780582055</v>
      </c>
      <c r="S44" s="105">
        <f>IF(Body7Actif=TRUE,((((($B44*$R$4)+'Calculs 3D'!$C$12-OffsetX)/Ecran)*'Calculs 3D'!$C$32)+(((($C44*$R$4)+'Calculs 3D'!$D$12-OffsetY)/Ecran)*'Calculs 3D'!$D$32)+(((($D44*$R$4)+'Calculs 3D'!$E$12-OffsetZ)/Ecran)*'Calculs 3D'!$E$32)),0)</f>
        <v>5.7135470391238813E-2</v>
      </c>
      <c r="T44" s="105">
        <f>IF(Body8Actif=TRUE,((((($B44*$T$4)+'Calculs 3D'!$C$13-OffsetX)/Ecran)*'Calculs 3D'!$C$31)+(((($C44*$T$4)+'Calculs 3D'!$D$13-OffsetY)/Ecran)*'Calculs 3D'!$D$31)+(((($D44*$T$4)+'Calculs 3D'!$E$13-OffsetZ)/Ecran)*'Calculs 3D'!$E$31)),0)</f>
        <v>0.16664280403574142</v>
      </c>
      <c r="U44" s="105">
        <f>IF(Body8Actif=TRUE,((((($B44*$T$4)+'Calculs 3D'!$C$13-OffsetX)/Ecran)*'Calculs 3D'!$C$32)+(((($C44*$T$4)+'Calculs 3D'!$D$13-OffsetY)/Ecran)*'Calculs 3D'!$D$32)+(((($D44*$T$4)+'Calculs 3D'!$E$13-OffsetZ)/Ecran)*'Calculs 3D'!$E$32)),0)</f>
        <v>-0.13244953910121915</v>
      </c>
      <c r="V44" s="105">
        <f>IF(Body9Actif=TRUE,((((($B44*$V$4)+'Calculs 3D'!$C$14-OffsetX)/Ecran)*'Calculs 3D'!$C$31)+(((($C44*$V$4)+'Calculs 3D'!$D$14-OffsetY)/Ecran)*'Calculs 3D'!$D$31)+(((($D44*$V$4)+'Calculs 3D'!$E$14-OffsetZ)/Ecran)*'Calculs 3D'!$E$31)),0)</f>
        <v>-0.17977903349635588</v>
      </c>
      <c r="W44" s="105">
        <f>IF(Body9Actif=TRUE,((((($B44*$V$4)+'Calculs 3D'!$C$14-OffsetX)/Ecran)*'Calculs 3D'!$C$32)+(((($C44*$V$4)+'Calculs 3D'!$D$14-OffsetY)/Ecran)*'Calculs 3D'!$D$32)+(((($D44*$V$4)+'Calculs 3D'!$E$14-OffsetZ)/Ecran)*'Calculs 3D'!$E$32)),0)</f>
        <v>0.28606649875776002</v>
      </c>
      <c r="X44" s="105">
        <f>IF(Body10Actif=TRUE,((((($B44*$X$4)+'Calculs 3D'!$C$15-OffsetX)/Ecran)*'Calculs 3D'!$C$31)+(((($C44*$X$4)+'Calculs 3D'!$D$15-OffsetY)/Ecran)*'Calculs 3D'!$D$31)+(((($D44*$X$4)+'Calculs 3D'!$E$15-OffsetZ)/Ecran)*'Calculs 3D'!$E$31)),0)</f>
        <v>-1.8642701631497754E-2</v>
      </c>
      <c r="Y44" s="105">
        <f>IF(Body10Actif=TRUE,((((($B44*$X$4)+'Calculs 3D'!$C$15-OffsetX)/Ecran)*'Calculs 3D'!$C$32)+(((($C44*$X$4)+'Calculs 3D'!$D$15-OffsetY)/Ecran)*'Calculs 3D'!$D$32)+(((($D44*$X$4)+'Calculs 3D'!$E$15-OffsetZ)/Ecran)*'Calculs 3D'!$E$32)),0)</f>
        <v>0.28860929680934433</v>
      </c>
    </row>
    <row r="45" spans="2:25" x14ac:dyDescent="0.3">
      <c r="B45" s="102">
        <v>0.57015169472369875</v>
      </c>
      <c r="C45" s="102">
        <v>-0.78474648454369911</v>
      </c>
      <c r="D45" s="102">
        <v>0.25</v>
      </c>
      <c r="F45" s="105">
        <f>IF(Body1Actif=TRUE,((((($B45*$F$4)+'Calculs 3D'!$C$6-OffsetX)/Ecran)*'Calculs 3D'!$C$31)+(((($C45*$F$4)+'Calculs 3D'!$D$6-OffsetY)/Ecran)*'Calculs 3D'!$D$31)+(((($D45*$F$4)+'Calculs 3D'!$E$6-OffsetZ)/Ecran)*'Calculs 3D'!$E$31)),0)</f>
        <v>5.0579175247860264E-2</v>
      </c>
      <c r="G45" s="105">
        <f>IF(Body1Actif=TRUE,((((($B45*$F$4)+'Calculs 3D'!$C$6-OffsetX)/Ecran)*'Calculs 3D'!$C$32)+(((($C45*$F$4)+'Calculs 3D'!$D$6-OffsetY)/Ecran)*'Calculs 3D'!$D$32)+(((($D45*$F$4)+'Calculs 3D'!$E$6-OffsetZ)/Ecran)*'Calculs 3D'!$E$32)),0)</f>
        <v>0.26244471513910594</v>
      </c>
      <c r="H45" s="105">
        <f>IF(Body2Actif=TRUE,((((($B45*$H$4)+'Calculs 3D'!$C$7-OffsetX)/Ecran)*'Calculs 3D'!$C$31)+(((($C45*$H$4)+'Calculs 3D'!$D$7-OffsetY)/Ecran)*'Calculs 3D'!$D$31)+(((($D45*$H$4)+'Calculs 3D'!$E$7-OffsetZ)/Ecran)*'Calculs 3D'!$E$31)),0)</f>
        <v>2.5248184344877588E-2</v>
      </c>
      <c r="I45" s="105">
        <f>IF(Body2Actif=TRUE,((((($B45*$H$4)+'Calculs 3D'!$C$7-OffsetX)/Ecran)*'Calculs 3D'!$C$32)+(((($C45*$H$4)+'Calculs 3D'!$D$7-OffsetY)/Ecran)*'Calculs 3D'!$D$32)+(((($D45*$H$4)+'Calculs 3D'!$E$7-OffsetZ)/Ecran)*'Calculs 3D'!$E$32)),0)</f>
        <v>2.4791430154138452E-2</v>
      </c>
      <c r="J45" s="105">
        <f>IF(Body3Actif=TRUE,((((($B45*$J$4)+'Calculs 3D'!$C$8-OffsetX)/Ecran)*'Calculs 3D'!$C$31)+(((($C45*$J$4)+'Calculs 3D'!$D$8-OffsetY)/Ecran)*'Calculs 3D'!$D$31)+(((($D45*$J$4)+'Calculs 3D'!$E$8-OffsetZ)/Ecran)*'Calculs 3D'!$E$31)),0)</f>
        <v>0.218660033872209</v>
      </c>
      <c r="K45" s="105">
        <f>IF(Body3Actif=TRUE,((((($B45*$J$4)+'Calculs 3D'!$C$8-OffsetX)/Ecran)*'Calculs 3D'!$C$32)+(((($C45*$J$4)+'Calculs 3D'!$D$8-OffsetY)/Ecran)*'Calculs 3D'!$D$32)+(((($D45*$J$4)+'Calculs 3D'!$E$8-OffsetZ)/Ecran)*'Calculs 3D'!$E$32)),0)</f>
        <v>-8.3324239126060962E-2</v>
      </c>
      <c r="L45" s="105">
        <f>IF(Body4Actif=TRUE,((((($B45*$L$4)+'Calculs 3D'!$C$9-OffsetX)/Ecran)*'Calculs 3D'!$C$31)+(((($C45*$L$4)+'Calculs 3D'!$D$9-OffsetY)/Ecran)*'Calculs 3D'!$D$31)+(((($D45*$L$4)+'Calculs 3D'!$E$9-OffsetZ)/Ecran)*'Calculs 3D'!$E$31)),0)</f>
        <v>-9.4525992808345366E-2</v>
      </c>
      <c r="M45" s="105">
        <f>IF(Body4Actif=TRUE,((((($B45*$L$4)+'Calculs 3D'!$C$9-OffsetX)/Ecran)*'Calculs 3D'!$C$32)+(((($C45*$L$4)+'Calculs 3D'!$D$9-OffsetY)/Ecran)*'Calculs 3D'!$D$32)+(((($D45*$L$4)+'Calculs 3D'!$E$9-OffsetZ)/Ecran)*'Calculs 3D'!$E$32)),0)</f>
        <v>-0.17530463466215188</v>
      </c>
      <c r="N45" s="105">
        <f>IF(Body5Actif=TRUE,((((($B45*$N$4)+'Calculs 3D'!$C$10-OffsetX)/Ecran)*'Calculs 3D'!$C$31)+(((($C45*$N$4)+'Calculs 3D'!$D$10-OffsetY)/Ecran)*'Calculs 3D'!$D$31)+(((($D45*$N$4)+'Calculs 3D'!$E$10-OffsetZ)/Ecran)*'Calculs 3D'!$E$31)),0)</f>
        <v>8.5573407245585092E-4</v>
      </c>
      <c r="O45" s="105">
        <f>IF(Body5Actif=TRUE,((((($B45*$N$4)+'Calculs 3D'!$C$10-OffsetX)/Ecran)*'Calculs 3D'!$C$32)+(((($C45*$N$4)+'Calculs 3D'!$D$10-OffsetY)/Ecran)*'Calculs 3D'!$D$32)+(((($D45*$N$4)+'Calculs 3D'!$E$10-OffsetZ)/Ecran)*'Calculs 3D'!$E$32)),0)</f>
        <v>-8.8428293525832022E-3</v>
      </c>
      <c r="P45" s="105">
        <f>IF(Body6Actif=TRUE,((((($B45*$P$4)+'Calculs 3D'!$C$11-OffsetX)/Ecran)*'Calculs 3D'!$C$31)+(((($C45*$P$4)+'Calculs 3D'!$D$11-OffsetY)/Ecran)*'Calculs 3D'!$D$31)+(((($D45*$P$4)+'Calculs 3D'!$E$11-OffsetZ)/Ecran)*'Calculs 3D'!$E$31)),0)</f>
        <v>0.1706767325982842</v>
      </c>
      <c r="Q45" s="105">
        <f>IF(Body6Actif=TRUE,((((($B45*$P$4)+'Calculs 3D'!$C$11-OffsetX)/Ecran)*'Calculs 3D'!$C$32)+(((($C45*$P$4)+'Calculs 3D'!$D$11-OffsetY)/Ecran)*'Calculs 3D'!$D$32)+(((($D45*$P$4)+'Calculs 3D'!$E$11-OffsetZ)/Ecran)*'Calculs 3D'!$E$32)),0)</f>
        <v>0.12745748133409232</v>
      </c>
      <c r="R45" s="105">
        <f>IF(Body7Actif=TRUE,((((($B45*$R$4)+'Calculs 3D'!$C$12-OffsetX)/Ecran)*'Calculs 3D'!$C$31)+(((($C45*$R$4)+'Calculs 3D'!$D$12-OffsetY)/Ecran)*'Calculs 3D'!$D$31)+(((($D45*$R$4)+'Calculs 3D'!$E$12-OffsetZ)/Ecran)*'Calculs 3D'!$E$31)),0)</f>
        <v>-0.28073836751385717</v>
      </c>
      <c r="S45" s="105">
        <f>IF(Body7Actif=TRUE,((((($B45*$R$4)+'Calculs 3D'!$C$12-OffsetX)/Ecran)*'Calculs 3D'!$C$32)+(((($C45*$R$4)+'Calculs 3D'!$D$12-OffsetY)/Ecran)*'Calculs 3D'!$D$32)+(((($D45*$R$4)+'Calculs 3D'!$E$12-OffsetZ)/Ecran)*'Calculs 3D'!$E$32)),0)</f>
        <v>5.6722345644472094E-2</v>
      </c>
      <c r="T45" s="105">
        <f>IF(Body8Actif=TRUE,((((($B45*$T$4)+'Calculs 3D'!$C$13-OffsetX)/Ecran)*'Calculs 3D'!$C$31)+(((($C45*$T$4)+'Calculs 3D'!$D$13-OffsetY)/Ecran)*'Calculs 3D'!$D$31)+(((($D45*$T$4)+'Calculs 3D'!$E$13-OffsetZ)/Ecran)*'Calculs 3D'!$E$31)),0)</f>
        <v>0.16817081081111576</v>
      </c>
      <c r="U45" s="105">
        <f>IF(Body8Actif=TRUE,((((($B45*$T$4)+'Calculs 3D'!$C$13-OffsetX)/Ecran)*'Calculs 3D'!$C$32)+(((($C45*$T$4)+'Calculs 3D'!$D$13-OffsetY)/Ecran)*'Calculs 3D'!$D$32)+(((($D45*$T$4)+'Calculs 3D'!$E$13-OffsetZ)/Ecran)*'Calculs 3D'!$E$32)),0)</f>
        <v>-0.13259853687274184</v>
      </c>
      <c r="V45" s="105">
        <f>IF(Body9Actif=TRUE,((((($B45*$V$4)+'Calculs 3D'!$C$14-OffsetX)/Ecran)*'Calculs 3D'!$C$31)+(((($C45*$V$4)+'Calculs 3D'!$D$14-OffsetY)/Ecran)*'Calculs 3D'!$D$31)+(((($D45*$V$4)+'Calculs 3D'!$E$14-OffsetZ)/Ecran)*'Calculs 3D'!$E$31)),0)</f>
        <v>-0.1776588997375837</v>
      </c>
      <c r="W45" s="105">
        <f>IF(Body9Actif=TRUE,((((($B45*$V$4)+'Calculs 3D'!$C$14-OffsetX)/Ecran)*'Calculs 3D'!$C$32)+(((($C45*$V$4)+'Calculs 3D'!$D$14-OffsetY)/Ecran)*'Calculs 3D'!$D$32)+(((($D45*$V$4)+'Calculs 3D'!$E$14-OffsetZ)/Ecran)*'Calculs 3D'!$E$32)),0)</f>
        <v>0.28585976197460039</v>
      </c>
      <c r="X45" s="105">
        <f>IF(Body10Actif=TRUE,((((($B45*$X$4)+'Calculs 3D'!$C$15-OffsetX)/Ecran)*'Calculs 3D'!$C$31)+(((($C45*$X$4)+'Calculs 3D'!$D$15-OffsetY)/Ecran)*'Calculs 3D'!$D$31)+(((($D45*$X$4)+'Calculs 3D'!$E$15-OffsetZ)/Ecran)*'Calculs 3D'!$E$31)),0)</f>
        <v>-1.5442457044756913E-2</v>
      </c>
      <c r="Y45" s="105">
        <f>IF(Body10Actif=TRUE,((((($B45*$X$4)+'Calculs 3D'!$C$15-OffsetX)/Ecran)*'Calculs 3D'!$C$32)+(((($C45*$X$4)+'Calculs 3D'!$D$15-OffsetY)/Ecran)*'Calculs 3D'!$D$32)+(((($D45*$X$4)+'Calculs 3D'!$E$15-OffsetZ)/Ecran)*'Calculs 3D'!$E$32)),0)</f>
        <v>0.28829723712516186</v>
      </c>
    </row>
    <row r="46" spans="2:25" x14ac:dyDescent="0.3">
      <c r="B46" s="102">
        <v>0.78474648454369889</v>
      </c>
      <c r="C46" s="102">
        <v>-0.57015169472369909</v>
      </c>
      <c r="D46" s="102">
        <v>0.25</v>
      </c>
      <c r="F46" s="105">
        <f>IF(Body1Actif=TRUE,((((($B46*$F$4)+'Calculs 3D'!$C$6-OffsetX)/Ecran)*'Calculs 3D'!$C$31)+(((($C46*$F$4)+'Calculs 3D'!$D$6-OffsetY)/Ecran)*'Calculs 3D'!$D$31)+(((($D46*$F$4)+'Calculs 3D'!$E$6-OffsetZ)/Ecran)*'Calculs 3D'!$E$31)),0)</f>
        <v>5.1711272483540259E-2</v>
      </c>
      <c r="G46" s="105">
        <f>IF(Body1Actif=TRUE,((((($B46*$F$4)+'Calculs 3D'!$C$6-OffsetX)/Ecran)*'Calculs 3D'!$C$32)+(((($C46*$F$4)+'Calculs 3D'!$D$6-OffsetY)/Ecran)*'Calculs 3D'!$D$32)+(((($D46*$F$4)+'Calculs 3D'!$E$6-OffsetZ)/Ecran)*'Calculs 3D'!$E$32)),0)</f>
        <v>0.26255510729703468</v>
      </c>
      <c r="H46" s="105">
        <f>IF(Body2Actif=TRUE,((((($B46*$H$4)+'Calculs 3D'!$C$7-OffsetX)/Ecran)*'Calculs 3D'!$C$31)+(((($C46*$H$4)+'Calculs 3D'!$D$7-OffsetY)/Ecran)*'Calculs 3D'!$D$31)+(((($D46*$H$4)+'Calculs 3D'!$E$7-OffsetZ)/Ecran)*'Calculs 3D'!$E$31)),0)</f>
        <v>2.9660959489493821E-2</v>
      </c>
      <c r="I46" s="105">
        <f>IF(Body2Actif=TRUE,((((($B46*$H$4)+'Calculs 3D'!$C$7-OffsetX)/Ecran)*'Calculs 3D'!$C$32)+(((($C46*$H$4)+'Calculs 3D'!$D$7-OffsetY)/Ecran)*'Calculs 3D'!$D$32)+(((($D46*$H$4)+'Calculs 3D'!$E$7-OffsetZ)/Ecran)*'Calculs 3D'!$E$32)),0)</f>
        <v>2.5221725145872006E-2</v>
      </c>
      <c r="J46" s="105">
        <f>IF(Body3Actif=TRUE,((((($B46*$J$4)+'Calculs 3D'!$C$8-OffsetX)/Ecran)*'Calculs 3D'!$C$31)+(((($C46*$J$4)+'Calculs 3D'!$D$8-OffsetY)/Ecran)*'Calculs 3D'!$D$31)+(((($D46*$J$4)+'Calculs 3D'!$E$8-OffsetZ)/Ecran)*'Calculs 3D'!$E$31)),0)</f>
        <v>0.22062116917024563</v>
      </c>
      <c r="K46" s="105">
        <f>IF(Body3Actif=TRUE,((((($B46*$J$4)+'Calculs 3D'!$C$8-OffsetX)/Ecran)*'Calculs 3D'!$C$32)+(((($C46*$J$4)+'Calculs 3D'!$D$8-OffsetY)/Ecran)*'Calculs 3D'!$D$32)+(((($D46*$J$4)+'Calculs 3D'!$E$8-OffsetZ)/Ecran)*'Calculs 3D'!$E$32)),0)</f>
        <v>-8.3133006473319393E-2</v>
      </c>
      <c r="L46" s="105">
        <f>IF(Body4Actif=TRUE,((((($B46*$L$4)+'Calculs 3D'!$C$9-OffsetX)/Ecran)*'Calculs 3D'!$C$31)+(((($C46*$L$4)+'Calculs 3D'!$D$9-OffsetY)/Ecran)*'Calculs 3D'!$D$31)+(((($D46*$L$4)+'Calculs 3D'!$E$9-OffsetZ)/Ecran)*'Calculs 3D'!$E$31)),0)</f>
        <v>-9.197594310804208E-2</v>
      </c>
      <c r="M46" s="105">
        <f>IF(Body4Actif=TRUE,((((($B46*$L$4)+'Calculs 3D'!$C$9-OffsetX)/Ecran)*'Calculs 3D'!$C$32)+(((($C46*$L$4)+'Calculs 3D'!$D$9-OffsetY)/Ecran)*'Calculs 3D'!$D$32)+(((($D46*$L$4)+'Calculs 3D'!$E$9-OffsetZ)/Ecran)*'Calculs 3D'!$E$32)),0)</f>
        <v>-0.17505597626040872</v>
      </c>
      <c r="N46" s="105">
        <f>IF(Body5Actif=TRUE,((((($B46*$N$4)+'Calculs 3D'!$C$10-OffsetX)/Ecran)*'Calculs 3D'!$C$31)+(((($C46*$N$4)+'Calculs 3D'!$D$10-OffsetY)/Ecran)*'Calculs 3D'!$D$31)+(((($D46*$N$4)+'Calculs 3D'!$E$10-OffsetZ)/Ecran)*'Calculs 3D'!$E$31)),0)</f>
        <v>3.7668499067759435E-3</v>
      </c>
      <c r="O46" s="105">
        <f>IF(Body5Actif=TRUE,((((($B46*$N$4)+'Calculs 3D'!$C$10-OffsetX)/Ecran)*'Calculs 3D'!$C$32)+(((($C46*$N$4)+'Calculs 3D'!$D$10-OffsetY)/Ecran)*'Calculs 3D'!$D$32)+(((($D46*$N$4)+'Calculs 3D'!$E$10-OffsetZ)/Ecran)*'Calculs 3D'!$E$32)),0)</f>
        <v>-8.5589629594830553E-3</v>
      </c>
      <c r="P46" s="105">
        <f>IF(Body6Actif=TRUE,((((($B46*$P$4)+'Calculs 3D'!$C$11-OffsetX)/Ecran)*'Calculs 3D'!$C$31)+(((($C46*$P$4)+'Calculs 3D'!$D$11-OffsetY)/Ecran)*'Calculs 3D'!$D$31)+(((($D46*$P$4)+'Calculs 3D'!$E$11-OffsetZ)/Ecran)*'Calculs 3D'!$E$31)),0)</f>
        <v>0.17489543642514854</v>
      </c>
      <c r="Q46" s="105">
        <f>IF(Body6Actif=TRUE,((((($B46*$P$4)+'Calculs 3D'!$C$11-OffsetX)/Ecran)*'Calculs 3D'!$C$32)+(((($C46*$P$4)+'Calculs 3D'!$D$11-OffsetY)/Ecran)*'Calculs 3D'!$D$32)+(((($D46*$P$4)+'Calculs 3D'!$E$11-OffsetZ)/Ecran)*'Calculs 3D'!$E$32)),0)</f>
        <v>0.12786885219909586</v>
      </c>
      <c r="R46" s="105">
        <f>IF(Body7Actif=TRUE,((((($B46*$R$4)+'Calculs 3D'!$C$12-OffsetX)/Ecran)*'Calculs 3D'!$C$31)+(((($C46*$R$4)+'Calculs 3D'!$D$12-OffsetY)/Ecran)*'Calculs 3D'!$D$31)+(((($D46*$R$4)+'Calculs 3D'!$E$12-OffsetZ)/Ecran)*'Calculs 3D'!$E$31)),0)</f>
        <v>-0.27650167722189378</v>
      </c>
      <c r="S46" s="105">
        <f>IF(Body7Actif=TRUE,((((($B46*$R$4)+'Calculs 3D'!$C$12-OffsetX)/Ecran)*'Calculs 3D'!$C$32)+(((($C46*$R$4)+'Calculs 3D'!$D$12-OffsetY)/Ecran)*'Calculs 3D'!$D$32)+(((($D46*$R$4)+'Calculs 3D'!$E$12-OffsetZ)/Ecran)*'Calculs 3D'!$E$32)),0)</f>
        <v>5.7135470391238799E-2</v>
      </c>
      <c r="T46" s="105">
        <f>IF(Body8Actif=TRUE,((((($B46*$T$4)+'Calculs 3D'!$C$13-OffsetX)/Ecran)*'Calculs 3D'!$C$31)+(((($C46*$T$4)+'Calculs 3D'!$D$13-OffsetY)/Ecran)*'Calculs 3D'!$D$31)+(((($D46*$T$4)+'Calculs 3D'!$E$13-OffsetZ)/Ecran)*'Calculs 3D'!$E$31)),0)</f>
        <v>0.16969881758649014</v>
      </c>
      <c r="U46" s="105">
        <f>IF(Body8Actif=TRUE,((((($B46*$T$4)+'Calculs 3D'!$C$13-OffsetX)/Ecran)*'Calculs 3D'!$C$32)+(((($C46*$T$4)+'Calculs 3D'!$D$13-OffsetY)/Ecran)*'Calculs 3D'!$D$32)+(((($D46*$T$4)+'Calculs 3D'!$E$13-OffsetZ)/Ecran)*'Calculs 3D'!$E$32)),0)</f>
        <v>-0.13244953910121915</v>
      </c>
      <c r="V46" s="105">
        <f>IF(Body9Actif=TRUE,((((($B46*$V$4)+'Calculs 3D'!$C$14-OffsetX)/Ecran)*'Calculs 3D'!$C$31)+(((($C46*$V$4)+'Calculs 3D'!$D$14-OffsetY)/Ecran)*'Calculs 3D'!$D$31)+(((($D46*$V$4)+'Calculs 3D'!$E$14-OffsetZ)/Ecran)*'Calculs 3D'!$E$31)),0)</f>
        <v>-0.17553876597881149</v>
      </c>
      <c r="W46" s="105">
        <f>IF(Body9Actif=TRUE,((((($B46*$V$4)+'Calculs 3D'!$C$14-OffsetX)/Ecran)*'Calculs 3D'!$C$32)+(((($C46*$V$4)+'Calculs 3D'!$D$14-OffsetY)/Ecran)*'Calculs 3D'!$D$32)+(((($D46*$V$4)+'Calculs 3D'!$E$14-OffsetZ)/Ecran)*'Calculs 3D'!$E$32)),0)</f>
        <v>0.28606649875776002</v>
      </c>
      <c r="X46" s="105">
        <f>IF(Body10Actif=TRUE,((((($B46*$X$4)+'Calculs 3D'!$C$15-OffsetX)/Ecran)*'Calculs 3D'!$C$31)+(((($C46*$X$4)+'Calculs 3D'!$D$15-OffsetY)/Ecran)*'Calculs 3D'!$D$31)+(((($D46*$X$4)+'Calculs 3D'!$E$15-OffsetZ)/Ecran)*'Calculs 3D'!$E$31)),0)</f>
        <v>-1.2242212458016072E-2</v>
      </c>
      <c r="Y46" s="105">
        <f>IF(Body10Actif=TRUE,((((($B46*$X$4)+'Calculs 3D'!$C$15-OffsetX)/Ecran)*'Calculs 3D'!$C$32)+(((($C46*$X$4)+'Calculs 3D'!$D$15-OffsetY)/Ecran)*'Calculs 3D'!$D$32)+(((($D46*$X$4)+'Calculs 3D'!$E$15-OffsetZ)/Ecran)*'Calculs 3D'!$E$32)),0)</f>
        <v>0.28860929680934433</v>
      </c>
    </row>
    <row r="47" spans="2:25" x14ac:dyDescent="0.3">
      <c r="B47" s="102">
        <v>0.92252482080629894</v>
      </c>
      <c r="C47" s="102">
        <v>-0.29974648454369918</v>
      </c>
      <c r="D47" s="102">
        <v>0.25</v>
      </c>
      <c r="F47" s="105">
        <f>IF(Body1Actif=TRUE,((((($B47*$F$4)+'Calculs 3D'!$C$6-OffsetX)/Ecran)*'Calculs 3D'!$C$31)+(((($C47*$F$4)+'Calculs 3D'!$D$6-OffsetY)/Ecran)*'Calculs 3D'!$D$31)+(((($D47*$F$4)+'Calculs 3D'!$E$6-OffsetZ)/Ecran)*'Calculs 3D'!$E$31)),0)</f>
        <v>5.2732552154006615E-2</v>
      </c>
      <c r="G47" s="105">
        <f>IF(Body1Actif=TRUE,((((($B47*$F$4)+'Calculs 3D'!$C$6-OffsetX)/Ecran)*'Calculs 3D'!$C$32)+(((($C47*$F$4)+'Calculs 3D'!$D$6-OffsetY)/Ecran)*'Calculs 3D'!$D$32)+(((($D47*$F$4)+'Calculs 3D'!$E$6-OffsetZ)/Ecran)*'Calculs 3D'!$E$32)),0)</f>
        <v>0.26287547781725545</v>
      </c>
      <c r="H47" s="105">
        <f>IF(Body2Actif=TRUE,((((($B47*$H$4)+'Calculs 3D'!$C$7-OffsetX)/Ecran)*'Calculs 3D'!$C$31)+(((($C47*$H$4)+'Calculs 3D'!$D$7-OffsetY)/Ecran)*'Calculs 3D'!$D$31)+(((($D47*$H$4)+'Calculs 3D'!$E$7-OffsetZ)/Ecran)*'Calculs 3D'!$E$31)),0)</f>
        <v>3.3641781457342701E-2</v>
      </c>
      <c r="I47" s="105">
        <f>IF(Body2Actif=TRUE,((((($B47*$H$4)+'Calculs 3D'!$C$7-OffsetX)/Ecran)*'Calculs 3D'!$C$32)+(((($C47*$H$4)+'Calculs 3D'!$D$7-OffsetY)/Ecran)*'Calculs 3D'!$D$32)+(((($D47*$H$4)+'Calculs 3D'!$E$7-OffsetZ)/Ecran)*'Calculs 3D'!$E$32)),0)</f>
        <v>2.6470489849240299E-2</v>
      </c>
      <c r="J47" s="105">
        <f>IF(Body3Actif=TRUE,((((($B47*$J$4)+'Calculs 3D'!$C$8-OffsetX)/Ecran)*'Calculs 3D'!$C$31)+(((($C47*$J$4)+'Calculs 3D'!$D$8-OffsetY)/Ecran)*'Calculs 3D'!$D$31)+(((($D47*$J$4)+'Calculs 3D'!$E$8-OffsetZ)/Ecran)*'Calculs 3D'!$E$31)),0)</f>
        <v>0.22239033488127741</v>
      </c>
      <c r="K47" s="105">
        <f>IF(Body3Actif=TRUE,((((($B47*$J$4)+'Calculs 3D'!$C$8-OffsetX)/Ecran)*'Calculs 3D'!$C$32)+(((($C47*$J$4)+'Calculs 3D'!$D$8-OffsetY)/Ecran)*'Calculs 3D'!$D$32)+(((($D47*$J$4)+'Calculs 3D'!$E$8-OffsetZ)/Ecran)*'Calculs 3D'!$E$32)),0)</f>
        <v>-8.2578027699541215E-2</v>
      </c>
      <c r="L47" s="105">
        <f>IF(Body4Actif=TRUE,((((($B47*$L$4)+'Calculs 3D'!$C$9-OffsetX)/Ecran)*'Calculs 3D'!$C$31)+(((($C47*$L$4)+'Calculs 3D'!$D$9-OffsetY)/Ecran)*'Calculs 3D'!$D$31)+(((($D47*$L$4)+'Calculs 3D'!$E$9-OffsetZ)/Ecran)*'Calculs 3D'!$E$31)),0)</f>
        <v>-8.9675510039645467E-2</v>
      </c>
      <c r="M47" s="105">
        <f>IF(Body4Actif=TRUE,((((($B47*$L$4)+'Calculs 3D'!$C$9-OffsetX)/Ecran)*'Calculs 3D'!$C$32)+(((($C47*$L$4)+'Calculs 3D'!$D$9-OffsetY)/Ecran)*'Calculs 3D'!$D$32)+(((($D47*$L$4)+'Calculs 3D'!$E$9-OffsetZ)/Ecran)*'Calculs 3D'!$E$32)),0)</f>
        <v>-0.17433434147204685</v>
      </c>
      <c r="N47" s="105">
        <f>IF(Body5Actif=TRUE,((((($B47*$N$4)+'Calculs 3D'!$C$10-OffsetX)/Ecran)*'Calculs 3D'!$C$31)+(((($C47*$N$4)+'Calculs 3D'!$D$10-OffsetY)/Ecran)*'Calculs 3D'!$D$31)+(((($D47*$N$4)+'Calculs 3D'!$E$10-OffsetZ)/Ecran)*'Calculs 3D'!$E$31)),0)</f>
        <v>6.3930054402961045E-3</v>
      </c>
      <c r="O47" s="105">
        <f>IF(Body5Actif=TRUE,((((($B47*$N$4)+'Calculs 3D'!$C$10-OffsetX)/Ecran)*'Calculs 3D'!$C$32)+(((($C47*$N$4)+'Calculs 3D'!$D$10-OffsetY)/Ecran)*'Calculs 3D'!$D$32)+(((($D47*$N$4)+'Calculs 3D'!$E$10-OffsetZ)/Ecran)*'Calculs 3D'!$E$32)),0)</f>
        <v>-7.7351506005527166E-3</v>
      </c>
      <c r="P47" s="105">
        <f>IF(Body6Actif=TRUE,((((($B47*$P$4)+'Calculs 3D'!$C$11-OffsetX)/Ecran)*'Calculs 3D'!$C$31)+(((($C47*$P$4)+'Calculs 3D'!$D$11-OffsetY)/Ecran)*'Calculs 3D'!$D$31)+(((($D47*$P$4)+'Calculs 3D'!$E$11-OffsetZ)/Ecran)*'Calculs 3D'!$E$31)),0)</f>
        <v>0.17870118412800146</v>
      </c>
      <c r="Q47" s="105">
        <f>IF(Body6Actif=TRUE,((((($B47*$P$4)+'Calculs 3D'!$C$11-OffsetX)/Ecran)*'Calculs 3D'!$C$32)+(((($C47*$P$4)+'Calculs 3D'!$D$11-OffsetY)/Ecran)*'Calculs 3D'!$D$32)+(((($D47*$P$4)+'Calculs 3D'!$E$11-OffsetZ)/Ecran)*'Calculs 3D'!$E$32)),0)</f>
        <v>0.1290626969476506</v>
      </c>
      <c r="R47" s="105">
        <f>IF(Body7Actif=TRUE,((((($B47*$R$4)+'Calculs 3D'!$C$12-OffsetX)/Ecran)*'Calculs 3D'!$C$31)+(((($C47*$R$4)+'Calculs 3D'!$D$12-OffsetY)/Ecran)*'Calculs 3D'!$D$31)+(((($D47*$R$4)+'Calculs 3D'!$E$12-OffsetZ)/Ecran)*'Calculs 3D'!$E$31)),0)</f>
        <v>-0.2726797036944647</v>
      </c>
      <c r="S47" s="105">
        <f>IF(Body7Actif=TRUE,((((($B47*$R$4)+'Calculs 3D'!$C$12-OffsetX)/Ecran)*'Calculs 3D'!$C$32)+(((($C47*$R$4)+'Calculs 3D'!$D$12-OffsetY)/Ecran)*'Calculs 3D'!$D$32)+(((($D47*$R$4)+'Calculs 3D'!$E$12-OffsetZ)/Ecran)*'Calculs 3D'!$E$32)),0)</f>
        <v>5.833440510291607E-2</v>
      </c>
      <c r="T47" s="105">
        <f>IF(Body8Actif=TRUE,((((($B47*$T$4)+'Calculs 3D'!$C$13-OffsetX)/Ecran)*'Calculs 3D'!$C$31)+(((($C47*$T$4)+'Calculs 3D'!$D$13-OffsetY)/Ecran)*'Calculs 3D'!$D$31)+(((($D47*$T$4)+'Calculs 3D'!$E$13-OffsetZ)/Ecran)*'Calculs 3D'!$E$31)),0)</f>
        <v>0.17107725241244162</v>
      </c>
      <c r="U47" s="105">
        <f>IF(Body8Actif=TRUE,((((($B47*$T$4)+'Calculs 3D'!$C$13-OffsetX)/Ecran)*'Calculs 3D'!$C$32)+(((($C47*$T$4)+'Calculs 3D'!$D$13-OffsetY)/Ecran)*'Calculs 3D'!$D$32)+(((($D47*$T$4)+'Calculs 3D'!$E$13-OffsetZ)/Ecran)*'Calculs 3D'!$E$32)),0)</f>
        <v>-0.13201713072665625</v>
      </c>
      <c r="V47" s="105">
        <f>IF(Body9Actif=TRUE,((((($B47*$V$4)+'Calculs 3D'!$C$14-OffsetX)/Ecran)*'Calculs 3D'!$C$31)+(((($C47*$V$4)+'Calculs 3D'!$D$14-OffsetY)/Ecran)*'Calculs 3D'!$D$31)+(((($D47*$V$4)+'Calculs 3D'!$E$14-OffsetZ)/Ecran)*'Calculs 3D'!$E$31)),0)</f>
        <v>-0.1736261656841884</v>
      </c>
      <c r="W47" s="105">
        <f>IF(Body9Actif=TRUE,((((($B47*$V$4)+'Calculs 3D'!$C$14-OffsetX)/Ecran)*'Calculs 3D'!$C$32)+(((($C47*$V$4)+'Calculs 3D'!$D$14-OffsetY)/Ecran)*'Calculs 3D'!$D$32)+(((($D47*$V$4)+'Calculs 3D'!$E$14-OffsetZ)/Ecran)*'Calculs 3D'!$E$32)),0)</f>
        <v>0.28666647227048353</v>
      </c>
      <c r="X47" s="105">
        <f>IF(Body10Actif=TRUE,((((($B47*$X$4)+'Calculs 3D'!$C$15-OffsetX)/Ecran)*'Calculs 3D'!$C$31)+(((($C47*$X$4)+'Calculs 3D'!$D$15-OffsetY)/Ecran)*'Calculs 3D'!$D$31)+(((($D47*$X$4)+'Calculs 3D'!$E$15-OffsetZ)/Ecran)*'Calculs 3D'!$E$31)),0)</f>
        <v>-9.3552301088406092E-3</v>
      </c>
      <c r="Y47" s="105">
        <f>IF(Body10Actif=TRUE,((((($B47*$X$4)+'Calculs 3D'!$C$15-OffsetX)/Ecran)*'Calculs 3D'!$C$32)+(((($C47*$X$4)+'Calculs 3D'!$D$15-OffsetY)/Ecran)*'Calculs 3D'!$D$32)+(((($D47*$X$4)+'Calculs 3D'!$E$15-OffsetZ)/Ecran)*'Calculs 3D'!$E$32)),0)</f>
        <v>0.28951492928575617</v>
      </c>
    </row>
    <row r="48" spans="2:25" x14ac:dyDescent="0.3">
      <c r="B48" s="103">
        <v>0.97</v>
      </c>
      <c r="C48" s="103">
        <v>-2.3767880025227226E-16</v>
      </c>
      <c r="D48" s="103">
        <v>0.25</v>
      </c>
      <c r="F48" s="105">
        <f>IF(Body1Actif=TRUE,((((($B48*$F$4)+'Calculs 3D'!$C$6-OffsetX)/Ecran)*'Calculs 3D'!$C$31)+(((($C48*$F$4)+'Calculs 3D'!$D$6-OffsetY)/Ecran)*'Calculs 3D'!$D$31)+(((($D48*$F$4)+'Calculs 3D'!$E$6-OffsetZ)/Ecran)*'Calculs 3D'!$E$31)),0)</f>
        <v>5.3543044289440254E-2</v>
      </c>
      <c r="G48" s="105">
        <f>IF(Body1Actif=TRUE,((((($B48*$F$4)+'Calculs 3D'!$C$6-OffsetX)/Ecran)*'Calculs 3D'!$C$32)+(((($C48*$F$4)+'Calculs 3D'!$D$6-OffsetY)/Ecran)*'Calculs 3D'!$D$32)+(((($D48*$F$4)+'Calculs 3D'!$E$6-OffsetZ)/Ecran)*'Calculs 3D'!$E$32)),0)</f>
        <v>0.26337446660109637</v>
      </c>
      <c r="H48" s="105">
        <f>IF(Body2Actif=TRUE,((((($B48*$H$4)+'Calculs 3D'!$C$7-OffsetX)/Ecran)*'Calculs 3D'!$C$31)+(((($C48*$H$4)+'Calculs 3D'!$D$7-OffsetY)/Ecran)*'Calculs 3D'!$D$31)+(((($D48*$H$4)+'Calculs 3D'!$E$7-OffsetZ)/Ecran)*'Calculs 3D'!$E$31)),0)</f>
        <v>3.6800979658193615E-2</v>
      </c>
      <c r="I48" s="105">
        <f>IF(Body2Actif=TRUE,((((($B48*$H$4)+'Calculs 3D'!$C$7-OffsetX)/Ecran)*'Calculs 3D'!$C$32)+(((($C48*$H$4)+'Calculs 3D'!$D$7-OffsetY)/Ecran)*'Calculs 3D'!$D$32)+(((($D48*$H$4)+'Calculs 3D'!$E$7-OffsetZ)/Ecran)*'Calculs 3D'!$E$32)),0)</f>
        <v>2.8415486474422338E-2</v>
      </c>
      <c r="J48" s="105">
        <f>IF(Body3Actif=TRUE,((((($B48*$J$4)+'Calculs 3D'!$C$8-OffsetX)/Ecran)*'Calculs 3D'!$C$31)+(((($C48*$J$4)+'Calculs 3D'!$D$8-OffsetY)/Ecran)*'Calculs 3D'!$D$31)+(((($D48*$J$4)+'Calculs 3D'!$E$8-OffsetZ)/Ecran)*'Calculs 3D'!$E$31)),0)</f>
        <v>0.22379435273900616</v>
      </c>
      <c r="K48" s="105">
        <f>IF(Body3Actif=TRUE,((((($B48*$J$4)+'Calculs 3D'!$C$8-OffsetX)/Ecran)*'Calculs 3D'!$C$32)+(((($C48*$J$4)+'Calculs 3D'!$D$8-OffsetY)/Ecran)*'Calculs 3D'!$D$32)+(((($D48*$J$4)+'Calculs 3D'!$E$8-OffsetZ)/Ecran)*'Calculs 3D'!$E$32)),0)</f>
        <v>-8.1713627993868387E-2</v>
      </c>
      <c r="L48" s="105">
        <f>IF(Body4Actif=TRUE,((((($B48*$L$4)+'Calculs 3D'!$C$9-OffsetX)/Ecran)*'Calculs 3D'!$C$31)+(((($C48*$L$4)+'Calculs 3D'!$D$9-OffsetY)/Ecran)*'Calculs 3D'!$D$31)+(((($D48*$L$4)+'Calculs 3D'!$E$9-OffsetZ)/Ecran)*'Calculs 3D'!$E$31)),0)</f>
        <v>-8.7849876019949868E-2</v>
      </c>
      <c r="M48" s="105">
        <f>IF(Body4Actif=TRUE,((((($B48*$L$4)+'Calculs 3D'!$C$9-OffsetX)/Ecran)*'Calculs 3D'!$C$32)+(((($C48*$L$4)+'Calculs 3D'!$D$9-OffsetY)/Ecran)*'Calculs 3D'!$D$32)+(((($D48*$L$4)+'Calculs 3D'!$E$9-OffsetZ)/Ecran)*'Calculs 3D'!$E$32)),0)</f>
        <v>-0.17321036893807634</v>
      </c>
      <c r="N48" s="105">
        <f>IF(Body5Actif=TRUE,((((($B48*$N$4)+'Calculs 3D'!$C$10-OffsetX)/Ecran)*'Calculs 3D'!$C$31)+(((($C48*$N$4)+'Calculs 3D'!$D$10-OffsetY)/Ecran)*'Calculs 3D'!$D$31)+(((($D48*$N$4)+'Calculs 3D'!$E$10-OffsetZ)/Ecran)*'Calculs 3D'!$E$31)),0)</f>
        <v>8.4771342718938606E-3</v>
      </c>
      <c r="O48" s="105">
        <f>IF(Body5Actif=TRUE,((((($B48*$N$4)+'Calculs 3D'!$C$10-OffsetX)/Ecran)*'Calculs 3D'!$C$32)+(((($C48*$N$4)+'Calculs 3D'!$D$10-OffsetY)/Ecran)*'Calculs 3D'!$D$32)+(((($D48*$N$4)+'Calculs 3D'!$E$10-OffsetZ)/Ecran)*'Calculs 3D'!$E$32)),0)</f>
        <v>-6.4520327693225006E-3</v>
      </c>
      <c r="P48" s="105">
        <f>IF(Body6Actif=TRUE,((((($B48*$P$4)+'Calculs 3D'!$C$11-OffsetX)/Ecran)*'Calculs 3D'!$C$31)+(((($C48*$P$4)+'Calculs 3D'!$D$11-OffsetY)/Ecran)*'Calculs 3D'!$D$31)+(((($D48*$P$4)+'Calculs 3D'!$E$11-OffsetZ)/Ecran)*'Calculs 3D'!$E$31)),0)</f>
        <v>0.18172144260548431</v>
      </c>
      <c r="Q48" s="105">
        <f>IF(Body6Actif=TRUE,((((($B48*$P$4)+'Calculs 3D'!$C$11-OffsetX)/Ecran)*'Calculs 3D'!$C$32)+(((($C48*$P$4)+'Calculs 3D'!$D$11-OffsetY)/Ecran)*'Calculs 3D'!$D$32)+(((($D48*$P$4)+'Calculs 3D'!$E$11-OffsetZ)/Ecran)*'Calculs 3D'!$E$32)),0)</f>
        <v>0.1309221537377625</v>
      </c>
      <c r="R48" s="105">
        <f>IF(Body7Actif=TRUE,((((($B48*$R$4)+'Calculs 3D'!$C$12-OffsetX)/Ecran)*'Calculs 3D'!$C$31)+(((($C48*$R$4)+'Calculs 3D'!$D$12-OffsetY)/Ecran)*'Calculs 3D'!$D$31)+(((($D48*$R$4)+'Calculs 3D'!$E$12-OffsetZ)/Ecran)*'Calculs 3D'!$E$31)),0)</f>
        <v>-0.26964656832969025</v>
      </c>
      <c r="S48" s="105">
        <f>IF(Body7Actif=TRUE,((((($B48*$R$4)+'Calculs 3D'!$C$12-OffsetX)/Ecran)*'Calculs 3D'!$C$32)+(((($C48*$R$4)+'Calculs 3D'!$D$12-OffsetY)/Ecran)*'Calculs 3D'!$D$32)+(((($D48*$R$4)+'Calculs 3D'!$E$12-OffsetZ)/Ecran)*'Calculs 3D'!$E$32)),0)</f>
        <v>6.0201789696455524E-2</v>
      </c>
      <c r="T48" s="105">
        <f>IF(Body8Actif=TRUE,((((($B48*$T$4)+'Calculs 3D'!$C$13-OffsetX)/Ecran)*'Calculs 3D'!$C$31)+(((($C48*$T$4)+'Calculs 3D'!$D$13-OffsetY)/Ecran)*'Calculs 3D'!$D$31)+(((($D48*$T$4)+'Calculs 3D'!$E$13-OffsetZ)/Ecran)*'Calculs 3D'!$E$31)),0)</f>
        <v>0.17217118448408603</v>
      </c>
      <c r="U48" s="105">
        <f>IF(Body8Actif=TRUE,((((($B48*$T$4)+'Calculs 3D'!$C$13-OffsetX)/Ecran)*'Calculs 3D'!$C$32)+(((($C48*$T$4)+'Calculs 3D'!$D$13-OffsetY)/Ecran)*'Calculs 3D'!$D$32)+(((($D48*$T$4)+'Calculs 3D'!$E$13-OffsetZ)/Ecran)*'Calculs 3D'!$E$32)),0)</f>
        <v>-0.13134363889352163</v>
      </c>
      <c r="V48" s="105">
        <f>IF(Body9Actif=TRUE,((((($B48*$V$4)+'Calculs 3D'!$C$14-OffsetX)/Ecran)*'Calculs 3D'!$C$31)+(((($C48*$V$4)+'Calculs 3D'!$D$14-OffsetY)/Ecran)*'Calculs 3D'!$D$31)+(((($D48*$V$4)+'Calculs 3D'!$E$14-OffsetZ)/Ecran)*'Calculs 3D'!$E$31)),0)</f>
        <v>-0.17210831749642197</v>
      </c>
      <c r="W48" s="105">
        <f>IF(Body9Actif=TRUE,((((($B48*$V$4)+'Calculs 3D'!$C$14-OffsetX)/Ecran)*'Calculs 3D'!$C$32)+(((($C48*$V$4)+'Calculs 3D'!$D$14-OffsetY)/Ecran)*'Calculs 3D'!$D$32)+(((($D48*$V$4)+'Calculs 3D'!$E$14-OffsetZ)/Ecran)*'Calculs 3D'!$E$32)),0)</f>
        <v>0.28760095292508414</v>
      </c>
      <c r="X48" s="105">
        <f>IF(Body10Actif=TRUE,((((($B48*$X$4)+'Calculs 3D'!$C$15-OffsetX)/Ecran)*'Calculs 3D'!$C$31)+(((($C48*$X$4)+'Calculs 3D'!$D$15-OffsetY)/Ecran)*'Calculs 3D'!$D$31)+(((($D48*$X$4)+'Calculs 3D'!$E$15-OffsetZ)/Ecran)*'Calculs 3D'!$E$31)),0)</f>
        <v>-7.0641079443565513E-3</v>
      </c>
      <c r="Y48" s="105">
        <f>IF(Body10Actif=TRUE,((((($B48*$X$4)+'Calculs 3D'!$C$15-OffsetX)/Ecran)*'Calculs 3D'!$C$32)+(((($C48*$X$4)+'Calculs 3D'!$D$15-OffsetY)/Ecran)*'Calculs 3D'!$D$32)+(((($D48*$X$4)+'Calculs 3D'!$E$15-OffsetZ)/Ecran)*'Calculs 3D'!$E$32)),0)</f>
        <v>0.29092548493769371</v>
      </c>
    </row>
    <row r="49" spans="2:25" x14ac:dyDescent="0.3">
      <c r="B49" s="19"/>
      <c r="C49" s="19"/>
      <c r="D49" s="19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2:25" x14ac:dyDescent="0.3">
      <c r="B50" s="101">
        <v>0.86</v>
      </c>
      <c r="C50" s="101">
        <v>0</v>
      </c>
      <c r="D50" s="101">
        <v>0.5</v>
      </c>
      <c r="F50" s="105">
        <f>IF(Body1Actif=TRUE,((((($B50*$F$4)+'Calculs 3D'!$C$6-OffsetX)/Ecran)*'Calculs 3D'!$C$31)+(((($C50*$F$4)+'Calculs 3D'!$D$6-OffsetY)/Ecran)*'Calculs 3D'!$D$31)+(((($D50*$F$4)+'Calculs 3D'!$E$6-OffsetZ)/Ecran)*'Calculs 3D'!$E$31)),0)</f>
        <v>5.32069354290549E-2</v>
      </c>
      <c r="G50" s="105">
        <f>IF(Body1Actif=TRUE,((((($B50*$F$4)+'Calculs 3D'!$C$6-OffsetX)/Ecran)*'Calculs 3D'!$C$32)+(((($C50*$F$4)+'Calculs 3D'!$D$6-OffsetY)/Ecran)*'Calculs 3D'!$D$32)+(((($D50*$F$4)+'Calculs 3D'!$E$6-OffsetZ)/Ecran)*'Calculs 3D'!$E$32)),0)</f>
        <v>0.26426885894432117</v>
      </c>
      <c r="H50" s="105">
        <f>IF(Body2Actif=TRUE,((((($B50*$H$4)+'Calculs 3D'!$C$7-OffsetX)/Ecran)*'Calculs 3D'!$C$31)+(((($C50*$H$4)+'Calculs 3D'!$D$7-OffsetY)/Ecran)*'Calculs 3D'!$D$31)+(((($D50*$H$4)+'Calculs 3D'!$E$7-OffsetZ)/Ecran)*'Calculs 3D'!$E$31)),0)</f>
        <v>3.5490868849467061E-2</v>
      </c>
      <c r="I50" s="105">
        <f>IF(Body2Actif=TRUE,((((($B50*$H$4)+'Calculs 3D'!$C$7-OffsetX)/Ecran)*'Calculs 3D'!$C$32)+(((($C50*$H$4)+'Calculs 3D'!$D$7-OffsetY)/Ecran)*'Calculs 3D'!$D$32)+(((($D50*$H$4)+'Calculs 3D'!$E$7-OffsetZ)/Ecran)*'Calculs 3D'!$E$32)),0)</f>
        <v>3.1901717318672446E-2</v>
      </c>
      <c r="J50" s="105">
        <f>IF(Body3Actif=TRUE,((((($B50*$J$4)+'Calculs 3D'!$C$8-OffsetX)/Ecran)*'Calculs 3D'!$C$31)+(((($C50*$J$4)+'Calculs 3D'!$D$8-OffsetY)/Ecran)*'Calculs 3D'!$D$31)+(((($D50*$J$4)+'Calculs 3D'!$E$8-OffsetZ)/Ecran)*'Calculs 3D'!$E$31)),0)</f>
        <v>0.22321211039328689</v>
      </c>
      <c r="K50" s="105">
        <f>IF(Body3Actif=TRUE,((((($B50*$J$4)+'Calculs 3D'!$C$8-OffsetX)/Ecran)*'Calculs 3D'!$C$32)+(((($C50*$J$4)+'Calculs 3D'!$D$8-OffsetY)/Ecran)*'Calculs 3D'!$D$32)+(((($D50*$J$4)+'Calculs 3D'!$E$8-OffsetZ)/Ecran)*'Calculs 3D'!$E$32)),0)</f>
        <v>-8.0164269564829832E-2</v>
      </c>
      <c r="L50" s="105">
        <f>IF(Body4Actif=TRUE,((((($B50*$L$4)+'Calculs 3D'!$C$9-OffsetX)/Ecran)*'Calculs 3D'!$C$31)+(((($C50*$L$4)+'Calculs 3D'!$D$9-OffsetY)/Ecran)*'Calculs 3D'!$D$31)+(((($D50*$L$4)+'Calculs 3D'!$E$9-OffsetZ)/Ecran)*'Calculs 3D'!$E$31)),0)</f>
        <v>-8.8606961428943171E-2</v>
      </c>
      <c r="M50" s="105">
        <f>IF(Body4Actif=TRUE,((((($B50*$L$4)+'Calculs 3D'!$C$9-OffsetX)/Ecran)*'Calculs 3D'!$C$32)+(((($C50*$L$4)+'Calculs 3D'!$D$9-OffsetY)/Ecran)*'Calculs 3D'!$D$32)+(((($D50*$L$4)+'Calculs 3D'!$E$9-OffsetZ)/Ecran)*'Calculs 3D'!$E$32)),0)</f>
        <v>-0.1711957496501631</v>
      </c>
      <c r="N50" s="105">
        <f>IF(Body5Actif=TRUE,((((($B50*$N$4)+'Calculs 3D'!$C$10-OffsetX)/Ecran)*'Calculs 3D'!$C$31)+(((($C50*$N$4)+'Calculs 3D'!$D$10-OffsetY)/Ecran)*'Calculs 3D'!$D$31)+(((($D50*$N$4)+'Calculs 3D'!$E$10-OffsetZ)/Ecran)*'Calculs 3D'!$E$31)),0)</f>
        <v>7.6128517750503758E-3</v>
      </c>
      <c r="O50" s="105">
        <f>IF(Body5Actif=TRUE,((((($B50*$N$4)+'Calculs 3D'!$C$10-OffsetX)/Ecran)*'Calculs 3D'!$C$32)+(((($C50*$N$4)+'Calculs 3D'!$D$10-OffsetY)/Ecran)*'Calculs 3D'!$D$32)+(((($D50*$N$4)+'Calculs 3D'!$E$10-OffsetZ)/Ecran)*'Calculs 3D'!$E$32)),0)</f>
        <v>-4.1521599046981696E-3</v>
      </c>
      <c r="P50" s="105">
        <f>IF(Body6Actif=TRUE,((((($B50*$P$4)+'Calculs 3D'!$C$11-OffsetX)/Ecran)*'Calculs 3D'!$C$31)+(((($C50*$P$4)+'Calculs 3D'!$D$11-OffsetY)/Ecran)*'Calculs 3D'!$D$31)+(((($D50*$P$4)+'Calculs 3D'!$E$11-OffsetZ)/Ecran)*'Calculs 3D'!$E$31)),0)</f>
        <v>0.18046894971806984</v>
      </c>
      <c r="Q50" s="105">
        <f>IF(Body6Actif=TRUE,((((($B50*$P$4)+'Calculs 3D'!$C$11-OffsetX)/Ecran)*'Calculs 3D'!$C$32)+(((($C50*$P$4)+'Calculs 3D'!$D$11-OffsetY)/Ecran)*'Calculs 3D'!$D$32)+(((($D50*$P$4)+'Calculs 3D'!$E$11-OffsetZ)/Ecran)*'Calculs 3D'!$E$32)),0)</f>
        <v>0.13425506215071759</v>
      </c>
      <c r="R50" s="105">
        <f>IF(Body7Actif=TRUE,((((($B50*$R$4)+'Calculs 3D'!$C$12-OffsetX)/Ecran)*'Calculs 3D'!$C$31)+(((($C50*$R$4)+'Calculs 3D'!$D$12-OffsetY)/Ecran)*'Calculs 3D'!$D$31)+(((($D50*$R$4)+'Calculs 3D'!$E$12-OffsetZ)/Ecran)*'Calculs 3D'!$E$31)),0)</f>
        <v>-0.27090440122686388</v>
      </c>
      <c r="S50" s="105">
        <f>IF(Body7Actif=TRUE,((((($B50*$R$4)+'Calculs 3D'!$C$12-OffsetX)/Ecran)*'Calculs 3D'!$C$32)+(((($C50*$R$4)+'Calculs 3D'!$D$12-OffsetY)/Ecran)*'Calculs 3D'!$D$32)+(((($D50*$R$4)+'Calculs 3D'!$E$12-OffsetZ)/Ecran)*'Calculs 3D'!$E$32)),0)</f>
        <v>6.354890798128314E-2</v>
      </c>
      <c r="T50" s="105">
        <f>IF(Body8Actif=TRUE,((((($B50*$T$4)+'Calculs 3D'!$C$13-OffsetX)/Ecran)*'Calculs 3D'!$C$31)+(((($C50*$T$4)+'Calculs 3D'!$D$13-OffsetY)/Ecran)*'Calculs 3D'!$D$31)+(((($D50*$T$4)+'Calculs 3D'!$E$13-OffsetZ)/Ecran)*'Calculs 3D'!$E$31)),0)</f>
        <v>0.17171753386137806</v>
      </c>
      <c r="U50" s="105">
        <f>IF(Body8Actif=TRUE,((((($B50*$T$4)+'Calculs 3D'!$C$13-OffsetX)/Ecran)*'Calculs 3D'!$C$32)+(((($C50*$T$4)+'Calculs 3D'!$D$13-OffsetY)/Ecran)*'Calculs 3D'!$D$32)+(((($D50*$T$4)+'Calculs 3D'!$E$13-OffsetZ)/Ecran)*'Calculs 3D'!$E$32)),0)</f>
        <v>-0.13013646558965813</v>
      </c>
      <c r="V50" s="105">
        <f>IF(Body9Actif=TRUE,((((($B50*$V$4)+'Calculs 3D'!$C$14-OffsetX)/Ecran)*'Calculs 3D'!$C$31)+(((($C50*$V$4)+'Calculs 3D'!$D$14-OffsetY)/Ecran)*'Calculs 3D'!$D$31)+(((($D50*$V$4)+'Calculs 3D'!$E$14-OffsetZ)/Ecran)*'Calculs 3D'!$E$31)),0)</f>
        <v>-0.17273776496706919</v>
      </c>
      <c r="W50" s="105">
        <f>IF(Body9Actif=TRUE,((((($B50*$V$4)+'Calculs 3D'!$C$14-OffsetX)/Ecran)*'Calculs 3D'!$C$32)+(((($C50*$V$4)+'Calculs 3D'!$D$14-OffsetY)/Ecran)*'Calculs 3D'!$D$32)+(((($D50*$V$4)+'Calculs 3D'!$E$14-OffsetZ)/Ecran)*'Calculs 3D'!$E$32)),0)</f>
        <v>0.28927592512773204</v>
      </c>
      <c r="X50" s="105">
        <f>IF(Body10Actif=TRUE,((((($B50*$X$4)+'Calculs 3D'!$C$15-OffsetX)/Ecran)*'Calculs 3D'!$C$31)+(((($C50*$X$4)+'Calculs 3D'!$D$15-OffsetY)/Ecran)*'Calculs 3D'!$D$31)+(((($D50*$X$4)+'Calculs 3D'!$E$15-OffsetZ)/Ecran)*'Calculs 3D'!$E$31)),0)</f>
        <v>-8.0142300072885142E-3</v>
      </c>
      <c r="Y50" s="105">
        <f>IF(Body10Actif=TRUE,((((($B50*$X$4)+'Calculs 3D'!$C$15-OffsetX)/Ecran)*'Calculs 3D'!$C$32)+(((($C50*$X$4)+'Calculs 3D'!$D$15-OffsetY)/Ecran)*'Calculs 3D'!$D$32)+(((($D50*$X$4)+'Calculs 3D'!$E$15-OffsetZ)/Ecran)*'Calculs 3D'!$E$32)),0)</f>
        <v>0.29345377859005711</v>
      </c>
    </row>
    <row r="51" spans="2:25" x14ac:dyDescent="0.3">
      <c r="B51" s="102">
        <v>0.81790860401383203</v>
      </c>
      <c r="C51" s="102">
        <v>0.26575461516245474</v>
      </c>
      <c r="D51" s="102">
        <v>0.5</v>
      </c>
      <c r="F51" s="105">
        <f>IF(Body1Actif=TRUE,((((($B51*$F$4)+'Calculs 3D'!$C$6-OffsetX)/Ecran)*'Calculs 3D'!$C$31)+(((($C51*$F$4)+'Calculs 3D'!$D$6-OffsetY)/Ecran)*'Calculs 3D'!$D$31)+(((($D51*$F$4)+'Calculs 3D'!$E$6-OffsetZ)/Ecran)*'Calculs 3D'!$E$31)),0)</f>
        <v>5.3668292609995463E-2</v>
      </c>
      <c r="G51" s="105">
        <f>IF(Body1Actif=TRUE,((((($B51*$F$4)+'Calculs 3D'!$C$6-OffsetX)/Ecran)*'Calculs 3D'!$C$32)+(((($C51*$F$4)+'Calculs 3D'!$D$6-OffsetY)/Ecran)*'Calculs 3D'!$D$32)+(((($D51*$F$4)+'Calculs 3D'!$E$6-OffsetZ)/Ecran)*'Calculs 3D'!$E$32)),0)</f>
        <v>0.26482631852352734</v>
      </c>
      <c r="H51" s="105">
        <f>IF(Body2Actif=TRUE,((((($B51*$H$4)+'Calculs 3D'!$C$7-OffsetX)/Ecran)*'Calculs 3D'!$C$31)+(((($C51*$H$4)+'Calculs 3D'!$D$7-OffsetY)/Ecran)*'Calculs 3D'!$D$31)+(((($D51*$H$4)+'Calculs 3D'!$E$7-OffsetZ)/Ecran)*'Calculs 3D'!$E$31)),0)</f>
        <v>3.7289182136242244E-2</v>
      </c>
      <c r="I51" s="105">
        <f>IF(Body2Actif=TRUE,((((($B51*$H$4)+'Calculs 3D'!$C$7-OffsetX)/Ecran)*'Calculs 3D'!$C$32)+(((($C51*$H$4)+'Calculs 3D'!$D$7-OffsetY)/Ecran)*'Calculs 3D'!$D$32)+(((($D51*$H$4)+'Calculs 3D'!$E$7-OffsetZ)/Ecran)*'Calculs 3D'!$E$32)),0)</f>
        <v>3.4074625879633051E-2</v>
      </c>
      <c r="J51" s="105">
        <f>IF(Body3Actif=TRUE,((((($B51*$J$4)+'Calculs 3D'!$C$8-OffsetX)/Ecran)*'Calculs 3D'!$C$31)+(((($C51*$J$4)+'Calculs 3D'!$D$8-OffsetY)/Ecran)*'Calculs 3D'!$D$31)+(((($D51*$J$4)+'Calculs 3D'!$E$8-OffsetZ)/Ecran)*'Calculs 3D'!$E$31)),0)</f>
        <v>0.2240113207650018</v>
      </c>
      <c r="K51" s="105">
        <f>IF(Body3Actif=TRUE,((((($B51*$J$4)+'Calculs 3D'!$C$8-OffsetX)/Ecran)*'Calculs 3D'!$C$32)+(((($C51*$J$4)+'Calculs 3D'!$D$8-OffsetY)/Ecran)*'Calculs 3D'!$D$32)+(((($D51*$J$4)+'Calculs 3D'!$E$8-OffsetZ)/Ecran)*'Calculs 3D'!$E$32)),0)</f>
        <v>-7.9198580732144794E-2</v>
      </c>
      <c r="L51" s="105">
        <f>IF(Body4Actif=TRUE,((((($B51*$L$4)+'Calculs 3D'!$C$9-OffsetX)/Ecran)*'Calculs 3D'!$C$31)+(((($C51*$L$4)+'Calculs 3D'!$D$9-OffsetY)/Ecran)*'Calculs 3D'!$D$31)+(((($D51*$L$4)+'Calculs 3D'!$E$9-OffsetZ)/Ecran)*'Calculs 3D'!$E$31)),0)</f>
        <v>-8.7567754103007406E-2</v>
      </c>
      <c r="M51" s="105">
        <f>IF(Body4Actif=TRUE,((((($B51*$L$4)+'Calculs 3D'!$C$9-OffsetX)/Ecran)*'Calculs 3D'!$C$32)+(((($C51*$L$4)+'Calculs 3D'!$D$9-OffsetY)/Ecran)*'Calculs 3D'!$D$32)+(((($D51*$L$4)+'Calculs 3D'!$E$9-OffsetZ)/Ecran)*'Calculs 3D'!$E$32)),0)</f>
        <v>-0.16994007161467012</v>
      </c>
      <c r="N51" s="105">
        <f>IF(Body5Actif=TRUE,((((($B51*$N$4)+'Calculs 3D'!$C$10-OffsetX)/Ecran)*'Calculs 3D'!$C$31)+(((($C51*$N$4)+'Calculs 3D'!$D$10-OffsetY)/Ecran)*'Calculs 3D'!$D$31)+(((($D51*$N$4)+'Calculs 3D'!$E$10-OffsetZ)/Ecran)*'Calculs 3D'!$E$31)),0)</f>
        <v>8.799202339634769E-3</v>
      </c>
      <c r="O51" s="105">
        <f>IF(Body5Actif=TRUE,((((($B51*$N$4)+'Calculs 3D'!$C$10-OffsetX)/Ecran)*'Calculs 3D'!$C$32)+(((($C51*$N$4)+'Calculs 3D'!$D$10-OffsetY)/Ecran)*'Calculs 3D'!$D$32)+(((($D51*$N$4)+'Calculs 3D'!$E$10-OffsetZ)/Ecran)*'Calculs 3D'!$E$32)),0)</f>
        <v>-2.7186881525606138E-3</v>
      </c>
      <c r="P51" s="105">
        <f>IF(Body6Actif=TRUE,((((($B51*$P$4)+'Calculs 3D'!$C$11-OffsetX)/Ecran)*'Calculs 3D'!$C$31)+(((($C51*$P$4)+'Calculs 3D'!$D$11-OffsetY)/Ecran)*'Calculs 3D'!$D$31)+(((($D51*$P$4)+'Calculs 3D'!$E$11-OffsetZ)/Ecran)*'Calculs 3D'!$E$31)),0)</f>
        <v>0.18218817421879596</v>
      </c>
      <c r="Q51" s="105">
        <f>IF(Body6Actif=TRUE,((((($B51*$P$4)+'Calculs 3D'!$C$11-OffsetX)/Ecran)*'Calculs 3D'!$C$32)+(((($C51*$P$4)+'Calculs 3D'!$D$11-OffsetY)/Ecran)*'Calculs 3D'!$D$32)+(((($D51*$P$4)+'Calculs 3D'!$E$11-OffsetZ)/Ecran)*'Calculs 3D'!$E$32)),0)</f>
        <v>0.13633240744050304</v>
      </c>
      <c r="R51" s="105">
        <f>IF(Body7Actif=TRUE,((((($B51*$R$4)+'Calculs 3D'!$C$12-OffsetX)/Ecran)*'Calculs 3D'!$C$31)+(((($C51*$R$4)+'Calculs 3D'!$D$12-OffsetY)/Ecran)*'Calculs 3D'!$D$31)+(((($D51*$R$4)+'Calculs 3D'!$E$12-OffsetZ)/Ecran)*'Calculs 3D'!$E$31)),0)</f>
        <v>-0.26917784680378509</v>
      </c>
      <c r="S51" s="105">
        <f>IF(Body7Actif=TRUE,((((($B51*$R$4)+'Calculs 3D'!$C$12-OffsetX)/Ecran)*'Calculs 3D'!$C$32)+(((($C51*$R$4)+'Calculs 3D'!$D$12-OffsetY)/Ecran)*'Calculs 3D'!$D$32)+(((($D51*$R$4)+'Calculs 3D'!$E$12-OffsetZ)/Ecran)*'Calculs 3D'!$E$32)),0)</f>
        <v>6.563511004321633E-2</v>
      </c>
      <c r="T51" s="105">
        <f>IF(Body8Actif=TRUE,((((($B51*$T$4)+'Calculs 3D'!$C$13-OffsetX)/Ecran)*'Calculs 3D'!$C$31)+(((($C51*$T$4)+'Calculs 3D'!$D$13-OffsetY)/Ecran)*'Calculs 3D'!$D$31)+(((($D51*$T$4)+'Calculs 3D'!$E$13-OffsetZ)/Ecran)*'Calculs 3D'!$E$31)),0)</f>
        <v>0.17234023381693564</v>
      </c>
      <c r="U51" s="105">
        <f>IF(Body8Actif=TRUE,((((($B51*$T$4)+'Calculs 3D'!$C$13-OffsetX)/Ecran)*'Calculs 3D'!$C$32)+(((($C51*$T$4)+'Calculs 3D'!$D$13-OffsetY)/Ecran)*'Calculs 3D'!$D$32)+(((($D51*$T$4)+'Calculs 3D'!$E$13-OffsetZ)/Ecran)*'Calculs 3D'!$E$32)),0)</f>
        <v>-0.12938405494225236</v>
      </c>
      <c r="V51" s="105">
        <f>IF(Body9Actif=TRUE,((((($B51*$V$4)+'Calculs 3D'!$C$14-OffsetX)/Ecran)*'Calculs 3D'!$C$31)+(((($C51*$V$4)+'Calculs 3D'!$D$14-OffsetY)/Ecran)*'Calculs 3D'!$D$31)+(((($D51*$V$4)+'Calculs 3D'!$E$14-OffsetZ)/Ecran)*'Calculs 3D'!$E$31)),0)</f>
        <v>-0.1718737588522794</v>
      </c>
      <c r="W51" s="105">
        <f>IF(Body9Actif=TRUE,((((($B51*$V$4)+'Calculs 3D'!$C$14-OffsetX)/Ecran)*'Calculs 3D'!$C$32)+(((($C51*$V$4)+'Calculs 3D'!$D$14-OffsetY)/Ecran)*'Calculs 3D'!$D$32)+(((($D51*$V$4)+'Calculs 3D'!$E$14-OffsetZ)/Ecran)*'Calculs 3D'!$E$32)),0)</f>
        <v>0.29031990689517795</v>
      </c>
      <c r="X51" s="105">
        <f>IF(Body10Actif=TRUE,((((($B51*$X$4)+'Calculs 3D'!$C$15-OffsetX)/Ecran)*'Calculs 3D'!$C$31)+(((($C51*$X$4)+'Calculs 3D'!$D$15-OffsetY)/Ecran)*'Calculs 3D'!$D$31)+(((($D51*$X$4)+'Calculs 3D'!$E$15-OffsetZ)/Ecran)*'Calculs 3D'!$E$31)),0)</f>
        <v>-6.7100524381486504E-3</v>
      </c>
      <c r="Y51" s="105">
        <f>IF(Body10Actif=TRUE,((((($B51*$X$4)+'Calculs 3D'!$C$15-OffsetX)/Ecran)*'Calculs 3D'!$C$32)+(((($C51*$X$4)+'Calculs 3D'!$D$15-OffsetY)/Ecran)*'Calculs 3D'!$D$32)+(((($D51*$X$4)+'Calculs 3D'!$E$15-OffsetZ)/Ecran)*'Calculs 3D'!$E$32)),0)</f>
        <v>0.295029621145321</v>
      </c>
    </row>
    <row r="52" spans="2:25" x14ac:dyDescent="0.3">
      <c r="B52" s="102">
        <v>0.69575461516245485</v>
      </c>
      <c r="C52" s="102">
        <v>0.50549531697152694</v>
      </c>
      <c r="D52" s="102">
        <v>0.5</v>
      </c>
      <c r="F52" s="105">
        <f>IF(Body1Actif=TRUE,((((($B52*$F$4)+'Calculs 3D'!$C$6-OffsetX)/Ecran)*'Calculs 3D'!$C$31)+(((($C52*$F$4)+'Calculs 3D'!$D$6-OffsetY)/Ecran)*'Calculs 3D'!$D$31)+(((($D52*$F$4)+'Calculs 3D'!$E$6-OffsetZ)/Ecran)*'Calculs 3D'!$E$31)),0)</f>
        <v>5.3827265460384001E-2</v>
      </c>
      <c r="G52" s="105">
        <f>IF(Body1Actif=TRUE,((((($B52*$F$4)+'Calculs 3D'!$C$6-OffsetX)/Ecran)*'Calculs 3D'!$C$32)+(((($C52*$F$4)+'Calculs 3D'!$D$6-OffsetY)/Ecran)*'Calculs 3D'!$D$32)+(((($D52*$F$4)+'Calculs 3D'!$E$6-OffsetZ)/Ecran)*'Calculs 3D'!$E$32)),0)</f>
        <v>0.26544426722736703</v>
      </c>
      <c r="H52" s="105">
        <f>IF(Body2Actif=TRUE,((((($B52*$H$4)+'Calculs 3D'!$C$7-OffsetX)/Ecran)*'Calculs 3D'!$C$31)+(((($C52*$H$4)+'Calculs 3D'!$D$7-OffsetY)/Ecran)*'Calculs 3D'!$D$31)+(((($D52*$H$4)+'Calculs 3D'!$E$7-OffsetZ)/Ecran)*'Calculs 3D'!$E$31)),0)</f>
        <v>3.7908838664633938E-2</v>
      </c>
      <c r="I52" s="105">
        <f>IF(Body2Actif=TRUE,((((($B52*$H$4)+'Calculs 3D'!$C$7-OffsetX)/Ecran)*'Calculs 3D'!$C$32)+(((($C52*$H$4)+'Calculs 3D'!$D$7-OffsetY)/Ecran)*'Calculs 3D'!$D$32)+(((($D52*$H$4)+'Calculs 3D'!$E$7-OffsetZ)/Ecran)*'Calculs 3D'!$E$32)),0)</f>
        <v>3.648331357447919E-2</v>
      </c>
      <c r="J52" s="105">
        <f>IF(Body3Actif=TRUE,((((($B52*$J$4)+'Calculs 3D'!$C$8-OffsetX)/Ecran)*'Calculs 3D'!$C$31)+(((($C52*$J$4)+'Calculs 3D'!$D$8-OffsetY)/Ecran)*'Calculs 3D'!$D$31)+(((($D52*$J$4)+'Calculs 3D'!$E$8-OffsetZ)/Ecran)*'Calculs 3D'!$E$31)),0)</f>
        <v>0.22428670989104205</v>
      </c>
      <c r="K52" s="105">
        <f>IF(Body3Actif=TRUE,((((($B52*$J$4)+'Calculs 3D'!$C$8-OffsetX)/Ecran)*'Calculs 3D'!$C$32)+(((($C52*$J$4)+'Calculs 3D'!$D$8-OffsetY)/Ecran)*'Calculs 3D'!$D$32)+(((($D52*$J$4)+'Calculs 3D'!$E$8-OffsetZ)/Ecran)*'Calculs 3D'!$E$32)),0)</f>
        <v>-7.8128106414849796E-2</v>
      </c>
      <c r="L52" s="105">
        <f>IF(Body4Actif=TRUE,((((($B52*$L$4)+'Calculs 3D'!$C$9-OffsetX)/Ecran)*'Calculs 3D'!$C$31)+(((($C52*$L$4)+'Calculs 3D'!$D$9-OffsetY)/Ecran)*'Calculs 3D'!$D$31)+(((($D52*$L$4)+'Calculs 3D'!$E$9-OffsetZ)/Ecran)*'Calculs 3D'!$E$31)),0)</f>
        <v>-8.7209667662449905E-2</v>
      </c>
      <c r="M52" s="105">
        <f>IF(Body4Actif=TRUE,((((($B52*$L$4)+'Calculs 3D'!$C$9-OffsetX)/Ecran)*'Calculs 3D'!$C$32)+(((($C52*$L$4)+'Calculs 3D'!$D$9-OffsetY)/Ecran)*'Calculs 3D'!$D$32)+(((($D52*$L$4)+'Calculs 3D'!$E$9-OffsetZ)/Ecran)*'Calculs 3D'!$E$32)),0)</f>
        <v>-0.16854814178977059</v>
      </c>
      <c r="N52" s="105">
        <f>IF(Body5Actif=TRUE,((((($B52*$N$4)+'Calculs 3D'!$C$10-OffsetX)/Ecran)*'Calculs 3D'!$C$31)+(((($C52*$N$4)+'Calculs 3D'!$D$10-OffsetY)/Ecran)*'Calculs 3D'!$D$31)+(((($D52*$N$4)+'Calculs 3D'!$E$10-OffsetZ)/Ecran)*'Calculs 3D'!$E$31)),0)</f>
        <v>9.2079908848298909E-3</v>
      </c>
      <c r="O52" s="105">
        <f>IF(Body5Actif=TRUE,((((($B52*$N$4)+'Calculs 3D'!$C$10-OffsetX)/Ecran)*'Calculs 3D'!$C$32)+(((($C52*$N$4)+'Calculs 3D'!$D$10-OffsetY)/Ecran)*'Calculs 3D'!$D$32)+(((($D52*$N$4)+'Calculs 3D'!$E$10-OffsetZ)/Ecran)*'Calculs 3D'!$E$32)),0)</f>
        <v>-1.1296724745346372E-3</v>
      </c>
      <c r="P52" s="105">
        <f>IF(Body6Actif=TRUE,((((($B52*$P$4)+'Calculs 3D'!$C$11-OffsetX)/Ecran)*'Calculs 3D'!$C$31)+(((($C52*$P$4)+'Calculs 3D'!$D$11-OffsetY)/Ecran)*'Calculs 3D'!$D$31)+(((($D52*$P$4)+'Calculs 3D'!$E$11-OffsetZ)/Ecran)*'Calculs 3D'!$E$31)),0)</f>
        <v>0.1827805786087765</v>
      </c>
      <c r="Q52" s="105">
        <f>IF(Body6Actif=TRUE,((((($B52*$P$4)+'Calculs 3D'!$C$11-OffsetX)/Ecran)*'Calculs 3D'!$C$32)+(((($C52*$P$4)+'Calculs 3D'!$D$11-OffsetY)/Ecran)*'Calculs 3D'!$D$32)+(((($D52*$P$4)+'Calculs 3D'!$E$11-OffsetZ)/Ecran)*'Calculs 3D'!$E$32)),0)</f>
        <v>0.13863516243321231</v>
      </c>
      <c r="R52" s="105">
        <f>IF(Body7Actif=TRUE,((((($B52*$R$4)+'Calculs 3D'!$C$12-OffsetX)/Ecran)*'Calculs 3D'!$C$31)+(((($C52*$R$4)+'Calculs 3D'!$D$12-OffsetY)/Ecran)*'Calculs 3D'!$D$31)+(((($D52*$R$4)+'Calculs 3D'!$E$12-OffsetZ)/Ecran)*'Calculs 3D'!$E$31)),0)</f>
        <v>-0.2685829166946922</v>
      </c>
      <c r="S52" s="105">
        <f>IF(Body7Actif=TRUE,((((($B52*$R$4)+'Calculs 3D'!$C$12-OffsetX)/Ecran)*'Calculs 3D'!$C$32)+(((($C52*$R$4)+'Calculs 3D'!$D$12-OffsetY)/Ecran)*'Calculs 3D'!$D$32)+(((($D52*$R$4)+'Calculs 3D'!$E$12-OffsetZ)/Ecran)*'Calculs 3D'!$E$32)),0)</f>
        <v>6.7947682843481641E-2</v>
      </c>
      <c r="T52" s="105">
        <f>IF(Body8Actif=TRUE,((((($B52*$T$4)+'Calculs 3D'!$C$13-OffsetX)/Ecran)*'Calculs 3D'!$C$31)+(((($C52*$T$4)+'Calculs 3D'!$D$13-OffsetY)/Ecran)*'Calculs 3D'!$D$31)+(((($D52*$T$4)+'Calculs 3D'!$E$13-OffsetZ)/Ecran)*'Calculs 3D'!$E$31)),0)</f>
        <v>0.17255480159860534</v>
      </c>
      <c r="U52" s="105">
        <f>IF(Body8Actif=TRUE,((((($B52*$T$4)+'Calculs 3D'!$C$13-OffsetX)/Ecran)*'Calculs 3D'!$C$32)+(((($C52*$T$4)+'Calculs 3D'!$D$13-OffsetY)/Ecran)*'Calculs 3D'!$D$32)+(((($D52*$T$4)+'Calculs 3D'!$E$13-OffsetZ)/Ecran)*'Calculs 3D'!$E$32)),0)</f>
        <v>-0.12855000131457633</v>
      </c>
      <c r="V52" s="105">
        <f>IF(Body9Actif=TRUE,((((($B52*$V$4)+'Calculs 3D'!$C$14-OffsetX)/Ecran)*'Calculs 3D'!$C$31)+(((($C52*$V$4)+'Calculs 3D'!$D$14-OffsetY)/Ecran)*'Calculs 3D'!$D$31)+(((($D52*$V$4)+'Calculs 3D'!$E$14-OffsetZ)/Ecran)*'Calculs 3D'!$E$31)),0)</f>
        <v>-0.1715760426347899</v>
      </c>
      <c r="W52" s="105">
        <f>IF(Body9Actif=TRUE,((((($B52*$V$4)+'Calculs 3D'!$C$14-OffsetX)/Ecran)*'Calculs 3D'!$C$32)+(((($C52*$V$4)+'Calculs 3D'!$D$14-OffsetY)/Ecran)*'Calculs 3D'!$D$32)+(((($D52*$V$4)+'Calculs 3D'!$E$14-OffsetZ)/Ecran)*'Calculs 3D'!$E$32)),0)</f>
        <v>0.29147716959921871</v>
      </c>
      <c r="X52" s="105">
        <f>IF(Body10Actif=TRUE,((((($B52*$X$4)+'Calculs 3D'!$C$15-OffsetX)/Ecran)*'Calculs 3D'!$C$31)+(((($C52*$X$4)+'Calculs 3D'!$D$15-OffsetY)/Ecran)*'Calculs 3D'!$D$31)+(((($D52*$X$4)+'Calculs 3D'!$E$15-OffsetZ)/Ecran)*'Calculs 3D'!$E$31)),0)</f>
        <v>-6.2606634741441125E-3</v>
      </c>
      <c r="Y52" s="105">
        <f>IF(Body10Actif=TRUE,((((($B52*$X$4)+'Calculs 3D'!$C$15-OffsetX)/Ecran)*'Calculs 3D'!$C$32)+(((($C52*$X$4)+'Calculs 3D'!$D$15-OffsetY)/Ecran)*'Calculs 3D'!$D$32)+(((($D52*$X$4)+'Calculs 3D'!$E$15-OffsetZ)/Ecran)*'Calculs 3D'!$E$32)),0)</f>
        <v>0.29677645607435316</v>
      </c>
    </row>
    <row r="53" spans="2:25" x14ac:dyDescent="0.3">
      <c r="B53" s="102">
        <v>0.50549531697152694</v>
      </c>
      <c r="C53" s="102">
        <v>0.69575461516245485</v>
      </c>
      <c r="D53" s="102">
        <v>0.5</v>
      </c>
      <c r="F53" s="105">
        <f>IF(Body1Actif=TRUE,((((($B53*$F$4)+'Calculs 3D'!$C$6-OffsetX)/Ecran)*'Calculs 3D'!$C$31)+(((($C53*$F$4)+'Calculs 3D'!$D$6-OffsetY)/Ecran)*'Calculs 3D'!$D$31)+(((($D53*$F$4)+'Calculs 3D'!$E$6-OffsetZ)/Ecran)*'Calculs 3D'!$E$31)),0)</f>
        <v>5.3668292609995463E-2</v>
      </c>
      <c r="G53" s="105">
        <f>IF(Body1Actif=TRUE,((((($B53*$F$4)+'Calculs 3D'!$C$6-OffsetX)/Ecran)*'Calculs 3D'!$C$32)+(((($C53*$F$4)+'Calculs 3D'!$D$6-OffsetY)/Ecran)*'Calculs 3D'!$D$32)+(((($D53*$F$4)+'Calculs 3D'!$E$6-OffsetZ)/Ecran)*'Calculs 3D'!$E$32)),0)</f>
        <v>0.26606221593120671</v>
      </c>
      <c r="H53" s="105">
        <f>IF(Body2Actif=TRUE,((((($B53*$H$4)+'Calculs 3D'!$C$7-OffsetX)/Ecran)*'Calculs 3D'!$C$31)+(((($C53*$H$4)+'Calculs 3D'!$D$7-OffsetY)/Ecran)*'Calculs 3D'!$D$31)+(((($D53*$H$4)+'Calculs 3D'!$E$7-OffsetZ)/Ecran)*'Calculs 3D'!$E$31)),0)</f>
        <v>3.7289182136242251E-2</v>
      </c>
      <c r="I53" s="105">
        <f>IF(Body2Actif=TRUE,((((($B53*$H$4)+'Calculs 3D'!$C$7-OffsetX)/Ecran)*'Calculs 3D'!$C$32)+(((($C53*$H$4)+'Calculs 3D'!$D$7-OffsetY)/Ecran)*'Calculs 3D'!$D$32)+(((($D53*$H$4)+'Calculs 3D'!$E$7-OffsetZ)/Ecran)*'Calculs 3D'!$E$32)),0)</f>
        <v>3.8892001269325321E-2</v>
      </c>
      <c r="J53" s="105">
        <f>IF(Body3Actif=TRUE,((((($B53*$J$4)+'Calculs 3D'!$C$8-OffsetX)/Ecran)*'Calculs 3D'!$C$31)+(((($C53*$J$4)+'Calculs 3D'!$D$8-OffsetY)/Ecran)*'Calculs 3D'!$D$31)+(((($D53*$J$4)+'Calculs 3D'!$E$8-OffsetZ)/Ecran)*'Calculs 3D'!$E$31)),0)</f>
        <v>0.22401132076500183</v>
      </c>
      <c r="K53" s="105">
        <f>IF(Body3Actif=TRUE,((((($B53*$J$4)+'Calculs 3D'!$C$8-OffsetX)/Ecran)*'Calculs 3D'!$C$32)+(((($C53*$J$4)+'Calculs 3D'!$D$8-OffsetY)/Ecran)*'Calculs 3D'!$D$32)+(((($D53*$J$4)+'Calculs 3D'!$E$8-OffsetZ)/Ecran)*'Calculs 3D'!$E$32)),0)</f>
        <v>-7.7057632097554812E-2</v>
      </c>
      <c r="L53" s="105">
        <f>IF(Body4Actif=TRUE,((((($B53*$L$4)+'Calculs 3D'!$C$9-OffsetX)/Ecran)*'Calculs 3D'!$C$31)+(((($C53*$L$4)+'Calculs 3D'!$D$9-OffsetY)/Ecran)*'Calculs 3D'!$D$31)+(((($D53*$L$4)+'Calculs 3D'!$E$9-OffsetZ)/Ecran)*'Calculs 3D'!$E$31)),0)</f>
        <v>-8.7567754103007392E-2</v>
      </c>
      <c r="M53" s="105">
        <f>IF(Body4Actif=TRUE,((((($B53*$L$4)+'Calculs 3D'!$C$9-OffsetX)/Ecran)*'Calculs 3D'!$C$32)+(((($C53*$L$4)+'Calculs 3D'!$D$9-OffsetY)/Ecran)*'Calculs 3D'!$D$32)+(((($D53*$L$4)+'Calculs 3D'!$E$9-OffsetZ)/Ecran)*'Calculs 3D'!$E$32)),0)</f>
        <v>-0.1671562119648711</v>
      </c>
      <c r="N53" s="105">
        <f>IF(Body5Actif=TRUE,((((($B53*$N$4)+'Calculs 3D'!$C$10-OffsetX)/Ecran)*'Calculs 3D'!$C$31)+(((($C53*$N$4)+'Calculs 3D'!$D$10-OffsetY)/Ecran)*'Calculs 3D'!$D$31)+(((($D53*$N$4)+'Calculs 3D'!$E$10-OffsetZ)/Ecran)*'Calculs 3D'!$E$31)),0)</f>
        <v>8.799202339634769E-3</v>
      </c>
      <c r="O53" s="105">
        <f>IF(Body5Actif=TRUE,((((($B53*$N$4)+'Calculs 3D'!$C$10-OffsetX)/Ecran)*'Calculs 3D'!$C$32)+(((($C53*$N$4)+'Calculs 3D'!$D$10-OffsetY)/Ecran)*'Calculs 3D'!$D$32)+(((($D53*$N$4)+'Calculs 3D'!$E$10-OffsetZ)/Ecran)*'Calculs 3D'!$E$32)),0)</f>
        <v>4.5934320349134104E-4</v>
      </c>
      <c r="P53" s="105">
        <f>IF(Body6Actif=TRUE,((((($B53*$P$4)+'Calculs 3D'!$C$11-OffsetX)/Ecran)*'Calculs 3D'!$C$31)+(((($C53*$P$4)+'Calculs 3D'!$D$11-OffsetY)/Ecran)*'Calculs 3D'!$D$31)+(((($D53*$P$4)+'Calculs 3D'!$E$11-OffsetZ)/Ecran)*'Calculs 3D'!$E$31)),0)</f>
        <v>0.18218817421879599</v>
      </c>
      <c r="Q53" s="105">
        <f>IF(Body6Actif=TRUE,((((($B53*$P$4)+'Calculs 3D'!$C$11-OffsetX)/Ecran)*'Calculs 3D'!$C$32)+(((($C53*$P$4)+'Calculs 3D'!$D$11-OffsetY)/Ecran)*'Calculs 3D'!$D$32)+(((($D53*$P$4)+'Calculs 3D'!$E$11-OffsetZ)/Ecran)*'Calculs 3D'!$E$32)),0)</f>
        <v>0.1409379174259216</v>
      </c>
      <c r="R53" s="105">
        <f>IF(Body7Actif=TRUE,((((($B53*$R$4)+'Calculs 3D'!$C$12-OffsetX)/Ecran)*'Calculs 3D'!$C$31)+(((($C53*$R$4)+'Calculs 3D'!$D$12-OffsetY)/Ecran)*'Calculs 3D'!$D$31)+(((($D53*$R$4)+'Calculs 3D'!$E$12-OffsetZ)/Ecran)*'Calculs 3D'!$E$31)),0)</f>
        <v>-0.26917784680378509</v>
      </c>
      <c r="S53" s="105">
        <f>IF(Body7Actif=TRUE,((((($B53*$R$4)+'Calculs 3D'!$C$12-OffsetX)/Ecran)*'Calculs 3D'!$C$32)+(((($C53*$R$4)+'Calculs 3D'!$D$12-OffsetY)/Ecran)*'Calculs 3D'!$D$32)+(((($D53*$R$4)+'Calculs 3D'!$E$12-OffsetZ)/Ecran)*'Calculs 3D'!$E$32)),0)</f>
        <v>7.0260255643746924E-2</v>
      </c>
      <c r="T53" s="105">
        <f>IF(Body8Actif=TRUE,((((($B53*$T$4)+'Calculs 3D'!$C$13-OffsetX)/Ecran)*'Calculs 3D'!$C$31)+(((($C53*$T$4)+'Calculs 3D'!$D$13-OffsetY)/Ecran)*'Calculs 3D'!$D$31)+(((($D53*$T$4)+'Calculs 3D'!$E$13-OffsetZ)/Ecran)*'Calculs 3D'!$E$31)),0)</f>
        <v>0.17234023381693567</v>
      </c>
      <c r="U53" s="105">
        <f>IF(Body8Actif=TRUE,((((($B53*$T$4)+'Calculs 3D'!$C$13-OffsetX)/Ecran)*'Calculs 3D'!$C$32)+(((($C53*$T$4)+'Calculs 3D'!$D$13-OffsetY)/Ecran)*'Calculs 3D'!$D$32)+(((($D53*$T$4)+'Calculs 3D'!$E$13-OffsetZ)/Ecran)*'Calculs 3D'!$E$32)),0)</f>
        <v>-0.12771594768690031</v>
      </c>
      <c r="V53" s="105">
        <f>IF(Body9Actif=TRUE,((((($B53*$V$4)+'Calculs 3D'!$C$14-OffsetX)/Ecran)*'Calculs 3D'!$C$31)+(((($C53*$V$4)+'Calculs 3D'!$D$14-OffsetY)/Ecran)*'Calculs 3D'!$D$31)+(((($D53*$V$4)+'Calculs 3D'!$E$14-OffsetZ)/Ecran)*'Calculs 3D'!$E$31)),0)</f>
        <v>-0.1718737588522794</v>
      </c>
      <c r="W53" s="105">
        <f>IF(Body9Actif=TRUE,((((($B53*$V$4)+'Calculs 3D'!$C$14-OffsetX)/Ecran)*'Calculs 3D'!$C$32)+(((($C53*$V$4)+'Calculs 3D'!$D$14-OffsetY)/Ecran)*'Calculs 3D'!$D$32)+(((($D53*$V$4)+'Calculs 3D'!$E$14-OffsetZ)/Ecran)*'Calculs 3D'!$E$32)),0)</f>
        <v>0.29263443230325947</v>
      </c>
      <c r="X53" s="105">
        <f>IF(Body10Actif=TRUE,((((($B53*$X$4)+'Calculs 3D'!$C$15-OffsetX)/Ecran)*'Calculs 3D'!$C$31)+(((($C53*$X$4)+'Calculs 3D'!$D$15-OffsetY)/Ecran)*'Calculs 3D'!$D$31)+(((($D53*$X$4)+'Calculs 3D'!$E$15-OffsetZ)/Ecran)*'Calculs 3D'!$E$31)),0)</f>
        <v>-6.7100524381486781E-3</v>
      </c>
      <c r="Y53" s="105">
        <f>IF(Body10Actif=TRUE,((((($B53*$X$4)+'Calculs 3D'!$C$15-OffsetX)/Ecran)*'Calculs 3D'!$C$32)+(((($C53*$X$4)+'Calculs 3D'!$D$15-OffsetY)/Ecran)*'Calculs 3D'!$D$32)+(((($D53*$X$4)+'Calculs 3D'!$E$15-OffsetZ)/Ecran)*'Calculs 3D'!$E$32)),0)</f>
        <v>0.29852329100338532</v>
      </c>
    </row>
    <row r="54" spans="2:25" x14ac:dyDescent="0.3">
      <c r="B54" s="102">
        <v>0.2657546151624548</v>
      </c>
      <c r="C54" s="102">
        <v>0.81790860401383203</v>
      </c>
      <c r="D54" s="102">
        <v>0.5</v>
      </c>
      <c r="F54" s="105">
        <f>IF(Body1Actif=TRUE,((((($B54*$F$4)+'Calculs 3D'!$C$6-OffsetX)/Ecran)*'Calculs 3D'!$C$31)+(((($C54*$F$4)+'Calculs 3D'!$D$6-OffsetY)/Ecran)*'Calculs 3D'!$D$31)+(((($D54*$F$4)+'Calculs 3D'!$E$6-OffsetZ)/Ecran)*'Calculs 3D'!$E$31)),0)</f>
        <v>5.3206935429054893E-2</v>
      </c>
      <c r="G54" s="105">
        <f>IF(Body1Actif=TRUE,((((($B54*$F$4)+'Calculs 3D'!$C$6-OffsetX)/Ecran)*'Calculs 3D'!$C$32)+(((($C54*$F$4)+'Calculs 3D'!$D$6-OffsetY)/Ecran)*'Calculs 3D'!$D$32)+(((($D54*$F$4)+'Calculs 3D'!$E$6-OffsetZ)/Ecran)*'Calculs 3D'!$E$32)),0)</f>
        <v>0.26661967551041277</v>
      </c>
      <c r="H54" s="105">
        <f>IF(Body2Actif=TRUE,((((($B54*$H$4)+'Calculs 3D'!$C$7-OffsetX)/Ecran)*'Calculs 3D'!$C$31)+(((($C54*$H$4)+'Calculs 3D'!$D$7-OffsetY)/Ecran)*'Calculs 3D'!$D$31)+(((($D54*$H$4)+'Calculs 3D'!$E$7-OffsetZ)/Ecran)*'Calculs 3D'!$E$31)),0)</f>
        <v>3.5490868849467061E-2</v>
      </c>
      <c r="I54" s="105">
        <f>IF(Body2Actif=TRUE,((((($B54*$H$4)+'Calculs 3D'!$C$7-OffsetX)/Ecran)*'Calculs 3D'!$C$32)+(((($C54*$H$4)+'Calculs 3D'!$D$7-OffsetY)/Ecran)*'Calculs 3D'!$D$32)+(((($D54*$H$4)+'Calculs 3D'!$E$7-OffsetZ)/Ecran)*'Calculs 3D'!$E$32)),0)</f>
        <v>4.106490983028592E-2</v>
      </c>
      <c r="J54" s="105">
        <f>IF(Body3Actif=TRUE,((((($B54*$J$4)+'Calculs 3D'!$C$8-OffsetX)/Ecran)*'Calculs 3D'!$C$31)+(((($C54*$J$4)+'Calculs 3D'!$D$8-OffsetY)/Ecran)*'Calculs 3D'!$D$31)+(((($D54*$J$4)+'Calculs 3D'!$E$8-OffsetZ)/Ecran)*'Calculs 3D'!$E$31)),0)</f>
        <v>0.22321211039328687</v>
      </c>
      <c r="K54" s="105">
        <f>IF(Body3Actif=TRUE,((((($B54*$J$4)+'Calculs 3D'!$C$8-OffsetX)/Ecran)*'Calculs 3D'!$C$32)+(((($C54*$J$4)+'Calculs 3D'!$D$8-OffsetY)/Ecran)*'Calculs 3D'!$D$32)+(((($D54*$J$4)+'Calculs 3D'!$E$8-OffsetZ)/Ecran)*'Calculs 3D'!$E$32)),0)</f>
        <v>-7.6091943264869816E-2</v>
      </c>
      <c r="L54" s="105">
        <f>IF(Body4Actif=TRUE,((((($B54*$L$4)+'Calculs 3D'!$C$9-OffsetX)/Ecran)*'Calculs 3D'!$C$31)+(((($C54*$L$4)+'Calculs 3D'!$D$9-OffsetY)/Ecran)*'Calculs 3D'!$D$31)+(((($D54*$L$4)+'Calculs 3D'!$E$9-OffsetZ)/Ecran)*'Calculs 3D'!$E$31)),0)</f>
        <v>-8.8606961428943171E-2</v>
      </c>
      <c r="M54" s="105">
        <f>IF(Body4Actif=TRUE,((((($B54*$L$4)+'Calculs 3D'!$C$9-OffsetX)/Ecran)*'Calculs 3D'!$C$32)+(((($C54*$L$4)+'Calculs 3D'!$D$9-OffsetY)/Ecran)*'Calculs 3D'!$D$32)+(((($D54*$L$4)+'Calculs 3D'!$E$9-OffsetZ)/Ecran)*'Calculs 3D'!$E$32)),0)</f>
        <v>-0.16590053392937809</v>
      </c>
      <c r="N54" s="105">
        <f>IF(Body5Actif=TRUE,((((($B54*$N$4)+'Calculs 3D'!$C$10-OffsetX)/Ecran)*'Calculs 3D'!$C$31)+(((($C54*$N$4)+'Calculs 3D'!$D$10-OffsetY)/Ecran)*'Calculs 3D'!$D$31)+(((($D54*$N$4)+'Calculs 3D'!$E$10-OffsetZ)/Ecran)*'Calculs 3D'!$E$31)),0)</f>
        <v>7.6128517750503749E-3</v>
      </c>
      <c r="O54" s="105">
        <f>IF(Body5Actif=TRUE,((((($B54*$N$4)+'Calculs 3D'!$C$10-OffsetX)/Ecran)*'Calculs 3D'!$C$32)+(((($C54*$N$4)+'Calculs 3D'!$D$10-OffsetY)/Ecran)*'Calculs 3D'!$D$32)+(((($D54*$N$4)+'Calculs 3D'!$E$10-OffsetZ)/Ecran)*'Calculs 3D'!$E$32)),0)</f>
        <v>1.8928149556288985E-3</v>
      </c>
      <c r="P54" s="105">
        <f>IF(Body6Actif=TRUE,((((($B54*$P$4)+'Calculs 3D'!$C$11-OffsetX)/Ecran)*'Calculs 3D'!$C$31)+(((($C54*$P$4)+'Calculs 3D'!$D$11-OffsetY)/Ecran)*'Calculs 3D'!$D$31)+(((($D54*$P$4)+'Calculs 3D'!$E$11-OffsetZ)/Ecran)*'Calculs 3D'!$E$31)),0)</f>
        <v>0.18046894971806987</v>
      </c>
      <c r="Q54" s="105">
        <f>IF(Body6Actif=TRUE,((((($B54*$P$4)+'Calculs 3D'!$C$11-OffsetX)/Ecran)*'Calculs 3D'!$C$32)+(((($C54*$P$4)+'Calculs 3D'!$D$11-OffsetY)/Ecran)*'Calculs 3D'!$D$32)+(((($D54*$P$4)+'Calculs 3D'!$E$11-OffsetZ)/Ecran)*'Calculs 3D'!$E$32)),0)</f>
        <v>0.14301526271570703</v>
      </c>
      <c r="R54" s="105">
        <f>IF(Body7Actif=TRUE,((((($B54*$R$4)+'Calculs 3D'!$C$12-OffsetX)/Ecran)*'Calculs 3D'!$C$31)+(((($C54*$R$4)+'Calculs 3D'!$D$12-OffsetY)/Ecran)*'Calculs 3D'!$D$31)+(((($D54*$R$4)+'Calculs 3D'!$E$12-OffsetZ)/Ecran)*'Calculs 3D'!$E$31)),0)</f>
        <v>-0.27090440122686382</v>
      </c>
      <c r="S54" s="105">
        <f>IF(Body7Actif=TRUE,((((($B54*$R$4)+'Calculs 3D'!$C$12-OffsetX)/Ecran)*'Calculs 3D'!$C$32)+(((($C54*$R$4)+'Calculs 3D'!$D$12-OffsetY)/Ecran)*'Calculs 3D'!$D$32)+(((($D54*$R$4)+'Calculs 3D'!$E$12-OffsetZ)/Ecran)*'Calculs 3D'!$E$32)),0)</f>
        <v>7.2346457705680142E-2</v>
      </c>
      <c r="T54" s="105">
        <f>IF(Body8Actif=TRUE,((((($B54*$T$4)+'Calculs 3D'!$C$13-OffsetX)/Ecran)*'Calculs 3D'!$C$31)+(((($C54*$T$4)+'Calculs 3D'!$D$13-OffsetY)/Ecran)*'Calculs 3D'!$D$31)+(((($D54*$T$4)+'Calculs 3D'!$E$13-OffsetZ)/Ecran)*'Calculs 3D'!$E$31)),0)</f>
        <v>0.17171753386137806</v>
      </c>
      <c r="U54" s="105">
        <f>IF(Body8Actif=TRUE,((((($B54*$T$4)+'Calculs 3D'!$C$13-OffsetX)/Ecran)*'Calculs 3D'!$C$32)+(((($C54*$T$4)+'Calculs 3D'!$D$13-OffsetY)/Ecran)*'Calculs 3D'!$D$32)+(((($D54*$T$4)+'Calculs 3D'!$E$13-OffsetZ)/Ecran)*'Calculs 3D'!$E$32)),0)</f>
        <v>-0.12696353703949453</v>
      </c>
      <c r="V54" s="105">
        <f>IF(Body9Actif=TRUE,((((($B54*$V$4)+'Calculs 3D'!$C$14-OffsetX)/Ecran)*'Calculs 3D'!$C$31)+(((($C54*$V$4)+'Calculs 3D'!$D$14-OffsetY)/Ecran)*'Calculs 3D'!$D$31)+(((($D54*$V$4)+'Calculs 3D'!$E$14-OffsetZ)/Ecran)*'Calculs 3D'!$E$31)),0)</f>
        <v>-0.17273776496706919</v>
      </c>
      <c r="W54" s="105">
        <f>IF(Body9Actif=TRUE,((((($B54*$V$4)+'Calculs 3D'!$C$14-OffsetX)/Ecran)*'Calculs 3D'!$C$32)+(((($C54*$V$4)+'Calculs 3D'!$D$14-OffsetY)/Ecran)*'Calculs 3D'!$D$32)+(((($D54*$V$4)+'Calculs 3D'!$E$14-OffsetZ)/Ecran)*'Calculs 3D'!$E$32)),0)</f>
        <v>0.29367841407070538</v>
      </c>
      <c r="X54" s="105">
        <f>IF(Body10Actif=TRUE,((((($B54*$X$4)+'Calculs 3D'!$C$15-OffsetX)/Ecran)*'Calculs 3D'!$C$31)+(((($C54*$X$4)+'Calculs 3D'!$D$15-OffsetY)/Ecran)*'Calculs 3D'!$D$31)+(((($D54*$X$4)+'Calculs 3D'!$E$15-OffsetZ)/Ecran)*'Calculs 3D'!$E$31)),0)</f>
        <v>-8.0142300072885142E-3</v>
      </c>
      <c r="Y54" s="105">
        <f>IF(Body10Actif=TRUE,((((($B54*$X$4)+'Calculs 3D'!$C$15-OffsetX)/Ecran)*'Calculs 3D'!$C$32)+(((($C54*$X$4)+'Calculs 3D'!$D$15-OffsetY)/Ecran)*'Calculs 3D'!$D$32)+(((($D54*$X$4)+'Calculs 3D'!$E$15-OffsetZ)/Ecran)*'Calculs 3D'!$E$32)),0)</f>
        <v>0.3000991335586492</v>
      </c>
    </row>
    <row r="55" spans="2:25" x14ac:dyDescent="0.3">
      <c r="B55" s="102">
        <v>5.2681383561070658E-17</v>
      </c>
      <c r="C55" s="102">
        <v>0.86</v>
      </c>
      <c r="D55" s="102">
        <v>0.5</v>
      </c>
      <c r="F55" s="105">
        <f>IF(Body1Actif=TRUE,((((($B55*$F$4)+'Calculs 3D'!$C$6-OffsetX)/Ecran)*'Calculs 3D'!$C$31)+(((($C55*$F$4)+'Calculs 3D'!$D$6-OffsetY)/Ecran)*'Calculs 3D'!$D$31)+(((($D55*$F$4)+'Calculs 3D'!$E$6-OffsetZ)/Ecran)*'Calculs 3D'!$E$31)),0)</f>
        <v>5.248835477289724E-2</v>
      </c>
      <c r="G55" s="105">
        <f>IF(Body1Actif=TRUE,((((($B55*$F$4)+'Calculs 3D'!$C$6-OffsetX)/Ecran)*'Calculs 3D'!$C$32)+(((($C55*$F$4)+'Calculs 3D'!$D$6-OffsetY)/Ecran)*'Calculs 3D'!$D$32)+(((($D55*$F$4)+'Calculs 3D'!$E$6-OffsetZ)/Ecran)*'Calculs 3D'!$E$32)),0)</f>
        <v>0.26706207793732328</v>
      </c>
      <c r="H55" s="105">
        <f>IF(Body2Actif=TRUE,((((($B55*$H$4)+'Calculs 3D'!$C$7-OffsetX)/Ecran)*'Calculs 3D'!$C$31)+(((($C55*$H$4)+'Calculs 3D'!$D$7-OffsetY)/Ecran)*'Calculs 3D'!$D$31)+(((($D55*$H$4)+'Calculs 3D'!$E$7-OffsetZ)/Ecran)*'Calculs 3D'!$E$31)),0)</f>
        <v>3.2689930238403359E-2</v>
      </c>
      <c r="I55" s="105">
        <f>IF(Body2Actif=TRUE,((((($B55*$H$4)+'Calculs 3D'!$C$7-OffsetX)/Ecran)*'Calculs 3D'!$C$32)+(((($C55*$H$4)+'Calculs 3D'!$D$7-OffsetY)/Ecran)*'Calculs 3D'!$D$32)+(((($D55*$H$4)+'Calculs 3D'!$E$7-OffsetZ)/Ecran)*'Calculs 3D'!$E$32)),0)</f>
        <v>4.2789339827870004E-2</v>
      </c>
      <c r="J55" s="105">
        <f>IF(Body3Actif=TRUE,((((($B55*$J$4)+'Calculs 3D'!$C$8-OffsetX)/Ecran)*'Calculs 3D'!$C$31)+(((($C55*$J$4)+'Calculs 3D'!$D$8-OffsetY)/Ecran)*'Calculs 3D'!$D$31)+(((($D55*$J$4)+'Calculs 3D'!$E$8-OffsetZ)/Ecran)*'Calculs 3D'!$E$31)),0)</f>
        <v>0.22196731105550679</v>
      </c>
      <c r="K55" s="105">
        <f>IF(Body3Actif=TRUE,((((($B55*$J$4)+'Calculs 3D'!$C$8-OffsetX)/Ecran)*'Calculs 3D'!$C$32)+(((($C55*$J$4)+'Calculs 3D'!$D$8-OffsetY)/Ecran)*'Calculs 3D'!$D$32)+(((($D55*$J$4)+'Calculs 3D'!$E$8-OffsetZ)/Ecran)*'Calculs 3D'!$E$32)),0)</f>
        <v>-7.5325568268087673E-2</v>
      </c>
      <c r="L55" s="105">
        <f>IF(Body4Actif=TRUE,((((($B55*$L$4)+'Calculs 3D'!$C$9-OffsetX)/Ecran)*'Calculs 3D'!$C$31)+(((($C55*$L$4)+'Calculs 3D'!$D$9-OffsetY)/Ecran)*'Calculs 3D'!$D$31)+(((($D55*$L$4)+'Calculs 3D'!$E$9-OffsetZ)/Ecran)*'Calculs 3D'!$E$31)),0)</f>
        <v>-9.0225564786611437E-2</v>
      </c>
      <c r="M55" s="105">
        <f>IF(Body4Actif=TRUE,((((($B55*$L$4)+'Calculs 3D'!$C$9-OffsetX)/Ecran)*'Calculs 3D'!$C$32)+(((($C55*$L$4)+'Calculs 3D'!$D$9-OffsetY)/Ecran)*'Calculs 3D'!$D$32)+(((($D55*$L$4)+'Calculs 3D'!$E$9-OffsetZ)/Ecran)*'Calculs 3D'!$E$32)),0)</f>
        <v>-0.16490402219822897</v>
      </c>
      <c r="N55" s="105">
        <f>IF(Body5Actif=TRUE,((((($B55*$N$4)+'Calculs 3D'!$C$10-OffsetX)/Ecran)*'Calculs 3D'!$C$31)+(((($C55*$N$4)+'Calculs 3D'!$D$10-OffsetY)/Ecran)*'Calculs 3D'!$D$31)+(((($D55*$N$4)+'Calculs 3D'!$E$10-OffsetZ)/Ecran)*'Calculs 3D'!$E$31)),0)</f>
        <v>5.7650674501286536E-3</v>
      </c>
      <c r="O55" s="105">
        <f>IF(Body5Actif=TRUE,((((($B55*$N$4)+'Calculs 3D'!$C$10-OffsetX)/Ecran)*'Calculs 3D'!$C$32)+(((($C55*$N$4)+'Calculs 3D'!$D$10-OffsetY)/Ecran)*'Calculs 3D'!$D$32)+(((($D55*$N$4)+'Calculs 3D'!$E$10-OffsetZ)/Ecran)*'Calculs 3D'!$E$32)),0)</f>
        <v>3.0304245791938304E-3</v>
      </c>
      <c r="P55" s="105">
        <f>IF(Body6Actif=TRUE,((((($B55*$P$4)+'Calculs 3D'!$C$11-OffsetX)/Ecran)*'Calculs 3D'!$C$31)+(((($C55*$P$4)+'Calculs 3D'!$D$11-OffsetY)/Ecran)*'Calculs 3D'!$D$31)+(((($D55*$P$4)+'Calculs 3D'!$E$11-OffsetZ)/Ecran)*'Calculs 3D'!$E$31)),0)</f>
        <v>0.17779119477927063</v>
      </c>
      <c r="Q55" s="105">
        <f>IF(Body6Actif=TRUE,((((($B55*$P$4)+'Calculs 3D'!$C$11-OffsetX)/Ecran)*'Calculs 3D'!$C$32)+(((($C55*$P$4)+'Calculs 3D'!$D$11-OffsetY)/Ecran)*'Calculs 3D'!$D$32)+(((($D55*$P$4)+'Calculs 3D'!$E$11-OffsetZ)/Ecran)*'Calculs 3D'!$E$32)),0)</f>
        <v>0.14466385327188871</v>
      </c>
      <c r="R55" s="105">
        <f>IF(Body7Actif=TRUE,((((($B55*$R$4)+'Calculs 3D'!$C$12-OffsetX)/Ecran)*'Calculs 3D'!$C$31)+(((($C55*$R$4)+'Calculs 3D'!$D$12-OffsetY)/Ecran)*'Calculs 3D'!$D$31)+(((($D55*$R$4)+'Calculs 3D'!$E$12-OffsetZ)/Ecran)*'Calculs 3D'!$E$31)),0)</f>
        <v>-0.2735935727873855</v>
      </c>
      <c r="S55" s="105">
        <f>IF(Body7Actif=TRUE,((((($B55*$R$4)+'Calculs 3D'!$C$12-OffsetX)/Ecran)*'Calculs 3D'!$C$32)+(((($C55*$R$4)+'Calculs 3D'!$D$12-OffsetY)/Ecran)*'Calculs 3D'!$D$32)+(((($D55*$R$4)+'Calculs 3D'!$E$12-OffsetZ)/Ecran)*'Calculs 3D'!$E$32)),0)</f>
        <v>7.4002077036034744E-2</v>
      </c>
      <c r="T55" s="105">
        <f>IF(Body8Actif=TRUE,((((($B55*$T$4)+'Calculs 3D'!$C$13-OffsetX)/Ecran)*'Calculs 3D'!$C$31)+(((($C55*$T$4)+'Calculs 3D'!$D$13-OffsetY)/Ecran)*'Calculs 3D'!$D$31)+(((($D55*$T$4)+'Calculs 3D'!$E$13-OffsetZ)/Ecran)*'Calculs 3D'!$E$31)),0)</f>
        <v>0.17074765594218821</v>
      </c>
      <c r="U55" s="105">
        <f>IF(Body8Actif=TRUE,((((($B55*$T$4)+'Calculs 3D'!$C$13-OffsetX)/Ecran)*'Calculs 3D'!$C$32)+(((($C55*$T$4)+'Calculs 3D'!$D$13-OffsetY)/Ecran)*'Calculs 3D'!$D$32)+(((($D55*$T$4)+'Calculs 3D'!$E$13-OffsetZ)/Ecran)*'Calculs 3D'!$E$32)),0)</f>
        <v>-0.12636642056888034</v>
      </c>
      <c r="V55" s="105">
        <f>IF(Body9Actif=TRUE,((((($B55*$V$4)+'Calculs 3D'!$C$14-OffsetX)/Ecran)*'Calculs 3D'!$C$31)+(((($C55*$V$4)+'Calculs 3D'!$D$14-OffsetY)/Ecran)*'Calculs 3D'!$D$31)+(((($D55*$V$4)+'Calculs 3D'!$E$14-OffsetZ)/Ecran)*'Calculs 3D'!$E$31)),0)</f>
        <v>-0.17408348604075896</v>
      </c>
      <c r="W55" s="105">
        <f>IF(Body9Actif=TRUE,((((($B55*$V$4)+'Calculs 3D'!$C$14-OffsetX)/Ecran)*'Calculs 3D'!$C$32)+(((($C55*$V$4)+'Calculs 3D'!$D$14-OffsetY)/Ecran)*'Calculs 3D'!$D$32)+(((($D55*$V$4)+'Calculs 3D'!$E$14-OffsetZ)/Ecran)*'Calculs 3D'!$E$32)),0)</f>
        <v>0.29450692269231005</v>
      </c>
      <c r="X55" s="105">
        <f>IF(Body10Actif=TRUE,((((($B55*$X$4)+'Calculs 3D'!$C$15-OffsetX)/Ecran)*'Calculs 3D'!$C$31)+(((($C55*$X$4)+'Calculs 3D'!$D$15-OffsetY)/Ecran)*'Calculs 3D'!$D$31)+(((($D55*$X$4)+'Calculs 3D'!$E$15-OffsetZ)/Ecran)*'Calculs 3D'!$E$31)),0)</f>
        <v>-1.0045534194356859E-2</v>
      </c>
      <c r="Y55" s="105">
        <f>IF(Body10Actif=TRUE,((((($B55*$X$4)+'Calculs 3D'!$C$15-OffsetX)/Ecran)*'Calculs 3D'!$C$32)+(((($C55*$X$4)+'Calculs 3D'!$D$15-OffsetY)/Ecran)*'Calculs 3D'!$D$32)+(((($D55*$X$4)+'Calculs 3D'!$E$15-OffsetZ)/Ecran)*'Calculs 3D'!$E$32)),0)</f>
        <v>0.30134972929129489</v>
      </c>
    </row>
    <row r="56" spans="2:25" x14ac:dyDescent="0.3">
      <c r="B56" s="102">
        <v>-0.26575461516245469</v>
      </c>
      <c r="C56" s="102">
        <v>0.81790860401383214</v>
      </c>
      <c r="D56" s="102">
        <v>0.5</v>
      </c>
      <c r="F56" s="105">
        <f>IF(Body1Actif=TRUE,((((($B56*$F$4)+'Calculs 3D'!$C$6-OffsetX)/Ecran)*'Calculs 3D'!$C$31)+(((($C56*$F$4)+'Calculs 3D'!$D$6-OffsetY)/Ecran)*'Calculs 3D'!$D$31)+(((($D56*$F$4)+'Calculs 3D'!$E$6-OffsetZ)/Ecran)*'Calculs 3D'!$E$31)),0)</f>
        <v>5.1582890322793042E-2</v>
      </c>
      <c r="G56" s="105">
        <f>IF(Body1Actif=TRUE,((((($B56*$F$4)+'Calculs 3D'!$C$6-OffsetX)/Ecran)*'Calculs 3D'!$C$32)+(((($C56*$F$4)+'Calculs 3D'!$D$6-OffsetY)/Ecran)*'Calculs 3D'!$D$32)+(((($D56*$F$4)+'Calculs 3D'!$E$6-OffsetZ)/Ecran)*'Calculs 3D'!$E$32)),0)</f>
        <v>0.26734611777999329</v>
      </c>
      <c r="H56" s="105">
        <f>IF(Body2Actif=TRUE,((((($B56*$H$4)+'Calculs 3D'!$C$7-OffsetX)/Ecran)*'Calculs 3D'!$C$31)+(((($C56*$H$4)+'Calculs 3D'!$D$7-OffsetY)/Ecran)*'Calculs 3D'!$D$31)+(((($D56*$H$4)+'Calculs 3D'!$E$7-OffsetZ)/Ecran)*'Calculs 3D'!$E$31)),0)</f>
        <v>2.9160541689588891E-2</v>
      </c>
      <c r="I56" s="105">
        <f>IF(Body2Actif=TRUE,((((($B56*$H$4)+'Calculs 3D'!$C$7-OffsetX)/Ecran)*'Calculs 3D'!$C$32)+(((($C56*$H$4)+'Calculs 3D'!$D$7-OffsetY)/Ecran)*'Calculs 3D'!$D$32)+(((($D56*$H$4)+'Calculs 3D'!$E$7-OffsetZ)/Ecran)*'Calculs 3D'!$E$32)),0)</f>
        <v>4.3896492039103743E-2</v>
      </c>
      <c r="J56" s="105">
        <f>IF(Body3Actif=TRUE,((((($B56*$J$4)+'Calculs 3D'!$C$8-OffsetX)/Ecran)*'Calculs 3D'!$C$31)+(((($C56*$J$4)+'Calculs 3D'!$D$8-OffsetY)/Ecran)*'Calculs 3D'!$D$31)+(((($D56*$J$4)+'Calculs 3D'!$E$8-OffsetZ)/Ecran)*'Calculs 3D'!$E$31)),0)</f>
        <v>0.22039877238387034</v>
      </c>
      <c r="K56" s="105">
        <f>IF(Body3Actif=TRUE,((((($B56*$J$4)+'Calculs 3D'!$C$8-OffsetX)/Ecran)*'Calculs 3D'!$C$32)+(((($C56*$J$4)+'Calculs 3D'!$D$8-OffsetY)/Ecran)*'Calculs 3D'!$D$32)+(((($D56*$J$4)+'Calculs 3D'!$E$8-OffsetZ)/Ecran)*'Calculs 3D'!$E$32)),0)</f>
        <v>-7.4833525231542117E-2</v>
      </c>
      <c r="L56" s="105">
        <f>IF(Body4Actif=TRUE,((((($B56*$L$4)+'Calculs 3D'!$C$9-OffsetX)/Ecran)*'Calculs 3D'!$C$31)+(((($C56*$L$4)+'Calculs 3D'!$D$9-OffsetY)/Ecran)*'Calculs 3D'!$D$31)+(((($D56*$L$4)+'Calculs 3D'!$E$9-OffsetZ)/Ecran)*'Calculs 3D'!$E$31)),0)</f>
        <v>-9.2265124001890908E-2</v>
      </c>
      <c r="M56" s="105">
        <f>IF(Body4Actif=TRUE,((((($B56*$L$4)+'Calculs 3D'!$C$9-OffsetX)/Ecran)*'Calculs 3D'!$C$32)+(((($C56*$L$4)+'Calculs 3D'!$D$9-OffsetY)/Ecran)*'Calculs 3D'!$D$32)+(((($D56*$L$4)+'Calculs 3D'!$E$9-OffsetZ)/Ecran)*'Calculs 3D'!$E$32)),0)</f>
        <v>-0.16426422228277415</v>
      </c>
      <c r="N56" s="105">
        <f>IF(Body5Actif=TRUE,((((($B56*$N$4)+'Calculs 3D'!$C$10-OffsetX)/Ecran)*'Calculs 3D'!$C$31)+(((($C56*$N$4)+'Calculs 3D'!$D$10-OffsetY)/Ecran)*'Calculs 3D'!$D$31)+(((($D56*$N$4)+'Calculs 3D'!$E$10-OffsetZ)/Ecran)*'Calculs 3D'!$E$31)),0)</f>
        <v>3.4367233688633592E-3</v>
      </c>
      <c r="O56" s="105">
        <f>IF(Body5Actif=TRUE,((((($B56*$N$4)+'Calculs 3D'!$C$10-OffsetX)/Ecran)*'Calculs 3D'!$C$32)+(((($C56*$N$4)+'Calculs 3D'!$D$10-OffsetY)/Ecran)*'Calculs 3D'!$D$32)+(((($D56*$N$4)+'Calculs 3D'!$E$10-OffsetZ)/Ecran)*'Calculs 3D'!$E$32)),0)</f>
        <v>3.7608149180392882E-3</v>
      </c>
      <c r="P56" s="105">
        <f>IF(Body6Actif=TRUE,((((($B56*$P$4)+'Calculs 3D'!$C$11-OffsetX)/Ecran)*'Calculs 3D'!$C$31)+(((($C56*$P$4)+'Calculs 3D'!$D$11-OffsetY)/Ecran)*'Calculs 3D'!$D$31)+(((($D56*$P$4)+'Calculs 3D'!$E$11-OffsetZ)/Ecran)*'Calculs 3D'!$E$31)),0)</f>
        <v>0.17441702671282372</v>
      </c>
      <c r="Q56" s="105">
        <f>IF(Body6Actif=TRUE,((((($B56*$P$4)+'Calculs 3D'!$C$11-OffsetX)/Ecran)*'Calculs 3D'!$C$32)+(((($C56*$P$4)+'Calculs 3D'!$D$11-OffsetY)/Ecran)*'Calculs 3D'!$D$32)+(((($D56*$P$4)+'Calculs 3D'!$E$11-OffsetZ)/Ecran)*'Calculs 3D'!$E$32)),0)</f>
        <v>0.14572231356442178</v>
      </c>
      <c r="R56" s="105">
        <f>IF(Body7Actif=TRUE,((((($B56*$R$4)+'Calculs 3D'!$C$12-OffsetX)/Ecran)*'Calculs 3D'!$C$31)+(((($C56*$R$4)+'Calculs 3D'!$D$12-OffsetY)/Ecran)*'Calculs 3D'!$D$31)+(((($D56*$R$4)+'Calculs 3D'!$E$12-OffsetZ)/Ecran)*'Calculs 3D'!$E$31)),0)</f>
        <v>-0.27698212663644634</v>
      </c>
      <c r="S56" s="105">
        <f>IF(Body7Actif=TRUE,((((($B56*$R$4)+'Calculs 3D'!$C$12-OffsetX)/Ecran)*'Calculs 3D'!$C$32)+(((($C56*$R$4)+'Calculs 3D'!$D$12-OffsetY)/Ecran)*'Calculs 3D'!$D$32)+(((($D56*$R$4)+'Calculs 3D'!$E$12-OffsetZ)/Ecran)*'Calculs 3D'!$E$32)),0)</f>
        <v>7.5065050079377457E-2</v>
      </c>
      <c r="T56" s="105">
        <f>IF(Body8Actif=TRUE,((((($B56*$T$4)+'Calculs 3D'!$C$13-OffsetX)/Ecran)*'Calculs 3D'!$C$31)+(((($C56*$T$4)+'Calculs 3D'!$D$13-OffsetY)/Ecran)*'Calculs 3D'!$D$31)+(((($D56*$T$4)+'Calculs 3D'!$E$13-OffsetZ)/Ecran)*'Calculs 3D'!$E$31)),0)</f>
        <v>0.16952553846763324</v>
      </c>
      <c r="U56" s="105">
        <f>IF(Body8Actif=TRUE,((((($B56*$T$4)+'Calculs 3D'!$C$13-OffsetX)/Ecran)*'Calculs 3D'!$C$32)+(((($C56*$T$4)+'Calculs 3D'!$D$13-OffsetY)/Ecran)*'Calculs 3D'!$D$32)+(((($D56*$T$4)+'Calculs 3D'!$E$13-OffsetZ)/Ecran)*'Calculs 3D'!$E$32)),0)</f>
        <v>-0.1259830481955565</v>
      </c>
      <c r="V56" s="105">
        <f>IF(Body9Actif=TRUE,((((($B56*$V$4)+'Calculs 3D'!$C$14-OffsetX)/Ecran)*'Calculs 3D'!$C$31)+(((($C56*$V$4)+'Calculs 3D'!$D$14-OffsetY)/Ecran)*'Calculs 3D'!$D$31)+(((($D56*$V$4)+'Calculs 3D'!$E$14-OffsetZ)/Ecran)*'Calculs 3D'!$E$31)),0)</f>
        <v>-0.17577919351846602</v>
      </c>
      <c r="W56" s="105">
        <f>IF(Body9Actif=TRUE,((((($B56*$V$4)+'Calculs 3D'!$C$14-OffsetX)/Ecran)*'Calculs 3D'!$C$32)+(((($C56*$V$4)+'Calculs 3D'!$D$14-OffsetY)/Ecran)*'Calculs 3D'!$D$32)+(((($D56*$V$4)+'Calculs 3D'!$E$14-OffsetZ)/Ecran)*'Calculs 3D'!$E$32)),0)</f>
        <v>0.29503885797163193</v>
      </c>
      <c r="X56" s="105">
        <f>IF(Body10Actif=TRUE,((((($B56*$X$4)+'Calculs 3D'!$C$15-OffsetX)/Ecran)*'Calculs 3D'!$C$31)+(((($C56*$X$4)+'Calculs 3D'!$D$15-OffsetY)/Ecran)*'Calculs 3D'!$D$31)+(((($D56*$X$4)+'Calculs 3D'!$E$15-OffsetZ)/Ecran)*'Calculs 3D'!$E$31)),0)</f>
        <v>-1.2605126792594928E-2</v>
      </c>
      <c r="Y56" s="105">
        <f>IF(Body10Actif=TRUE,((((($B56*$X$4)+'Calculs 3D'!$C$15-OffsetX)/Ecran)*'Calculs 3D'!$C$32)+(((($C56*$X$4)+'Calculs 3D'!$D$15-OffsetY)/Ecran)*'Calculs 3D'!$D$32)+(((($D56*$X$4)+'Calculs 3D'!$E$15-OffsetZ)/Ecran)*'Calculs 3D'!$E$32)),0)</f>
        <v>0.30215266117759815</v>
      </c>
    </row>
    <row r="57" spans="2:25" x14ac:dyDescent="0.3">
      <c r="B57" s="102">
        <v>-0.50549531697152683</v>
      </c>
      <c r="C57" s="102">
        <v>0.69575461516245485</v>
      </c>
      <c r="D57" s="102">
        <v>0.5</v>
      </c>
      <c r="F57" s="105">
        <f>IF(Body1Actif=TRUE,((((($B57*$F$4)+'Calculs 3D'!$C$6-OffsetX)/Ecran)*'Calculs 3D'!$C$31)+(((($C57*$F$4)+'Calculs 3D'!$D$6-OffsetY)/Ecran)*'Calculs 3D'!$D$31)+(((($D57*$F$4)+'Calculs 3D'!$E$6-OffsetZ)/Ecran)*'Calculs 3D'!$E$31)),0)</f>
        <v>5.0579175247860285E-2</v>
      </c>
      <c r="G57" s="105">
        <f>IF(Body1Actif=TRUE,((((($B57*$F$4)+'Calculs 3D'!$C$6-OffsetX)/Ecran)*'Calculs 3D'!$C$32)+(((($C57*$F$4)+'Calculs 3D'!$D$6-OffsetY)/Ecran)*'Calculs 3D'!$D$32)+(((($D57*$F$4)+'Calculs 3D'!$E$6-OffsetZ)/Ecran)*'Calculs 3D'!$E$32)),0)</f>
        <v>0.26744399123960017</v>
      </c>
      <c r="H57" s="105">
        <f>IF(Body2Actif=TRUE,((((($B57*$H$4)+'Calculs 3D'!$C$7-OffsetX)/Ecran)*'Calculs 3D'!$C$31)+(((($C57*$H$4)+'Calculs 3D'!$D$7-OffsetY)/Ecran)*'Calculs 3D'!$D$31)+(((($D57*$H$4)+'Calculs 3D'!$E$7-OffsetZ)/Ecran)*'Calculs 3D'!$E$31)),0)</f>
        <v>2.5248184344877592E-2</v>
      </c>
      <c r="I57" s="105">
        <f>IF(Body2Actif=TRUE,((((($B57*$H$4)+'Calculs 3D'!$C$7-OffsetX)/Ecran)*'Calculs 3D'!$C$32)+(((($C57*$H$4)+'Calculs 3D'!$D$7-OffsetY)/Ecran)*'Calculs 3D'!$D$32)+(((($D57*$H$4)+'Calculs 3D'!$E$7-OffsetZ)/Ecran)*'Calculs 3D'!$E$32)),0)</f>
        <v>4.4277990691568542E-2</v>
      </c>
      <c r="J57" s="105">
        <f>IF(Body3Actif=TRUE,((((($B57*$J$4)+'Calculs 3D'!$C$8-OffsetX)/Ecran)*'Calculs 3D'!$C$31)+(((($C57*$J$4)+'Calculs 3D'!$D$8-OffsetY)/Ecran)*'Calculs 3D'!$D$31)+(((($D57*$J$4)+'Calculs 3D'!$E$8-OffsetZ)/Ecran)*'Calculs 3D'!$E$31)),0)</f>
        <v>0.21866003387220898</v>
      </c>
      <c r="K57" s="105">
        <f>IF(Body3Actif=TRUE,((((($B57*$J$4)+'Calculs 3D'!$C$8-OffsetX)/Ecran)*'Calculs 3D'!$C$32)+(((($C57*$J$4)+'Calculs 3D'!$D$8-OffsetY)/Ecran)*'Calculs 3D'!$D$32)+(((($D57*$J$4)+'Calculs 3D'!$E$8-OffsetZ)/Ecran)*'Calculs 3D'!$E$32)),0)</f>
        <v>-7.4663978755915544E-2</v>
      </c>
      <c r="L57" s="105">
        <f>IF(Body4Actif=TRUE,((((($B57*$L$4)+'Calculs 3D'!$C$9-OffsetX)/Ecran)*'Calculs 3D'!$C$31)+(((($C57*$L$4)+'Calculs 3D'!$D$9-OffsetY)/Ecran)*'Calculs 3D'!$D$31)+(((($D57*$L$4)+'Calculs 3D'!$E$9-OffsetZ)/Ecran)*'Calculs 3D'!$E$31)),0)</f>
        <v>-9.4525992808345352E-2</v>
      </c>
      <c r="M57" s="105">
        <f>IF(Body4Actif=TRUE,((((($B57*$L$4)+'Calculs 3D'!$C$9-OffsetX)/Ecran)*'Calculs 3D'!$C$32)+(((($C57*$L$4)+'Calculs 3D'!$D$9-OffsetY)/Ecran)*'Calculs 3D'!$D$32)+(((($D57*$L$4)+'Calculs 3D'!$E$9-OffsetZ)/Ecran)*'Calculs 3D'!$E$32)),0)</f>
        <v>-0.1640437622564864</v>
      </c>
      <c r="N57" s="105">
        <f>IF(Body5Actif=TRUE,((((($B57*$N$4)+'Calculs 3D'!$C$10-OffsetX)/Ecran)*'Calculs 3D'!$C$31)+(((($C57*$N$4)+'Calculs 3D'!$D$10-OffsetY)/Ecran)*'Calculs 3D'!$D$31)+(((($D57*$N$4)+'Calculs 3D'!$E$10-OffsetZ)/Ecran)*'Calculs 3D'!$E$31)),0)</f>
        <v>8.5573407245585244E-4</v>
      </c>
      <c r="O57" s="105">
        <f>IF(Body5Actif=TRUE,((((($B57*$N$4)+'Calculs 3D'!$C$10-OffsetX)/Ecran)*'Calculs 3D'!$C$32)+(((($C57*$N$4)+'Calculs 3D'!$D$10-OffsetY)/Ecran)*'Calculs 3D'!$D$32)+(((($D57*$N$4)+'Calculs 3D'!$E$10-OffsetZ)/Ecran)*'Calculs 3D'!$E$32)),0)</f>
        <v>4.0124902768703449E-3</v>
      </c>
      <c r="P57" s="105">
        <f>IF(Body6Actif=TRUE,((((($B57*$P$4)+'Calculs 3D'!$C$11-OffsetX)/Ecran)*'Calculs 3D'!$C$31)+(((($C57*$P$4)+'Calculs 3D'!$D$11-OffsetY)/Ecran)*'Calculs 3D'!$D$31)+(((($D57*$P$4)+'Calculs 3D'!$E$11-OffsetZ)/Ecran)*'Calculs 3D'!$E$31)),0)</f>
        <v>0.1706767325982842</v>
      </c>
      <c r="Q57" s="105">
        <f>IF(Body6Actif=TRUE,((((($B57*$P$4)+'Calculs 3D'!$C$11-OffsetX)/Ecran)*'Calculs 3D'!$C$32)+(((($C57*$P$4)+'Calculs 3D'!$D$11-OffsetY)/Ecran)*'Calculs 3D'!$D$32)+(((($D57*$P$4)+'Calculs 3D'!$E$11-OffsetZ)/Ecran)*'Calculs 3D'!$E$32)),0)</f>
        <v>0.14608703412514656</v>
      </c>
      <c r="R57" s="105">
        <f>IF(Body7Actif=TRUE,((((($B57*$R$4)+'Calculs 3D'!$C$12-OffsetX)/Ecran)*'Calculs 3D'!$C$31)+(((($C57*$R$4)+'Calculs 3D'!$D$12-OffsetY)/Ecran)*'Calculs 3D'!$D$31)+(((($D57*$R$4)+'Calculs 3D'!$E$12-OffsetZ)/Ecran)*'Calculs 3D'!$E$31)),0)</f>
        <v>-0.28073836751385717</v>
      </c>
      <c r="S57" s="105">
        <f>IF(Body7Actif=TRUE,((((($B57*$R$4)+'Calculs 3D'!$C$12-OffsetX)/Ecran)*'Calculs 3D'!$C$32)+(((($C57*$R$4)+'Calculs 3D'!$D$12-OffsetY)/Ecran)*'Calculs 3D'!$D$32)+(((($D57*$R$4)+'Calculs 3D'!$E$12-OffsetZ)/Ecran)*'Calculs 3D'!$E$32)),0)</f>
        <v>7.5431325628057211E-2</v>
      </c>
      <c r="T57" s="105">
        <f>IF(Body8Actif=TRUE,((((($B57*$T$4)+'Calculs 3D'!$C$13-OffsetX)/Ecran)*'Calculs 3D'!$C$31)+(((($C57*$T$4)+'Calculs 3D'!$D$13-OffsetY)/Ecran)*'Calculs 3D'!$D$31)+(((($D57*$T$4)+'Calculs 3D'!$E$13-OffsetZ)/Ecran)*'Calculs 3D'!$E$31)),0)</f>
        <v>0.16817081081111576</v>
      </c>
      <c r="U57" s="105">
        <f>IF(Body8Actif=TRUE,((((($B57*$T$4)+'Calculs 3D'!$C$13-OffsetX)/Ecran)*'Calculs 3D'!$C$32)+(((($C57*$T$4)+'Calculs 3D'!$D$13-OffsetY)/Ecran)*'Calculs 3D'!$D$32)+(((($D57*$T$4)+'Calculs 3D'!$E$13-OffsetZ)/Ecran)*'Calculs 3D'!$E$32)),0)</f>
        <v>-0.12585094707853639</v>
      </c>
      <c r="V57" s="105">
        <f>IF(Body9Actif=TRUE,((((($B57*$V$4)+'Calculs 3D'!$C$14-OffsetX)/Ecran)*'Calculs 3D'!$C$31)+(((($C57*$V$4)+'Calculs 3D'!$D$14-OffsetY)/Ecran)*'Calculs 3D'!$D$31)+(((($D57*$V$4)+'Calculs 3D'!$E$14-OffsetZ)/Ecran)*'Calculs 3D'!$E$31)),0)</f>
        <v>-0.17765889973758367</v>
      </c>
      <c r="W57" s="105">
        <f>IF(Body9Actif=TRUE,((((($B57*$V$4)+'Calculs 3D'!$C$14-OffsetX)/Ecran)*'Calculs 3D'!$C$32)+(((($C57*$V$4)+'Calculs 3D'!$D$14-OffsetY)/Ecran)*'Calculs 3D'!$D$32)+(((($D57*$V$4)+'Calculs 3D'!$E$14-OffsetZ)/Ecran)*'Calculs 3D'!$E$32)),0)</f>
        <v>0.29522215037731991</v>
      </c>
      <c r="X57" s="105">
        <f>IF(Body10Actif=TRUE,((((($B57*$X$4)+'Calculs 3D'!$C$15-OffsetX)/Ecran)*'Calculs 3D'!$C$31)+(((($C57*$X$4)+'Calculs 3D'!$D$15-OffsetY)/Ecran)*'Calculs 3D'!$D$31)+(((($D57*$X$4)+'Calculs 3D'!$E$15-OffsetZ)/Ecran)*'Calculs 3D'!$E$31)),0)</f>
        <v>-1.5442457044756885E-2</v>
      </c>
      <c r="Y57" s="105">
        <f>IF(Body10Actif=TRUE,((((($B57*$X$4)+'Calculs 3D'!$C$15-OffsetX)/Ecran)*'Calculs 3D'!$C$32)+(((($C57*$X$4)+'Calculs 3D'!$D$15-OffsetY)/Ecran)*'Calculs 3D'!$D$32)+(((($D57*$X$4)+'Calculs 3D'!$E$15-OffsetZ)/Ecran)*'Calculs 3D'!$E$32)),0)</f>
        <v>0.30242933265017224</v>
      </c>
    </row>
    <row r="58" spans="2:25" x14ac:dyDescent="0.3">
      <c r="B58" s="102">
        <v>-0.69575461516245474</v>
      </c>
      <c r="C58" s="102">
        <v>0.50549531697152694</v>
      </c>
      <c r="D58" s="102">
        <v>0.5</v>
      </c>
      <c r="F58" s="105">
        <f>IF(Body1Actif=TRUE,((((($B58*$F$4)+'Calculs 3D'!$C$6-OffsetX)/Ecran)*'Calculs 3D'!$C$31)+(((($C58*$F$4)+'Calculs 3D'!$D$6-OffsetY)/Ecran)*'Calculs 3D'!$D$31)+(((($D58*$F$4)+'Calculs 3D'!$E$6-OffsetZ)/Ecran)*'Calculs 3D'!$E$31)),0)</f>
        <v>4.9575460172927528E-2</v>
      </c>
      <c r="G58" s="105">
        <f>IF(Body1Actif=TRUE,((((($B58*$F$4)+'Calculs 3D'!$C$6-OffsetX)/Ecran)*'Calculs 3D'!$C$32)+(((($C58*$F$4)+'Calculs 3D'!$D$6-OffsetY)/Ecran)*'Calculs 3D'!$D$32)+(((($D58*$F$4)+'Calculs 3D'!$E$6-OffsetZ)/Ecran)*'Calculs 3D'!$E$32)),0)</f>
        <v>0.26734611777999329</v>
      </c>
      <c r="H58" s="105">
        <f>IF(Body2Actif=TRUE,((((($B58*$H$4)+'Calculs 3D'!$C$7-OffsetX)/Ecran)*'Calculs 3D'!$C$31)+(((($C58*$H$4)+'Calculs 3D'!$D$7-OffsetY)/Ecran)*'Calculs 3D'!$D$31)+(((($D58*$H$4)+'Calculs 3D'!$E$7-OffsetZ)/Ecran)*'Calculs 3D'!$E$31)),0)</f>
        <v>2.1335827000166292E-2</v>
      </c>
      <c r="I58" s="105">
        <f>IF(Body2Actif=TRUE,((((($B58*$H$4)+'Calculs 3D'!$C$7-OffsetX)/Ecran)*'Calculs 3D'!$C$32)+(((($C58*$H$4)+'Calculs 3D'!$D$7-OffsetY)/Ecran)*'Calculs 3D'!$D$32)+(((($D58*$H$4)+'Calculs 3D'!$E$7-OffsetZ)/Ecran)*'Calculs 3D'!$E$32)),0)</f>
        <v>4.3896492039103743E-2</v>
      </c>
      <c r="J58" s="105">
        <f>IF(Body3Actif=TRUE,((((($B58*$J$4)+'Calculs 3D'!$C$8-OffsetX)/Ecran)*'Calculs 3D'!$C$31)+(((($C58*$J$4)+'Calculs 3D'!$D$8-OffsetY)/Ecran)*'Calculs 3D'!$D$31)+(((($D58*$J$4)+'Calculs 3D'!$E$8-OffsetZ)/Ecran)*'Calculs 3D'!$E$31)),0)</f>
        <v>0.21692129536054761</v>
      </c>
      <c r="K58" s="105">
        <f>IF(Body3Actif=TRUE,((((($B58*$J$4)+'Calculs 3D'!$C$8-OffsetX)/Ecran)*'Calculs 3D'!$C$32)+(((($C58*$J$4)+'Calculs 3D'!$D$8-OffsetY)/Ecran)*'Calculs 3D'!$D$32)+(((($D58*$J$4)+'Calculs 3D'!$E$8-OffsetZ)/Ecran)*'Calculs 3D'!$E$32)),0)</f>
        <v>-7.4833525231542103E-2</v>
      </c>
      <c r="L58" s="105">
        <f>IF(Body4Actif=TRUE,((((($B58*$L$4)+'Calculs 3D'!$C$9-OffsetX)/Ecran)*'Calculs 3D'!$C$31)+(((($C58*$L$4)+'Calculs 3D'!$D$9-OffsetY)/Ecran)*'Calculs 3D'!$D$31)+(((($D58*$L$4)+'Calculs 3D'!$E$9-OffsetZ)/Ecran)*'Calculs 3D'!$E$31)),0)</f>
        <v>-9.678686161479981E-2</v>
      </c>
      <c r="M58" s="105">
        <f>IF(Body4Actif=TRUE,((((($B58*$L$4)+'Calculs 3D'!$C$9-OffsetX)/Ecran)*'Calculs 3D'!$C$32)+(((($C58*$L$4)+'Calculs 3D'!$D$9-OffsetY)/Ecran)*'Calculs 3D'!$D$32)+(((($D58*$L$4)+'Calculs 3D'!$E$9-OffsetZ)/Ecran)*'Calculs 3D'!$E$32)),0)</f>
        <v>-0.16426422228277412</v>
      </c>
      <c r="N58" s="105">
        <f>IF(Body5Actif=TRUE,((((($B58*$N$4)+'Calculs 3D'!$C$10-OffsetX)/Ecran)*'Calculs 3D'!$C$31)+(((($C58*$N$4)+'Calculs 3D'!$D$10-OffsetY)/Ecran)*'Calculs 3D'!$D$31)+(((($D58*$N$4)+'Calculs 3D'!$E$10-OffsetZ)/Ecran)*'Calculs 3D'!$E$31)),0)</f>
        <v>-1.7252552239516526E-3</v>
      </c>
      <c r="O58" s="105">
        <f>IF(Body5Actif=TRUE,((((($B58*$N$4)+'Calculs 3D'!$C$10-OffsetX)/Ecran)*'Calculs 3D'!$C$32)+(((($C58*$N$4)+'Calculs 3D'!$D$10-OffsetY)/Ecran)*'Calculs 3D'!$D$32)+(((($D58*$N$4)+'Calculs 3D'!$E$10-OffsetZ)/Ecran)*'Calculs 3D'!$E$32)),0)</f>
        <v>3.7608149180392847E-3</v>
      </c>
      <c r="P58" s="105">
        <f>IF(Body6Actif=TRUE,((((($B58*$P$4)+'Calculs 3D'!$C$11-OffsetX)/Ecran)*'Calculs 3D'!$C$31)+(((($C58*$P$4)+'Calculs 3D'!$D$11-OffsetY)/Ecran)*'Calculs 3D'!$D$31)+(((($D58*$P$4)+'Calculs 3D'!$E$11-OffsetZ)/Ecran)*'Calculs 3D'!$E$31)),0)</f>
        <v>0.16693643848374468</v>
      </c>
      <c r="Q58" s="105">
        <f>IF(Body6Actif=TRUE,((((($B58*$P$4)+'Calculs 3D'!$C$11-OffsetX)/Ecran)*'Calculs 3D'!$C$32)+(((($C58*$P$4)+'Calculs 3D'!$D$11-OffsetY)/Ecran)*'Calculs 3D'!$D$32)+(((($D58*$P$4)+'Calculs 3D'!$E$11-OffsetZ)/Ecran)*'Calculs 3D'!$E$32)),0)</f>
        <v>0.14572231356442178</v>
      </c>
      <c r="R58" s="105">
        <f>IF(Body7Actif=TRUE,((((($B58*$R$4)+'Calculs 3D'!$C$12-OffsetX)/Ecran)*'Calculs 3D'!$C$31)+(((($C58*$R$4)+'Calculs 3D'!$D$12-OffsetY)/Ecran)*'Calculs 3D'!$D$31)+(((($D58*$R$4)+'Calculs 3D'!$E$12-OffsetZ)/Ecran)*'Calculs 3D'!$E$31)),0)</f>
        <v>-0.284494608391268</v>
      </c>
      <c r="S58" s="105">
        <f>IF(Body7Actif=TRUE,((((($B58*$R$4)+'Calculs 3D'!$C$12-OffsetX)/Ecran)*'Calculs 3D'!$C$32)+(((($C58*$R$4)+'Calculs 3D'!$D$12-OffsetY)/Ecran)*'Calculs 3D'!$D$32)+(((($D58*$R$4)+'Calculs 3D'!$E$12-OffsetZ)/Ecran)*'Calculs 3D'!$E$32)),0)</f>
        <v>7.5065050079377443E-2</v>
      </c>
      <c r="T58" s="105">
        <f>IF(Body8Actif=TRUE,((((($B58*$T$4)+'Calculs 3D'!$C$13-OffsetX)/Ecran)*'Calculs 3D'!$C$31)+(((($C58*$T$4)+'Calculs 3D'!$D$13-OffsetY)/Ecran)*'Calculs 3D'!$D$31)+(((($D58*$T$4)+'Calculs 3D'!$E$13-OffsetZ)/Ecran)*'Calculs 3D'!$E$31)),0)</f>
        <v>0.16681608315459828</v>
      </c>
      <c r="U58" s="105">
        <f>IF(Body8Actif=TRUE,((((($B58*$T$4)+'Calculs 3D'!$C$13-OffsetX)/Ecran)*'Calculs 3D'!$C$32)+(((($C58*$T$4)+'Calculs 3D'!$D$13-OffsetY)/Ecran)*'Calculs 3D'!$D$32)+(((($D58*$T$4)+'Calculs 3D'!$E$13-OffsetZ)/Ecran)*'Calculs 3D'!$E$32)),0)</f>
        <v>-0.12598304819555653</v>
      </c>
      <c r="V58" s="105">
        <f>IF(Body9Actif=TRUE,((((($B58*$V$4)+'Calculs 3D'!$C$14-OffsetX)/Ecran)*'Calculs 3D'!$C$31)+(((($C58*$V$4)+'Calculs 3D'!$D$14-OffsetY)/Ecran)*'Calculs 3D'!$D$31)+(((($D58*$V$4)+'Calculs 3D'!$E$14-OffsetZ)/Ecran)*'Calculs 3D'!$E$31)),0)</f>
        <v>-0.17953860595670129</v>
      </c>
      <c r="W58" s="105">
        <f>IF(Body9Actif=TRUE,((((($B58*$V$4)+'Calculs 3D'!$C$14-OffsetX)/Ecran)*'Calculs 3D'!$C$32)+(((($C58*$V$4)+'Calculs 3D'!$D$14-OffsetY)/Ecran)*'Calculs 3D'!$D$32)+(((($D58*$V$4)+'Calculs 3D'!$E$14-OffsetZ)/Ecran)*'Calculs 3D'!$E$32)),0)</f>
        <v>0.29503885797163193</v>
      </c>
      <c r="X58" s="105">
        <f>IF(Body10Actif=TRUE,((((($B58*$X$4)+'Calculs 3D'!$C$15-OffsetX)/Ecran)*'Calculs 3D'!$C$31)+(((($C58*$X$4)+'Calculs 3D'!$D$15-OffsetY)/Ecran)*'Calculs 3D'!$D$31)+(((($D58*$X$4)+'Calculs 3D'!$E$15-OffsetZ)/Ecran)*'Calculs 3D'!$E$31)),0)</f>
        <v>-1.8279787296918898E-2</v>
      </c>
      <c r="Y58" s="105">
        <f>IF(Body10Actif=TRUE,((((($B58*$X$4)+'Calculs 3D'!$C$15-OffsetX)/Ecran)*'Calculs 3D'!$C$32)+(((($C58*$X$4)+'Calculs 3D'!$D$15-OffsetY)/Ecran)*'Calculs 3D'!$D$32)+(((($D58*$X$4)+'Calculs 3D'!$E$15-OffsetZ)/Ecran)*'Calculs 3D'!$E$32)),0)</f>
        <v>0.30215266117759815</v>
      </c>
    </row>
    <row r="59" spans="2:25" x14ac:dyDescent="0.3">
      <c r="B59" s="102">
        <v>-0.81790860401383203</v>
      </c>
      <c r="C59" s="102">
        <v>0.26575461516245485</v>
      </c>
      <c r="D59" s="102">
        <v>0.5</v>
      </c>
      <c r="F59" s="105">
        <f>IF(Body1Actif=TRUE,((((($B59*$F$4)+'Calculs 3D'!$C$6-OffsetX)/Ecran)*'Calculs 3D'!$C$31)+(((($C59*$F$4)+'Calculs 3D'!$D$6-OffsetY)/Ecran)*'Calculs 3D'!$D$31)+(((($D59*$F$4)+'Calculs 3D'!$E$6-OffsetZ)/Ecran)*'Calculs 3D'!$E$31)),0)</f>
        <v>4.8669995722823323E-2</v>
      </c>
      <c r="G59" s="105">
        <f>IF(Body1Actif=TRUE,((((($B59*$F$4)+'Calculs 3D'!$C$6-OffsetX)/Ecran)*'Calculs 3D'!$C$32)+(((($C59*$F$4)+'Calculs 3D'!$D$6-OffsetY)/Ecran)*'Calculs 3D'!$D$32)+(((($D59*$F$4)+'Calculs 3D'!$E$6-OffsetZ)/Ecran)*'Calculs 3D'!$E$32)),0)</f>
        <v>0.26706207793732328</v>
      </c>
      <c r="H59" s="105">
        <f>IF(Body2Actif=TRUE,((((($B59*$H$4)+'Calculs 3D'!$C$7-OffsetX)/Ecran)*'Calculs 3D'!$C$31)+(((($C59*$H$4)+'Calculs 3D'!$D$7-OffsetY)/Ecran)*'Calculs 3D'!$D$31)+(((($D59*$H$4)+'Calculs 3D'!$E$7-OffsetZ)/Ecran)*'Calculs 3D'!$E$31)),0)</f>
        <v>1.7806438451351818E-2</v>
      </c>
      <c r="I59" s="105">
        <f>IF(Body2Actif=TRUE,((((($B59*$H$4)+'Calculs 3D'!$C$7-OffsetX)/Ecran)*'Calculs 3D'!$C$32)+(((($C59*$H$4)+'Calculs 3D'!$D$7-OffsetY)/Ecran)*'Calculs 3D'!$D$32)+(((($D59*$H$4)+'Calculs 3D'!$E$7-OffsetZ)/Ecran)*'Calculs 3D'!$E$32)),0)</f>
        <v>4.2789339827869997E-2</v>
      </c>
      <c r="J59" s="105">
        <f>IF(Body3Actif=TRUE,((((($B59*$J$4)+'Calculs 3D'!$C$8-OffsetX)/Ecran)*'Calculs 3D'!$C$31)+(((($C59*$J$4)+'Calculs 3D'!$D$8-OffsetY)/Ecran)*'Calculs 3D'!$D$31)+(((($D59*$J$4)+'Calculs 3D'!$E$8-OffsetZ)/Ecran)*'Calculs 3D'!$E$31)),0)</f>
        <v>0.21535275668891118</v>
      </c>
      <c r="K59" s="105">
        <f>IF(Body3Actif=TRUE,((((($B59*$J$4)+'Calculs 3D'!$C$8-OffsetX)/Ecran)*'Calculs 3D'!$C$32)+(((($C59*$J$4)+'Calculs 3D'!$D$8-OffsetY)/Ecran)*'Calculs 3D'!$D$32)+(((($D59*$J$4)+'Calculs 3D'!$E$8-OffsetZ)/Ecran)*'Calculs 3D'!$E$32)),0)</f>
        <v>-7.5325568268087686E-2</v>
      </c>
      <c r="L59" s="105">
        <f>IF(Body4Actif=TRUE,((((($B59*$L$4)+'Calculs 3D'!$C$9-OffsetX)/Ecran)*'Calculs 3D'!$C$31)+(((($C59*$L$4)+'Calculs 3D'!$D$9-OffsetY)/Ecran)*'Calculs 3D'!$D$31)+(((($D59*$L$4)+'Calculs 3D'!$E$9-OffsetZ)/Ecran)*'Calculs 3D'!$E$31)),0)</f>
        <v>-9.8826420830079281E-2</v>
      </c>
      <c r="M59" s="105">
        <f>IF(Body4Actif=TRUE,((((($B59*$L$4)+'Calculs 3D'!$C$9-OffsetX)/Ecran)*'Calculs 3D'!$C$32)+(((($C59*$L$4)+'Calculs 3D'!$D$9-OffsetY)/Ecran)*'Calculs 3D'!$D$32)+(((($D59*$L$4)+'Calculs 3D'!$E$9-OffsetZ)/Ecran)*'Calculs 3D'!$E$32)),0)</f>
        <v>-0.16490402219822897</v>
      </c>
      <c r="N59" s="105">
        <f>IF(Body5Actif=TRUE,((((($B59*$N$4)+'Calculs 3D'!$C$10-OffsetX)/Ecran)*'Calculs 3D'!$C$31)+(((($C59*$N$4)+'Calculs 3D'!$D$10-OffsetY)/Ecran)*'Calculs 3D'!$D$31)+(((($D59*$N$4)+'Calculs 3D'!$E$10-OffsetZ)/Ecran)*'Calculs 3D'!$E$31)),0)</f>
        <v>-4.0535993052169469E-3</v>
      </c>
      <c r="O59" s="105">
        <f>IF(Body5Actif=TRUE,((((($B59*$N$4)+'Calculs 3D'!$C$10-OffsetX)/Ecran)*'Calculs 3D'!$C$32)+(((($C59*$N$4)+'Calculs 3D'!$D$10-OffsetY)/Ecran)*'Calculs 3D'!$D$32)+(((($D59*$N$4)+'Calculs 3D'!$E$10-OffsetZ)/Ecran)*'Calculs 3D'!$E$32)),0)</f>
        <v>3.0304245791938321E-3</v>
      </c>
      <c r="P59" s="105">
        <f>IF(Body6Actif=TRUE,((((($B59*$P$4)+'Calculs 3D'!$C$11-OffsetX)/Ecran)*'Calculs 3D'!$C$31)+(((($C59*$P$4)+'Calculs 3D'!$D$11-OffsetY)/Ecran)*'Calculs 3D'!$D$31)+(((($D59*$P$4)+'Calculs 3D'!$E$11-OffsetZ)/Ecran)*'Calculs 3D'!$E$31)),0)</f>
        <v>0.16356227041729771</v>
      </c>
      <c r="Q59" s="105">
        <f>IF(Body6Actif=TRUE,((((($B59*$P$4)+'Calculs 3D'!$C$11-OffsetX)/Ecran)*'Calculs 3D'!$C$32)+(((($C59*$P$4)+'Calculs 3D'!$D$11-OffsetY)/Ecran)*'Calculs 3D'!$D$32)+(((($D59*$P$4)+'Calculs 3D'!$E$11-OffsetZ)/Ecran)*'Calculs 3D'!$E$32)),0)</f>
        <v>0.14466385327188874</v>
      </c>
      <c r="R59" s="105">
        <f>IF(Body7Actif=TRUE,((((($B59*$R$4)+'Calculs 3D'!$C$12-OffsetX)/Ecran)*'Calculs 3D'!$C$31)+(((($C59*$R$4)+'Calculs 3D'!$D$12-OffsetY)/Ecran)*'Calculs 3D'!$D$31)+(((($D59*$R$4)+'Calculs 3D'!$E$12-OffsetZ)/Ecran)*'Calculs 3D'!$E$31)),0)</f>
        <v>-0.28788316224032873</v>
      </c>
      <c r="S59" s="105">
        <f>IF(Body7Actif=TRUE,((((($B59*$R$4)+'Calculs 3D'!$C$12-OffsetX)/Ecran)*'Calculs 3D'!$C$32)+(((($C59*$R$4)+'Calculs 3D'!$D$12-OffsetY)/Ecran)*'Calculs 3D'!$D$32)+(((($D59*$R$4)+'Calculs 3D'!$E$12-OffsetZ)/Ecran)*'Calculs 3D'!$E$32)),0)</f>
        <v>7.400207703603473E-2</v>
      </c>
      <c r="T59" s="105">
        <f>IF(Body8Actif=TRUE,((((($B59*$T$4)+'Calculs 3D'!$C$13-OffsetX)/Ecran)*'Calculs 3D'!$C$31)+(((($C59*$T$4)+'Calculs 3D'!$D$13-OffsetY)/Ecran)*'Calculs 3D'!$D$31)+(((($D59*$T$4)+'Calculs 3D'!$E$13-OffsetZ)/Ecran)*'Calculs 3D'!$E$31)),0)</f>
        <v>0.16559396568004336</v>
      </c>
      <c r="U59" s="105">
        <f>IF(Body8Actif=TRUE,((((($B59*$T$4)+'Calculs 3D'!$C$13-OffsetX)/Ecran)*'Calculs 3D'!$C$32)+(((($C59*$T$4)+'Calculs 3D'!$D$13-OffsetY)/Ecran)*'Calculs 3D'!$D$32)+(((($D59*$T$4)+'Calculs 3D'!$E$13-OffsetZ)/Ecran)*'Calculs 3D'!$E$32)),0)</f>
        <v>-0.12636642056888037</v>
      </c>
      <c r="V59" s="105">
        <f>IF(Body9Actif=TRUE,((((($B59*$V$4)+'Calculs 3D'!$C$14-OffsetX)/Ecran)*'Calculs 3D'!$C$31)+(((($C59*$V$4)+'Calculs 3D'!$D$14-OffsetY)/Ecran)*'Calculs 3D'!$D$31)+(((($D59*$V$4)+'Calculs 3D'!$E$14-OffsetZ)/Ecran)*'Calculs 3D'!$E$31)),0)</f>
        <v>-0.18123431343440838</v>
      </c>
      <c r="W59" s="105">
        <f>IF(Body9Actif=TRUE,((((($B59*$V$4)+'Calculs 3D'!$C$14-OffsetX)/Ecran)*'Calculs 3D'!$C$32)+(((($C59*$V$4)+'Calculs 3D'!$D$14-OffsetY)/Ecran)*'Calculs 3D'!$D$32)+(((($D59*$V$4)+'Calculs 3D'!$E$14-OffsetZ)/Ecran)*'Calculs 3D'!$E$32)),0)</f>
        <v>0.2945069226923101</v>
      </c>
      <c r="X59" s="105">
        <f>IF(Body10Actif=TRUE,((((($B59*$X$4)+'Calculs 3D'!$C$15-OffsetX)/Ecran)*'Calculs 3D'!$C$31)+(((($C59*$X$4)+'Calculs 3D'!$D$15-OffsetY)/Ecran)*'Calculs 3D'!$D$31)+(((($D59*$X$4)+'Calculs 3D'!$E$15-OffsetZ)/Ecran)*'Calculs 3D'!$E$31)),0)</f>
        <v>-2.0839379895156968E-2</v>
      </c>
      <c r="Y59" s="105">
        <f>IF(Body10Actif=TRUE,((((($B59*$X$4)+'Calculs 3D'!$C$15-OffsetX)/Ecran)*'Calculs 3D'!$C$32)+(((($C59*$X$4)+'Calculs 3D'!$D$15-OffsetY)/Ecran)*'Calculs 3D'!$D$32)+(((($D59*$X$4)+'Calculs 3D'!$E$15-OffsetZ)/Ecran)*'Calculs 3D'!$E$32)),0)</f>
        <v>0.30134972929129489</v>
      </c>
    </row>
    <row r="60" spans="2:25" x14ac:dyDescent="0.3">
      <c r="B60" s="102">
        <v>-0.86</v>
      </c>
      <c r="C60" s="102">
        <v>1.0536276712214132E-16</v>
      </c>
      <c r="D60" s="102">
        <v>0.5</v>
      </c>
      <c r="F60" s="105">
        <f>IF(Body1Actif=TRUE,((((($B60*$F$4)+'Calculs 3D'!$C$6-OffsetX)/Ecran)*'Calculs 3D'!$C$31)+(((($C60*$F$4)+'Calculs 3D'!$D$6-OffsetY)/Ecran)*'Calculs 3D'!$D$31)+(((($D60*$F$4)+'Calculs 3D'!$E$6-OffsetZ)/Ecran)*'Calculs 3D'!$E$31)),0)</f>
        <v>4.7951415066665663E-2</v>
      </c>
      <c r="G60" s="105">
        <f>IF(Body1Actif=TRUE,((((($B60*$F$4)+'Calculs 3D'!$C$6-OffsetX)/Ecran)*'Calculs 3D'!$C$32)+(((($C60*$F$4)+'Calculs 3D'!$D$6-OffsetY)/Ecran)*'Calculs 3D'!$D$32)+(((($D60*$F$4)+'Calculs 3D'!$E$6-OffsetZ)/Ecran)*'Calculs 3D'!$E$32)),0)</f>
        <v>0.26661967551041277</v>
      </c>
      <c r="H60" s="105">
        <f>IF(Body2Actif=TRUE,((((($B60*$H$4)+'Calculs 3D'!$C$7-OffsetX)/Ecran)*'Calculs 3D'!$C$31)+(((($C60*$H$4)+'Calculs 3D'!$D$7-OffsetY)/Ecran)*'Calculs 3D'!$D$31)+(((($D60*$H$4)+'Calculs 3D'!$E$7-OffsetZ)/Ecran)*'Calculs 3D'!$E$31)),0)</f>
        <v>1.5005499840288119E-2</v>
      </c>
      <c r="I60" s="105">
        <f>IF(Body2Actif=TRUE,((((($B60*$H$4)+'Calculs 3D'!$C$7-OffsetX)/Ecran)*'Calculs 3D'!$C$32)+(((($C60*$H$4)+'Calculs 3D'!$D$7-OffsetY)/Ecran)*'Calculs 3D'!$D$32)+(((($D60*$H$4)+'Calculs 3D'!$E$7-OffsetZ)/Ecran)*'Calculs 3D'!$E$32)),0)</f>
        <v>4.106490983028592E-2</v>
      </c>
      <c r="J60" s="105">
        <f>IF(Body3Actif=TRUE,((((($B60*$J$4)+'Calculs 3D'!$C$8-OffsetX)/Ecran)*'Calculs 3D'!$C$31)+(((($C60*$J$4)+'Calculs 3D'!$D$8-OffsetY)/Ecran)*'Calculs 3D'!$D$31)+(((($D60*$J$4)+'Calculs 3D'!$E$8-OffsetZ)/Ecran)*'Calculs 3D'!$E$31)),0)</f>
        <v>0.21410795735113106</v>
      </c>
      <c r="K60" s="105">
        <f>IF(Body3Actif=TRUE,((((($B60*$J$4)+'Calculs 3D'!$C$8-OffsetX)/Ecran)*'Calculs 3D'!$C$32)+(((($C60*$J$4)+'Calculs 3D'!$D$8-OffsetY)/Ecran)*'Calculs 3D'!$D$32)+(((($D60*$J$4)+'Calculs 3D'!$E$8-OffsetZ)/Ecran)*'Calculs 3D'!$E$32)),0)</f>
        <v>-7.6091943264869802E-2</v>
      </c>
      <c r="L60" s="105">
        <f>IF(Body4Actif=TRUE,((((($B60*$L$4)+'Calculs 3D'!$C$9-OffsetX)/Ecran)*'Calculs 3D'!$C$31)+(((($C60*$L$4)+'Calculs 3D'!$D$9-OffsetY)/Ecran)*'Calculs 3D'!$D$31)+(((($D60*$L$4)+'Calculs 3D'!$E$9-OffsetZ)/Ecran)*'Calculs 3D'!$E$31)),0)</f>
        <v>-0.10044502418774753</v>
      </c>
      <c r="M60" s="105">
        <f>IF(Body4Actif=TRUE,((((($B60*$L$4)+'Calculs 3D'!$C$9-OffsetX)/Ecran)*'Calculs 3D'!$C$32)+(((($C60*$L$4)+'Calculs 3D'!$D$9-OffsetY)/Ecran)*'Calculs 3D'!$D$32)+(((($D60*$L$4)+'Calculs 3D'!$E$9-OffsetZ)/Ecran)*'Calculs 3D'!$E$32)),0)</f>
        <v>-0.16590053392937809</v>
      </c>
      <c r="N60" s="105">
        <f>IF(Body5Actif=TRUE,((((($B60*$N$4)+'Calculs 3D'!$C$10-OffsetX)/Ecran)*'Calculs 3D'!$C$31)+(((($C60*$N$4)+'Calculs 3D'!$D$10-OffsetY)/Ecran)*'Calculs 3D'!$D$31)+(((($D60*$N$4)+'Calculs 3D'!$E$10-OffsetZ)/Ecran)*'Calculs 3D'!$E$31)),0)</f>
        <v>-5.9013836301386692E-3</v>
      </c>
      <c r="O60" s="105">
        <f>IF(Body5Actif=TRUE,((((($B60*$N$4)+'Calculs 3D'!$C$10-OffsetX)/Ecran)*'Calculs 3D'!$C$32)+(((($C60*$N$4)+'Calculs 3D'!$D$10-OffsetY)/Ecran)*'Calculs 3D'!$D$32)+(((($D60*$N$4)+'Calculs 3D'!$E$10-OffsetZ)/Ecran)*'Calculs 3D'!$E$32)),0)</f>
        <v>1.8928149556288968E-3</v>
      </c>
      <c r="P60" s="105">
        <f>IF(Body6Actif=TRUE,((((($B60*$P$4)+'Calculs 3D'!$C$11-OffsetX)/Ecran)*'Calculs 3D'!$C$31)+(((($C60*$P$4)+'Calculs 3D'!$D$11-OffsetY)/Ecran)*'Calculs 3D'!$D$31)+(((($D60*$P$4)+'Calculs 3D'!$E$11-OffsetZ)/Ecran)*'Calculs 3D'!$E$31)),0)</f>
        <v>0.16088451547849852</v>
      </c>
      <c r="Q60" s="105">
        <f>IF(Body6Actif=TRUE,((((($B60*$P$4)+'Calculs 3D'!$C$11-OffsetX)/Ecran)*'Calculs 3D'!$C$32)+(((($C60*$P$4)+'Calculs 3D'!$D$11-OffsetY)/Ecran)*'Calculs 3D'!$D$32)+(((($D60*$P$4)+'Calculs 3D'!$E$11-OffsetZ)/Ecran)*'Calculs 3D'!$E$32)),0)</f>
        <v>0.14301526271570703</v>
      </c>
      <c r="R60" s="105">
        <f>IF(Body7Actif=TRUE,((((($B60*$R$4)+'Calculs 3D'!$C$12-OffsetX)/Ecran)*'Calculs 3D'!$C$31)+(((($C60*$R$4)+'Calculs 3D'!$D$12-OffsetY)/Ecran)*'Calculs 3D'!$D$31)+(((($D60*$R$4)+'Calculs 3D'!$E$12-OffsetZ)/Ecran)*'Calculs 3D'!$E$31)),0)</f>
        <v>-0.29057233380085046</v>
      </c>
      <c r="S60" s="105">
        <f>IF(Body7Actif=TRUE,((((($B60*$R$4)+'Calculs 3D'!$C$12-OffsetX)/Ecran)*'Calculs 3D'!$C$32)+(((($C60*$R$4)+'Calculs 3D'!$D$12-OffsetY)/Ecran)*'Calculs 3D'!$D$32)+(((($D60*$R$4)+'Calculs 3D'!$E$12-OffsetZ)/Ecran)*'Calculs 3D'!$E$32)),0)</f>
        <v>7.2346457705680142E-2</v>
      </c>
      <c r="T60" s="105">
        <f>IF(Body8Actif=TRUE,((((($B60*$T$4)+'Calculs 3D'!$C$13-OffsetX)/Ecran)*'Calculs 3D'!$C$31)+(((($C60*$T$4)+'Calculs 3D'!$D$13-OffsetY)/Ecran)*'Calculs 3D'!$D$31)+(((($D60*$T$4)+'Calculs 3D'!$E$13-OffsetZ)/Ecran)*'Calculs 3D'!$E$31)),0)</f>
        <v>0.16462408776085349</v>
      </c>
      <c r="U60" s="105">
        <f>IF(Body8Actif=TRUE,((((($B60*$T$4)+'Calculs 3D'!$C$13-OffsetX)/Ecran)*'Calculs 3D'!$C$32)+(((($C60*$T$4)+'Calculs 3D'!$D$13-OffsetY)/Ecran)*'Calculs 3D'!$D$32)+(((($D60*$T$4)+'Calculs 3D'!$E$13-OffsetZ)/Ecran)*'Calculs 3D'!$E$32)),0)</f>
        <v>-0.12696353703949453</v>
      </c>
      <c r="V60" s="105">
        <f>IF(Body9Actif=TRUE,((((($B60*$V$4)+'Calculs 3D'!$C$14-OffsetX)/Ecran)*'Calculs 3D'!$C$31)+(((($C60*$V$4)+'Calculs 3D'!$D$14-OffsetY)/Ecran)*'Calculs 3D'!$D$31)+(((($D60*$V$4)+'Calculs 3D'!$E$14-OffsetZ)/Ecran)*'Calculs 3D'!$E$31)),0)</f>
        <v>-0.1825800345080982</v>
      </c>
      <c r="W60" s="105">
        <f>IF(Body9Actif=TRUE,((((($B60*$V$4)+'Calculs 3D'!$C$14-OffsetX)/Ecran)*'Calculs 3D'!$C$32)+(((($C60*$V$4)+'Calculs 3D'!$D$14-OffsetY)/Ecran)*'Calculs 3D'!$D$32)+(((($D60*$V$4)+'Calculs 3D'!$E$14-OffsetZ)/Ecran)*'Calculs 3D'!$E$32)),0)</f>
        <v>0.29367841407070538</v>
      </c>
      <c r="X60" s="105">
        <f>IF(Body10Actif=TRUE,((((($B60*$X$4)+'Calculs 3D'!$C$15-OffsetX)/Ecran)*'Calculs 3D'!$C$31)+(((($C60*$X$4)+'Calculs 3D'!$D$15-OffsetY)/Ecran)*'Calculs 3D'!$D$31)+(((($D60*$X$4)+'Calculs 3D'!$E$15-OffsetZ)/Ecran)*'Calculs 3D'!$E$31)),0)</f>
        <v>-2.2870684082225284E-2</v>
      </c>
      <c r="Y60" s="105">
        <f>IF(Body10Actif=TRUE,((((($B60*$X$4)+'Calculs 3D'!$C$15-OffsetX)/Ecran)*'Calculs 3D'!$C$32)+(((($C60*$X$4)+'Calculs 3D'!$D$15-OffsetY)/Ecran)*'Calculs 3D'!$D$32)+(((($D60*$X$4)+'Calculs 3D'!$E$15-OffsetZ)/Ecran)*'Calculs 3D'!$E$32)),0)</f>
        <v>0.3000991335586492</v>
      </c>
    </row>
    <row r="61" spans="2:25" x14ac:dyDescent="0.3">
      <c r="B61" s="102">
        <v>-0.81790860401383203</v>
      </c>
      <c r="C61" s="102">
        <v>-0.26575461516245502</v>
      </c>
      <c r="D61" s="102">
        <v>0.5</v>
      </c>
      <c r="F61" s="105">
        <f>IF(Body1Actif=TRUE,((((($B61*$F$4)+'Calculs 3D'!$C$6-OffsetX)/Ecran)*'Calculs 3D'!$C$31)+(((($C61*$F$4)+'Calculs 3D'!$D$6-OffsetY)/Ecran)*'Calculs 3D'!$D$31)+(((($D61*$F$4)+'Calculs 3D'!$E$6-OffsetZ)/Ecran)*'Calculs 3D'!$E$31)),0)</f>
        <v>4.7490057885725093E-2</v>
      </c>
      <c r="G61" s="105">
        <f>IF(Body1Actif=TRUE,((((($B61*$F$4)+'Calculs 3D'!$C$6-OffsetX)/Ecran)*'Calculs 3D'!$C$32)+(((($C61*$F$4)+'Calculs 3D'!$D$6-OffsetY)/Ecran)*'Calculs 3D'!$D$32)+(((($D61*$F$4)+'Calculs 3D'!$E$6-OffsetZ)/Ecran)*'Calculs 3D'!$E$32)),0)</f>
        <v>0.26606221593120671</v>
      </c>
      <c r="H61" s="105">
        <f>IF(Body2Actif=TRUE,((((($B61*$H$4)+'Calculs 3D'!$C$7-OffsetX)/Ecran)*'Calculs 3D'!$C$31)+(((($C61*$H$4)+'Calculs 3D'!$D$7-OffsetY)/Ecran)*'Calculs 3D'!$D$31)+(((($D61*$H$4)+'Calculs 3D'!$E$7-OffsetZ)/Ecran)*'Calculs 3D'!$E$31)),0)</f>
        <v>1.3207186553512929E-2</v>
      </c>
      <c r="I61" s="105">
        <f>IF(Body2Actif=TRUE,((((($B61*$H$4)+'Calculs 3D'!$C$7-OffsetX)/Ecran)*'Calculs 3D'!$C$32)+(((($C61*$H$4)+'Calculs 3D'!$D$7-OffsetY)/Ecran)*'Calculs 3D'!$D$32)+(((($D61*$H$4)+'Calculs 3D'!$E$7-OffsetZ)/Ecran)*'Calculs 3D'!$E$32)),0)</f>
        <v>3.8892001269325314E-2</v>
      </c>
      <c r="J61" s="105">
        <f>IF(Body3Actif=TRUE,((((($B61*$J$4)+'Calculs 3D'!$C$8-OffsetX)/Ecran)*'Calculs 3D'!$C$31)+(((($C61*$J$4)+'Calculs 3D'!$D$8-OffsetY)/Ecran)*'Calculs 3D'!$D$31)+(((($D61*$J$4)+'Calculs 3D'!$E$8-OffsetZ)/Ecran)*'Calculs 3D'!$E$31)),0)</f>
        <v>0.21330874697941615</v>
      </c>
      <c r="K61" s="105">
        <f>IF(Body3Actif=TRUE,((((($B61*$J$4)+'Calculs 3D'!$C$8-OffsetX)/Ecran)*'Calculs 3D'!$C$32)+(((($C61*$J$4)+'Calculs 3D'!$D$8-OffsetY)/Ecran)*'Calculs 3D'!$D$32)+(((($D61*$J$4)+'Calculs 3D'!$E$8-OffsetZ)/Ecran)*'Calculs 3D'!$E$32)),0)</f>
        <v>-7.7057632097554812E-2</v>
      </c>
      <c r="L61" s="105">
        <f>IF(Body4Actif=TRUE,((((($B61*$L$4)+'Calculs 3D'!$C$9-OffsetX)/Ecran)*'Calculs 3D'!$C$31)+(((($C61*$L$4)+'Calculs 3D'!$D$9-OffsetY)/Ecran)*'Calculs 3D'!$D$31)+(((($D61*$L$4)+'Calculs 3D'!$E$9-OffsetZ)/Ecran)*'Calculs 3D'!$E$31)),0)</f>
        <v>-0.10148423151368333</v>
      </c>
      <c r="M61" s="105">
        <f>IF(Body4Actif=TRUE,((((($B61*$L$4)+'Calculs 3D'!$C$9-OffsetX)/Ecran)*'Calculs 3D'!$C$32)+(((($C61*$L$4)+'Calculs 3D'!$D$9-OffsetY)/Ecran)*'Calculs 3D'!$D$32)+(((($D61*$L$4)+'Calculs 3D'!$E$9-OffsetZ)/Ecran)*'Calculs 3D'!$E$32)),0)</f>
        <v>-0.16715621196487107</v>
      </c>
      <c r="N61" s="105">
        <f>IF(Body5Actif=TRUE,((((($B61*$N$4)+'Calculs 3D'!$C$10-OffsetX)/Ecran)*'Calculs 3D'!$C$31)+(((($C61*$N$4)+'Calculs 3D'!$D$10-OffsetY)/Ecran)*'Calculs 3D'!$D$31)+(((($D61*$N$4)+'Calculs 3D'!$E$10-OffsetZ)/Ecran)*'Calculs 3D'!$E$31)),0)</f>
        <v>-7.087734194723065E-3</v>
      </c>
      <c r="O61" s="105">
        <f>IF(Body5Actif=TRUE,((((($B61*$N$4)+'Calculs 3D'!$C$10-OffsetX)/Ecran)*'Calculs 3D'!$C$32)+(((($C61*$N$4)+'Calculs 3D'!$D$10-OffsetY)/Ecran)*'Calculs 3D'!$D$32)+(((($D61*$N$4)+'Calculs 3D'!$E$10-OffsetZ)/Ecran)*'Calculs 3D'!$E$32)),0)</f>
        <v>4.5934320349133931E-4</v>
      </c>
      <c r="P61" s="105">
        <f>IF(Body6Actif=TRUE,((((($B61*$P$4)+'Calculs 3D'!$C$11-OffsetX)/Ecran)*'Calculs 3D'!$C$31)+(((($C61*$P$4)+'Calculs 3D'!$D$11-OffsetY)/Ecran)*'Calculs 3D'!$D$31)+(((($D61*$P$4)+'Calculs 3D'!$E$11-OffsetZ)/Ecran)*'Calculs 3D'!$E$31)),0)</f>
        <v>0.15916529097777238</v>
      </c>
      <c r="Q61" s="105">
        <f>IF(Body6Actif=TRUE,((((($B61*$P$4)+'Calculs 3D'!$C$11-OffsetX)/Ecran)*'Calculs 3D'!$C$32)+(((($C61*$P$4)+'Calculs 3D'!$D$11-OffsetY)/Ecran)*'Calculs 3D'!$D$32)+(((($D61*$P$4)+'Calculs 3D'!$E$11-OffsetZ)/Ecran)*'Calculs 3D'!$E$32)),0)</f>
        <v>0.14093791742592157</v>
      </c>
      <c r="R61" s="105">
        <f>IF(Body7Actif=TRUE,((((($B61*$R$4)+'Calculs 3D'!$C$12-OffsetX)/Ecran)*'Calculs 3D'!$C$31)+(((($C61*$R$4)+'Calculs 3D'!$D$12-OffsetY)/Ecran)*'Calculs 3D'!$D$31)+(((($D61*$R$4)+'Calculs 3D'!$E$12-OffsetZ)/Ecran)*'Calculs 3D'!$E$31)),0)</f>
        <v>-0.29229888822392924</v>
      </c>
      <c r="S61" s="105">
        <f>IF(Body7Actif=TRUE,((((($B61*$R$4)+'Calculs 3D'!$C$12-OffsetX)/Ecran)*'Calculs 3D'!$C$32)+(((($C61*$R$4)+'Calculs 3D'!$D$12-OffsetY)/Ecran)*'Calculs 3D'!$D$32)+(((($D61*$R$4)+'Calculs 3D'!$E$12-OffsetZ)/Ecran)*'Calculs 3D'!$E$32)),0)</f>
        <v>7.0260255643746938E-2</v>
      </c>
      <c r="T61" s="105">
        <f>IF(Body8Actif=TRUE,((((($B61*$T$4)+'Calculs 3D'!$C$13-OffsetX)/Ecran)*'Calculs 3D'!$C$31)+(((($C61*$T$4)+'Calculs 3D'!$D$13-OffsetY)/Ecran)*'Calculs 3D'!$D$31)+(((($D61*$T$4)+'Calculs 3D'!$E$13-OffsetZ)/Ecran)*'Calculs 3D'!$E$31)),0)</f>
        <v>0.16400138780529594</v>
      </c>
      <c r="U61" s="105">
        <f>IF(Body8Actif=TRUE,((((($B61*$T$4)+'Calculs 3D'!$C$13-OffsetX)/Ecran)*'Calculs 3D'!$C$32)+(((($C61*$T$4)+'Calculs 3D'!$D$13-OffsetY)/Ecran)*'Calculs 3D'!$D$32)+(((($D61*$T$4)+'Calculs 3D'!$E$13-OffsetZ)/Ecran)*'Calculs 3D'!$E$32)),0)</f>
        <v>-0.12771594768690031</v>
      </c>
      <c r="V61" s="105">
        <f>IF(Body9Actif=TRUE,((((($B61*$V$4)+'Calculs 3D'!$C$14-OffsetX)/Ecran)*'Calculs 3D'!$C$31)+(((($C61*$V$4)+'Calculs 3D'!$D$14-OffsetY)/Ecran)*'Calculs 3D'!$D$31)+(((($D61*$V$4)+'Calculs 3D'!$E$14-OffsetZ)/Ecran)*'Calculs 3D'!$E$31)),0)</f>
        <v>-0.18344404062288797</v>
      </c>
      <c r="W61" s="105">
        <f>IF(Body9Actif=TRUE,((((($B61*$V$4)+'Calculs 3D'!$C$14-OffsetX)/Ecran)*'Calculs 3D'!$C$32)+(((($C61*$V$4)+'Calculs 3D'!$D$14-OffsetY)/Ecran)*'Calculs 3D'!$D$32)+(((($D61*$V$4)+'Calculs 3D'!$E$14-OffsetZ)/Ecran)*'Calculs 3D'!$E$32)),0)</f>
        <v>0.29263443230325947</v>
      </c>
      <c r="X61" s="105">
        <f>IF(Body10Actif=TRUE,((((($B61*$X$4)+'Calculs 3D'!$C$15-OffsetX)/Ecran)*'Calculs 3D'!$C$31)+(((($C61*$X$4)+'Calculs 3D'!$D$15-OffsetY)/Ecran)*'Calculs 3D'!$D$31)+(((($D61*$X$4)+'Calculs 3D'!$E$15-OffsetZ)/Ecran)*'Calculs 3D'!$E$31)),0)</f>
        <v>-2.4174861651365162E-2</v>
      </c>
      <c r="Y61" s="105">
        <f>IF(Body10Actif=TRUE,((((($B61*$X$4)+'Calculs 3D'!$C$15-OffsetX)/Ecran)*'Calculs 3D'!$C$32)+(((($C61*$X$4)+'Calculs 3D'!$D$15-OffsetY)/Ecran)*'Calculs 3D'!$D$32)+(((($D61*$X$4)+'Calculs 3D'!$E$15-OffsetZ)/Ecran)*'Calculs 3D'!$E$32)),0)</f>
        <v>0.29852329100338532</v>
      </c>
    </row>
    <row r="62" spans="2:25" x14ac:dyDescent="0.3">
      <c r="B62" s="102">
        <v>-0.69575461516245485</v>
      </c>
      <c r="C62" s="102">
        <v>-0.50549531697152683</v>
      </c>
      <c r="D62" s="102">
        <v>0.5</v>
      </c>
      <c r="F62" s="105">
        <f>IF(Body1Actif=TRUE,((((($B62*$F$4)+'Calculs 3D'!$C$6-OffsetX)/Ecran)*'Calculs 3D'!$C$31)+(((($C62*$F$4)+'Calculs 3D'!$D$6-OffsetY)/Ecran)*'Calculs 3D'!$D$31)+(((($D62*$F$4)+'Calculs 3D'!$E$6-OffsetZ)/Ecran)*'Calculs 3D'!$E$31)),0)</f>
        <v>4.7331085035336569E-2</v>
      </c>
      <c r="G62" s="105">
        <f>IF(Body1Actif=TRUE,((((($B62*$F$4)+'Calculs 3D'!$C$6-OffsetX)/Ecran)*'Calculs 3D'!$C$32)+(((($C62*$F$4)+'Calculs 3D'!$D$6-OffsetY)/Ecran)*'Calculs 3D'!$D$32)+(((($D62*$F$4)+'Calculs 3D'!$E$6-OffsetZ)/Ecran)*'Calculs 3D'!$E$32)),0)</f>
        <v>0.26544426722736703</v>
      </c>
      <c r="H62" s="105">
        <f>IF(Body2Actif=TRUE,((((($B62*$H$4)+'Calculs 3D'!$C$7-OffsetX)/Ecran)*'Calculs 3D'!$C$31)+(((($C62*$H$4)+'Calculs 3D'!$D$7-OffsetY)/Ecran)*'Calculs 3D'!$D$31)+(((($D62*$H$4)+'Calculs 3D'!$E$7-OffsetZ)/Ecran)*'Calculs 3D'!$E$31)),0)</f>
        <v>1.2587530025121241E-2</v>
      </c>
      <c r="I62" s="105">
        <f>IF(Body2Actif=TRUE,((((($B62*$H$4)+'Calculs 3D'!$C$7-OffsetX)/Ecran)*'Calculs 3D'!$C$32)+(((($C62*$H$4)+'Calculs 3D'!$D$7-OffsetY)/Ecran)*'Calculs 3D'!$D$32)+(((($D62*$H$4)+'Calculs 3D'!$E$7-OffsetZ)/Ecran)*'Calculs 3D'!$E$32)),0)</f>
        <v>3.6483313574479183E-2</v>
      </c>
      <c r="J62" s="105">
        <f>IF(Body3Actif=TRUE,((((($B62*$J$4)+'Calculs 3D'!$C$8-OffsetX)/Ecran)*'Calculs 3D'!$C$31)+(((($C62*$J$4)+'Calculs 3D'!$D$8-OffsetY)/Ecran)*'Calculs 3D'!$D$31)+(((($D62*$J$4)+'Calculs 3D'!$E$8-OffsetZ)/Ecran)*'Calculs 3D'!$E$31)),0)</f>
        <v>0.2130333578533759</v>
      </c>
      <c r="K62" s="105">
        <f>IF(Body3Actif=TRUE,((((($B62*$J$4)+'Calculs 3D'!$C$8-OffsetX)/Ecran)*'Calculs 3D'!$C$32)+(((($C62*$J$4)+'Calculs 3D'!$D$8-OffsetY)/Ecran)*'Calculs 3D'!$D$32)+(((($D62*$J$4)+'Calculs 3D'!$E$8-OffsetZ)/Ecran)*'Calculs 3D'!$E$32)),0)</f>
        <v>-7.812810641484981E-2</v>
      </c>
      <c r="L62" s="105">
        <f>IF(Body4Actif=TRUE,((((($B62*$L$4)+'Calculs 3D'!$C$9-OffsetX)/Ecran)*'Calculs 3D'!$C$31)+(((($C62*$L$4)+'Calculs 3D'!$D$9-OffsetY)/Ecran)*'Calculs 3D'!$D$31)+(((($D62*$L$4)+'Calculs 3D'!$E$9-OffsetZ)/Ecran)*'Calculs 3D'!$E$31)),0)</f>
        <v>-0.10184231795424079</v>
      </c>
      <c r="M62" s="105">
        <f>IF(Body4Actif=TRUE,((((($B62*$L$4)+'Calculs 3D'!$C$9-OffsetX)/Ecran)*'Calculs 3D'!$C$32)+(((($C62*$L$4)+'Calculs 3D'!$D$9-OffsetY)/Ecran)*'Calculs 3D'!$D$32)+(((($D62*$L$4)+'Calculs 3D'!$E$9-OffsetZ)/Ecran)*'Calculs 3D'!$E$32)),0)</f>
        <v>-0.16854814178977059</v>
      </c>
      <c r="N62" s="105">
        <f>IF(Body5Actif=TRUE,((((($B62*$N$4)+'Calculs 3D'!$C$10-OffsetX)/Ecran)*'Calculs 3D'!$C$31)+(((($C62*$N$4)+'Calculs 3D'!$D$10-OffsetY)/Ecran)*'Calculs 3D'!$D$31)+(((($D62*$N$4)+'Calculs 3D'!$E$10-OffsetZ)/Ecran)*'Calculs 3D'!$E$31)),0)</f>
        <v>-7.496522739918186E-3</v>
      </c>
      <c r="O62" s="105">
        <f>IF(Body5Actif=TRUE,((((($B62*$N$4)+'Calculs 3D'!$C$10-OffsetX)/Ecran)*'Calculs 3D'!$C$32)+(((($C62*$N$4)+'Calculs 3D'!$D$10-OffsetY)/Ecran)*'Calculs 3D'!$D$32)+(((($D62*$N$4)+'Calculs 3D'!$E$10-OffsetZ)/Ecran)*'Calculs 3D'!$E$32)),0)</f>
        <v>-1.1296724745346372E-3</v>
      </c>
      <c r="P62" s="105">
        <f>IF(Body6Actif=TRUE,((((($B62*$P$4)+'Calculs 3D'!$C$11-OffsetX)/Ecran)*'Calculs 3D'!$C$31)+(((($C62*$P$4)+'Calculs 3D'!$D$11-OffsetY)/Ecran)*'Calculs 3D'!$D$31)+(((($D62*$P$4)+'Calculs 3D'!$E$11-OffsetZ)/Ecran)*'Calculs 3D'!$E$31)),0)</f>
        <v>0.15857288658779189</v>
      </c>
      <c r="Q62" s="105">
        <f>IF(Body6Actif=TRUE,((((($B62*$P$4)+'Calculs 3D'!$C$11-OffsetX)/Ecran)*'Calculs 3D'!$C$32)+(((($C62*$P$4)+'Calculs 3D'!$D$11-OffsetY)/Ecran)*'Calculs 3D'!$D$32)+(((($D62*$P$4)+'Calculs 3D'!$E$11-OffsetZ)/Ecran)*'Calculs 3D'!$E$32)),0)</f>
        <v>0.13863516243321231</v>
      </c>
      <c r="R62" s="105">
        <f>IF(Body7Actif=TRUE,((((($B62*$R$4)+'Calculs 3D'!$C$12-OffsetX)/Ecran)*'Calculs 3D'!$C$31)+(((($C62*$R$4)+'Calculs 3D'!$D$12-OffsetY)/Ecran)*'Calculs 3D'!$D$31)+(((($D62*$R$4)+'Calculs 3D'!$E$12-OffsetZ)/Ecran)*'Calculs 3D'!$E$31)),0)</f>
        <v>-0.29289381833302208</v>
      </c>
      <c r="S62" s="105">
        <f>IF(Body7Actif=TRUE,((((($B62*$R$4)+'Calculs 3D'!$C$12-OffsetX)/Ecran)*'Calculs 3D'!$C$32)+(((($C62*$R$4)+'Calculs 3D'!$D$12-OffsetY)/Ecran)*'Calculs 3D'!$D$32)+(((($D62*$R$4)+'Calculs 3D'!$E$12-OffsetZ)/Ecran)*'Calculs 3D'!$E$32)),0)</f>
        <v>6.7947682843481627E-2</v>
      </c>
      <c r="T62" s="105">
        <f>IF(Body8Actif=TRUE,((((($B62*$T$4)+'Calculs 3D'!$C$13-OffsetX)/Ecran)*'Calculs 3D'!$C$31)+(((($C62*$T$4)+'Calculs 3D'!$D$13-OffsetY)/Ecran)*'Calculs 3D'!$D$31)+(((($D62*$T$4)+'Calculs 3D'!$E$13-OffsetZ)/Ecran)*'Calculs 3D'!$E$31)),0)</f>
        <v>0.16378682002362621</v>
      </c>
      <c r="U62" s="105">
        <f>IF(Body8Actif=TRUE,((((($B62*$T$4)+'Calculs 3D'!$C$13-OffsetX)/Ecran)*'Calculs 3D'!$C$32)+(((($C62*$T$4)+'Calculs 3D'!$D$13-OffsetY)/Ecran)*'Calculs 3D'!$D$32)+(((($D62*$T$4)+'Calculs 3D'!$E$13-OffsetZ)/Ecran)*'Calculs 3D'!$E$32)),0)</f>
        <v>-0.12855000131457633</v>
      </c>
      <c r="V62" s="105">
        <f>IF(Body9Actif=TRUE,((((($B62*$V$4)+'Calculs 3D'!$C$14-OffsetX)/Ecran)*'Calculs 3D'!$C$31)+(((($C62*$V$4)+'Calculs 3D'!$D$14-OffsetY)/Ecran)*'Calculs 3D'!$D$31)+(((($D62*$V$4)+'Calculs 3D'!$E$14-OffsetZ)/Ecran)*'Calculs 3D'!$E$31)),0)</f>
        <v>-0.18374175684037744</v>
      </c>
      <c r="W62" s="105">
        <f>IF(Body9Actif=TRUE,((((($B62*$V$4)+'Calculs 3D'!$C$14-OffsetX)/Ecran)*'Calculs 3D'!$C$32)+(((($C62*$V$4)+'Calculs 3D'!$D$14-OffsetY)/Ecran)*'Calculs 3D'!$D$32)+(((($D62*$V$4)+'Calculs 3D'!$E$14-OffsetZ)/Ecran)*'Calculs 3D'!$E$32)),0)</f>
        <v>0.29147716959921871</v>
      </c>
      <c r="X62" s="105">
        <f>IF(Body10Actif=TRUE,((((($B62*$X$4)+'Calculs 3D'!$C$15-OffsetX)/Ecran)*'Calculs 3D'!$C$31)+(((($C62*$X$4)+'Calculs 3D'!$D$15-OffsetY)/Ecran)*'Calculs 3D'!$D$31)+(((($D62*$X$4)+'Calculs 3D'!$E$15-OffsetZ)/Ecran)*'Calculs 3D'!$E$31)),0)</f>
        <v>-2.46242506153697E-2</v>
      </c>
      <c r="Y62" s="105">
        <f>IF(Body10Actif=TRUE,((((($B62*$X$4)+'Calculs 3D'!$C$15-OffsetX)/Ecran)*'Calculs 3D'!$C$32)+(((($C62*$X$4)+'Calculs 3D'!$D$15-OffsetY)/Ecran)*'Calculs 3D'!$D$32)+(((($D62*$X$4)+'Calculs 3D'!$E$15-OffsetZ)/Ecran)*'Calculs 3D'!$E$32)),0)</f>
        <v>0.29677645607435316</v>
      </c>
    </row>
    <row r="63" spans="2:25" x14ac:dyDescent="0.3">
      <c r="B63" s="102">
        <v>-0.50549531697152694</v>
      </c>
      <c r="C63" s="102">
        <v>-0.69575461516245474</v>
      </c>
      <c r="D63" s="102">
        <v>0.5</v>
      </c>
      <c r="F63" s="105">
        <f>IF(Body1Actif=TRUE,((((($B63*$F$4)+'Calculs 3D'!$C$6-OffsetX)/Ecran)*'Calculs 3D'!$C$31)+(((($C63*$F$4)+'Calculs 3D'!$D$6-OffsetY)/Ecran)*'Calculs 3D'!$D$31)+(((($D63*$F$4)+'Calculs 3D'!$E$6-OffsetZ)/Ecran)*'Calculs 3D'!$E$31)),0)</f>
        <v>4.74900578857251E-2</v>
      </c>
      <c r="G63" s="105">
        <f>IF(Body1Actif=TRUE,((((($B63*$F$4)+'Calculs 3D'!$C$6-OffsetX)/Ecran)*'Calculs 3D'!$C$32)+(((($C63*$F$4)+'Calculs 3D'!$D$6-OffsetY)/Ecran)*'Calculs 3D'!$D$32)+(((($D63*$F$4)+'Calculs 3D'!$E$6-OffsetZ)/Ecran)*'Calculs 3D'!$E$32)),0)</f>
        <v>0.26482631852352728</v>
      </c>
      <c r="H63" s="105">
        <f>IF(Body2Actif=TRUE,((((($B63*$H$4)+'Calculs 3D'!$C$7-OffsetX)/Ecran)*'Calculs 3D'!$C$31)+(((($C63*$H$4)+'Calculs 3D'!$D$7-OffsetY)/Ecran)*'Calculs 3D'!$D$31)+(((($D63*$H$4)+'Calculs 3D'!$E$7-OffsetZ)/Ecran)*'Calculs 3D'!$E$31)),0)</f>
        <v>1.3207186553512933E-2</v>
      </c>
      <c r="I63" s="105">
        <f>IF(Body2Actif=TRUE,((((($B63*$H$4)+'Calculs 3D'!$C$7-OffsetX)/Ecran)*'Calculs 3D'!$C$32)+(((($C63*$H$4)+'Calculs 3D'!$D$7-OffsetY)/Ecran)*'Calculs 3D'!$D$32)+(((($D63*$H$4)+'Calculs 3D'!$E$7-OffsetZ)/Ecran)*'Calculs 3D'!$E$32)),0)</f>
        <v>3.4074625879633051E-2</v>
      </c>
      <c r="J63" s="105">
        <f>IF(Body3Actif=TRUE,((((($B63*$J$4)+'Calculs 3D'!$C$8-OffsetX)/Ecran)*'Calculs 3D'!$C$31)+(((($C63*$J$4)+'Calculs 3D'!$D$8-OffsetY)/Ecran)*'Calculs 3D'!$D$31)+(((($D63*$J$4)+'Calculs 3D'!$E$8-OffsetZ)/Ecran)*'Calculs 3D'!$E$31)),0)</f>
        <v>0.21330874697941613</v>
      </c>
      <c r="K63" s="105">
        <f>IF(Body3Actif=TRUE,((((($B63*$J$4)+'Calculs 3D'!$C$8-OffsetX)/Ecran)*'Calculs 3D'!$C$32)+(((($C63*$J$4)+'Calculs 3D'!$D$8-OffsetY)/Ecran)*'Calculs 3D'!$D$32)+(((($D63*$J$4)+'Calculs 3D'!$E$8-OffsetZ)/Ecran)*'Calculs 3D'!$E$32)),0)</f>
        <v>-7.919858073214478E-2</v>
      </c>
      <c r="L63" s="105">
        <f>IF(Body4Actif=TRUE,((((($B63*$L$4)+'Calculs 3D'!$C$9-OffsetX)/Ecran)*'Calculs 3D'!$C$31)+(((($C63*$L$4)+'Calculs 3D'!$D$9-OffsetY)/Ecran)*'Calculs 3D'!$D$31)+(((($D63*$L$4)+'Calculs 3D'!$E$9-OffsetZ)/Ecran)*'Calculs 3D'!$E$31)),0)</f>
        <v>-0.10148423151368333</v>
      </c>
      <c r="M63" s="105">
        <f>IF(Body4Actif=TRUE,((((($B63*$L$4)+'Calculs 3D'!$C$9-OffsetX)/Ecran)*'Calculs 3D'!$C$32)+(((($C63*$L$4)+'Calculs 3D'!$D$9-OffsetY)/Ecran)*'Calculs 3D'!$D$32)+(((($D63*$L$4)+'Calculs 3D'!$E$9-OffsetZ)/Ecran)*'Calculs 3D'!$E$32)),0)</f>
        <v>-0.16994007161467012</v>
      </c>
      <c r="N63" s="105">
        <f>IF(Body5Actif=TRUE,((((($B63*$N$4)+'Calculs 3D'!$C$10-OffsetX)/Ecran)*'Calculs 3D'!$C$31)+(((($C63*$N$4)+'Calculs 3D'!$D$10-OffsetY)/Ecran)*'Calculs 3D'!$D$31)+(((($D63*$N$4)+'Calculs 3D'!$E$10-OffsetZ)/Ecran)*'Calculs 3D'!$E$31)),0)</f>
        <v>-7.0877341947230624E-3</v>
      </c>
      <c r="O63" s="105">
        <f>IF(Body5Actif=TRUE,((((($B63*$N$4)+'Calculs 3D'!$C$10-OffsetX)/Ecran)*'Calculs 3D'!$C$32)+(((($C63*$N$4)+'Calculs 3D'!$D$10-OffsetY)/Ecran)*'Calculs 3D'!$D$32)+(((($D63*$N$4)+'Calculs 3D'!$E$10-OffsetZ)/Ecran)*'Calculs 3D'!$E$32)),0)</f>
        <v>-2.7186881525606121E-3</v>
      </c>
      <c r="P63" s="105">
        <f>IF(Body6Actif=TRUE,((((($B63*$P$4)+'Calculs 3D'!$C$11-OffsetX)/Ecran)*'Calculs 3D'!$C$31)+(((($C63*$P$4)+'Calculs 3D'!$D$11-OffsetY)/Ecran)*'Calculs 3D'!$D$31)+(((($D63*$P$4)+'Calculs 3D'!$E$11-OffsetZ)/Ecran)*'Calculs 3D'!$E$31)),0)</f>
        <v>0.15916529097777238</v>
      </c>
      <c r="Q63" s="105">
        <f>IF(Body6Actif=TRUE,((((($B63*$P$4)+'Calculs 3D'!$C$11-OffsetX)/Ecran)*'Calculs 3D'!$C$32)+(((($C63*$P$4)+'Calculs 3D'!$D$11-OffsetY)/Ecran)*'Calculs 3D'!$D$32)+(((($D63*$P$4)+'Calculs 3D'!$E$11-OffsetZ)/Ecran)*'Calculs 3D'!$E$32)),0)</f>
        <v>0.13633240744050301</v>
      </c>
      <c r="R63" s="105">
        <f>IF(Body7Actif=TRUE,((((($B63*$R$4)+'Calculs 3D'!$C$12-OffsetX)/Ecran)*'Calculs 3D'!$C$31)+(((($C63*$R$4)+'Calculs 3D'!$D$12-OffsetY)/Ecran)*'Calculs 3D'!$D$31)+(((($D63*$R$4)+'Calculs 3D'!$E$12-OffsetZ)/Ecran)*'Calculs 3D'!$E$31)),0)</f>
        <v>-0.29229888822392924</v>
      </c>
      <c r="S63" s="105">
        <f>IF(Body7Actif=TRUE,((((($B63*$R$4)+'Calculs 3D'!$C$12-OffsetX)/Ecran)*'Calculs 3D'!$C$32)+(((($C63*$R$4)+'Calculs 3D'!$D$12-OffsetY)/Ecran)*'Calculs 3D'!$D$32)+(((($D63*$R$4)+'Calculs 3D'!$E$12-OffsetZ)/Ecran)*'Calculs 3D'!$E$32)),0)</f>
        <v>6.5635110043216344E-2</v>
      </c>
      <c r="T63" s="105">
        <f>IF(Body8Actif=TRUE,((((($B63*$T$4)+'Calculs 3D'!$C$13-OffsetX)/Ecran)*'Calculs 3D'!$C$31)+(((($C63*$T$4)+'Calculs 3D'!$D$13-OffsetY)/Ecran)*'Calculs 3D'!$D$31)+(((($D63*$T$4)+'Calculs 3D'!$E$13-OffsetZ)/Ecran)*'Calculs 3D'!$E$31)),0)</f>
        <v>0.16400138780529588</v>
      </c>
      <c r="U63" s="105">
        <f>IF(Body8Actif=TRUE,((((($B63*$T$4)+'Calculs 3D'!$C$13-OffsetX)/Ecran)*'Calculs 3D'!$C$32)+(((($C63*$T$4)+'Calculs 3D'!$D$13-OffsetY)/Ecran)*'Calculs 3D'!$D$32)+(((($D63*$T$4)+'Calculs 3D'!$E$13-OffsetZ)/Ecran)*'Calculs 3D'!$E$32)),0)</f>
        <v>-0.12938405494225233</v>
      </c>
      <c r="V63" s="105">
        <f>IF(Body9Actif=TRUE,((((($B63*$V$4)+'Calculs 3D'!$C$14-OffsetX)/Ecran)*'Calculs 3D'!$C$31)+(((($C63*$V$4)+'Calculs 3D'!$D$14-OffsetY)/Ecran)*'Calculs 3D'!$D$31)+(((($D63*$V$4)+'Calculs 3D'!$E$14-OffsetZ)/Ecran)*'Calculs 3D'!$E$31)),0)</f>
        <v>-0.18344404062288794</v>
      </c>
      <c r="W63" s="105">
        <f>IF(Body9Actif=TRUE,((((($B63*$V$4)+'Calculs 3D'!$C$14-OffsetX)/Ecran)*'Calculs 3D'!$C$32)+(((($C63*$V$4)+'Calculs 3D'!$D$14-OffsetY)/Ecran)*'Calculs 3D'!$D$32)+(((($D63*$V$4)+'Calculs 3D'!$E$14-OffsetZ)/Ecran)*'Calculs 3D'!$E$32)),0)</f>
        <v>0.29031990689517795</v>
      </c>
      <c r="X63" s="105">
        <f>IF(Body10Actif=TRUE,((((($B63*$X$4)+'Calculs 3D'!$C$15-OffsetX)/Ecran)*'Calculs 3D'!$C$31)+(((($C63*$X$4)+'Calculs 3D'!$D$15-OffsetY)/Ecran)*'Calculs 3D'!$D$31)+(((($D63*$X$4)+'Calculs 3D'!$E$15-OffsetZ)/Ecran)*'Calculs 3D'!$E$31)),0)</f>
        <v>-2.4174861651365134E-2</v>
      </c>
      <c r="Y63" s="105">
        <f>IF(Body10Actif=TRUE,((((($B63*$X$4)+'Calculs 3D'!$C$15-OffsetX)/Ecran)*'Calculs 3D'!$C$32)+(((($C63*$X$4)+'Calculs 3D'!$D$15-OffsetY)/Ecran)*'Calculs 3D'!$D$32)+(((($D63*$X$4)+'Calculs 3D'!$E$15-OffsetZ)/Ecran)*'Calculs 3D'!$E$32)),0)</f>
        <v>0.29502962114532094</v>
      </c>
    </row>
    <row r="64" spans="2:25" x14ac:dyDescent="0.3">
      <c r="B64" s="102">
        <v>-0.26575461516245491</v>
      </c>
      <c r="C64" s="102">
        <v>-0.81790860401383203</v>
      </c>
      <c r="D64" s="102">
        <v>0.5</v>
      </c>
      <c r="F64" s="105">
        <f>IF(Body1Actif=TRUE,((((($B64*$F$4)+'Calculs 3D'!$C$6-OffsetX)/Ecran)*'Calculs 3D'!$C$31)+(((($C64*$F$4)+'Calculs 3D'!$D$6-OffsetY)/Ecran)*'Calculs 3D'!$D$31)+(((($D64*$F$4)+'Calculs 3D'!$E$6-OffsetZ)/Ecran)*'Calculs 3D'!$E$31)),0)</f>
        <v>4.7951415066665663E-2</v>
      </c>
      <c r="G64" s="105">
        <f>IF(Body1Actif=TRUE,((((($B64*$F$4)+'Calculs 3D'!$C$6-OffsetX)/Ecran)*'Calculs 3D'!$C$32)+(((($C64*$F$4)+'Calculs 3D'!$D$6-OffsetY)/Ecran)*'Calculs 3D'!$D$32)+(((($D64*$F$4)+'Calculs 3D'!$E$6-OffsetZ)/Ecran)*'Calculs 3D'!$E$32)),0)</f>
        <v>0.26426885894432123</v>
      </c>
      <c r="H64" s="105">
        <f>IF(Body2Actif=TRUE,((((($B64*$H$4)+'Calculs 3D'!$C$7-OffsetX)/Ecran)*'Calculs 3D'!$C$31)+(((($C64*$H$4)+'Calculs 3D'!$D$7-OffsetY)/Ecran)*'Calculs 3D'!$D$31)+(((($D64*$H$4)+'Calculs 3D'!$E$7-OffsetZ)/Ecran)*'Calculs 3D'!$E$31)),0)</f>
        <v>1.5005499840288115E-2</v>
      </c>
      <c r="I64" s="105">
        <f>IF(Body2Actif=TRUE,((((($B64*$H$4)+'Calculs 3D'!$C$7-OffsetX)/Ecran)*'Calculs 3D'!$C$32)+(((($C64*$H$4)+'Calculs 3D'!$D$7-OffsetY)/Ecran)*'Calculs 3D'!$D$32)+(((($D64*$H$4)+'Calculs 3D'!$E$7-OffsetZ)/Ecran)*'Calculs 3D'!$E$32)),0)</f>
        <v>3.1901717318672446E-2</v>
      </c>
      <c r="J64" s="105">
        <f>IF(Body3Actif=TRUE,((((($B64*$J$4)+'Calculs 3D'!$C$8-OffsetX)/Ecran)*'Calculs 3D'!$C$31)+(((($C64*$J$4)+'Calculs 3D'!$D$8-OffsetY)/Ecran)*'Calculs 3D'!$D$31)+(((($D64*$J$4)+'Calculs 3D'!$E$8-OffsetZ)/Ecran)*'Calculs 3D'!$E$31)),0)</f>
        <v>0.21410795735113103</v>
      </c>
      <c r="K64" s="105">
        <f>IF(Body3Actif=TRUE,((((($B64*$J$4)+'Calculs 3D'!$C$8-OffsetX)/Ecran)*'Calculs 3D'!$C$32)+(((($C64*$J$4)+'Calculs 3D'!$D$8-OffsetY)/Ecran)*'Calculs 3D'!$D$32)+(((($D64*$J$4)+'Calculs 3D'!$E$8-OffsetZ)/Ecran)*'Calculs 3D'!$E$32)),0)</f>
        <v>-8.0164269564829804E-2</v>
      </c>
      <c r="L64" s="105">
        <f>IF(Body4Actif=TRUE,((((($B64*$L$4)+'Calculs 3D'!$C$9-OffsetX)/Ecran)*'Calculs 3D'!$C$31)+(((($C64*$L$4)+'Calculs 3D'!$D$9-OffsetY)/Ecran)*'Calculs 3D'!$D$31)+(((($D64*$L$4)+'Calculs 3D'!$E$9-OffsetZ)/Ecran)*'Calculs 3D'!$E$31)),0)</f>
        <v>-0.10044502418774753</v>
      </c>
      <c r="M64" s="105">
        <f>IF(Body4Actif=TRUE,((((($B64*$L$4)+'Calculs 3D'!$C$9-OffsetX)/Ecran)*'Calculs 3D'!$C$32)+(((($C64*$L$4)+'Calculs 3D'!$D$9-OffsetY)/Ecran)*'Calculs 3D'!$D$32)+(((($D64*$L$4)+'Calculs 3D'!$E$9-OffsetZ)/Ecran)*'Calculs 3D'!$E$32)),0)</f>
        <v>-0.1711957496501631</v>
      </c>
      <c r="N64" s="105">
        <f>IF(Body5Actif=TRUE,((((($B64*$N$4)+'Calculs 3D'!$C$10-OffsetX)/Ecran)*'Calculs 3D'!$C$31)+(((($C64*$N$4)+'Calculs 3D'!$D$10-OffsetY)/Ecran)*'Calculs 3D'!$D$31)+(((($D64*$N$4)+'Calculs 3D'!$E$10-OffsetZ)/Ecran)*'Calculs 3D'!$E$31)),0)</f>
        <v>-5.9013836301386718E-3</v>
      </c>
      <c r="O64" s="105">
        <f>IF(Body5Actif=TRUE,((((($B64*$N$4)+'Calculs 3D'!$C$10-OffsetX)/Ecran)*'Calculs 3D'!$C$32)+(((($C64*$N$4)+'Calculs 3D'!$D$10-OffsetY)/Ecran)*'Calculs 3D'!$D$32)+(((($D64*$N$4)+'Calculs 3D'!$E$10-OffsetZ)/Ecran)*'Calculs 3D'!$E$32)),0)</f>
        <v>-4.1521599046981696E-3</v>
      </c>
      <c r="P64" s="105">
        <f>IF(Body6Actif=TRUE,((((($B64*$P$4)+'Calculs 3D'!$C$11-OffsetX)/Ecran)*'Calculs 3D'!$C$31)+(((($C64*$P$4)+'Calculs 3D'!$D$11-OffsetY)/Ecran)*'Calculs 3D'!$D$31)+(((($D64*$P$4)+'Calculs 3D'!$E$11-OffsetZ)/Ecran)*'Calculs 3D'!$E$31)),0)</f>
        <v>0.16088451547849852</v>
      </c>
      <c r="Q64" s="105">
        <f>IF(Body6Actif=TRUE,((((($B64*$P$4)+'Calculs 3D'!$C$11-OffsetX)/Ecran)*'Calculs 3D'!$C$32)+(((($C64*$P$4)+'Calculs 3D'!$D$11-OffsetY)/Ecran)*'Calculs 3D'!$D$32)+(((($D64*$P$4)+'Calculs 3D'!$E$11-OffsetZ)/Ecran)*'Calculs 3D'!$E$32)),0)</f>
        <v>0.13425506215071759</v>
      </c>
      <c r="R64" s="105">
        <f>IF(Body7Actif=TRUE,((((($B64*$R$4)+'Calculs 3D'!$C$12-OffsetX)/Ecran)*'Calculs 3D'!$C$31)+(((($C64*$R$4)+'Calculs 3D'!$D$12-OffsetY)/Ecran)*'Calculs 3D'!$D$31)+(((($D64*$R$4)+'Calculs 3D'!$E$12-OffsetZ)/Ecran)*'Calculs 3D'!$E$31)),0)</f>
        <v>-0.29057233380085046</v>
      </c>
      <c r="S64" s="105">
        <f>IF(Body7Actif=TRUE,((((($B64*$R$4)+'Calculs 3D'!$C$12-OffsetX)/Ecran)*'Calculs 3D'!$C$32)+(((($C64*$R$4)+'Calculs 3D'!$D$12-OffsetY)/Ecran)*'Calculs 3D'!$D$32)+(((($D64*$R$4)+'Calculs 3D'!$E$12-OffsetZ)/Ecran)*'Calculs 3D'!$E$32)),0)</f>
        <v>6.354890798128314E-2</v>
      </c>
      <c r="T64" s="105">
        <f>IF(Body8Actif=TRUE,((((($B64*$T$4)+'Calculs 3D'!$C$13-OffsetX)/Ecran)*'Calculs 3D'!$C$31)+(((($C64*$T$4)+'Calculs 3D'!$D$13-OffsetY)/Ecran)*'Calculs 3D'!$D$31)+(((($D64*$T$4)+'Calculs 3D'!$E$13-OffsetZ)/Ecran)*'Calculs 3D'!$E$31)),0)</f>
        <v>0.16462408776085349</v>
      </c>
      <c r="U64" s="105">
        <f>IF(Body8Actif=TRUE,((((($B64*$T$4)+'Calculs 3D'!$C$13-OffsetX)/Ecran)*'Calculs 3D'!$C$32)+(((($C64*$T$4)+'Calculs 3D'!$D$13-OffsetY)/Ecran)*'Calculs 3D'!$D$32)+(((($D64*$T$4)+'Calculs 3D'!$E$13-OffsetZ)/Ecran)*'Calculs 3D'!$E$32)),0)</f>
        <v>-0.13013646558965811</v>
      </c>
      <c r="V64" s="105">
        <f>IF(Body9Actif=TRUE,((((($B64*$V$4)+'Calculs 3D'!$C$14-OffsetX)/Ecran)*'Calculs 3D'!$C$31)+(((($C64*$V$4)+'Calculs 3D'!$D$14-OffsetY)/Ecran)*'Calculs 3D'!$D$31)+(((($D64*$V$4)+'Calculs 3D'!$E$14-OffsetZ)/Ecran)*'Calculs 3D'!$E$31)),0)</f>
        <v>-0.18258003450809818</v>
      </c>
      <c r="W64" s="105">
        <f>IF(Body9Actif=TRUE,((((($B64*$V$4)+'Calculs 3D'!$C$14-OffsetX)/Ecran)*'Calculs 3D'!$C$32)+(((($C64*$V$4)+'Calculs 3D'!$D$14-OffsetY)/Ecran)*'Calculs 3D'!$D$32)+(((($D64*$V$4)+'Calculs 3D'!$E$14-OffsetZ)/Ecran)*'Calculs 3D'!$E$32)),0)</f>
        <v>0.28927592512773204</v>
      </c>
      <c r="X64" s="105">
        <f>IF(Body10Actif=TRUE,((((($B64*$X$4)+'Calculs 3D'!$C$15-OffsetX)/Ecran)*'Calculs 3D'!$C$31)+(((($C64*$X$4)+'Calculs 3D'!$D$15-OffsetY)/Ecran)*'Calculs 3D'!$D$31)+(((($D64*$X$4)+'Calculs 3D'!$E$15-OffsetZ)/Ecran)*'Calculs 3D'!$E$31)),0)</f>
        <v>-2.2870684082225298E-2</v>
      </c>
      <c r="Y64" s="105">
        <f>IF(Body10Actif=TRUE,((((($B64*$X$4)+'Calculs 3D'!$C$15-OffsetX)/Ecran)*'Calculs 3D'!$C$32)+(((($C64*$X$4)+'Calculs 3D'!$D$15-OffsetY)/Ecran)*'Calculs 3D'!$D$32)+(((($D64*$X$4)+'Calculs 3D'!$E$15-OffsetZ)/Ecran)*'Calculs 3D'!$E$32)),0)</f>
        <v>0.29345377859005711</v>
      </c>
    </row>
    <row r="65" spans="2:25" x14ac:dyDescent="0.3">
      <c r="B65" s="102">
        <v>-1.5804415068321199E-16</v>
      </c>
      <c r="C65" s="102">
        <v>-0.86</v>
      </c>
      <c r="D65" s="102">
        <v>0.5</v>
      </c>
      <c r="F65" s="105">
        <f>IF(Body1Actif=TRUE,((((($B65*$F$4)+'Calculs 3D'!$C$6-OffsetX)/Ecran)*'Calculs 3D'!$C$31)+(((($C65*$F$4)+'Calculs 3D'!$D$6-OffsetY)/Ecran)*'Calculs 3D'!$D$31)+(((($D65*$F$4)+'Calculs 3D'!$E$6-OffsetZ)/Ecran)*'Calculs 3D'!$E$31)),0)</f>
        <v>4.866999572282333E-2</v>
      </c>
      <c r="G65" s="105">
        <f>IF(Body1Actif=TRUE,((((($B65*$F$4)+'Calculs 3D'!$C$6-OffsetX)/Ecran)*'Calculs 3D'!$C$32)+(((($C65*$F$4)+'Calculs 3D'!$D$6-OffsetY)/Ecran)*'Calculs 3D'!$D$32)+(((($D65*$F$4)+'Calculs 3D'!$E$6-OffsetZ)/Ecran)*'Calculs 3D'!$E$32)),0)</f>
        <v>0.26382645651741071</v>
      </c>
      <c r="H65" s="105">
        <f>IF(Body2Actif=TRUE,((((($B65*$H$4)+'Calculs 3D'!$C$7-OffsetX)/Ecran)*'Calculs 3D'!$C$31)+(((($C65*$H$4)+'Calculs 3D'!$D$7-OffsetY)/Ecran)*'Calculs 3D'!$D$31)+(((($D65*$H$4)+'Calculs 3D'!$E$7-OffsetZ)/Ecran)*'Calculs 3D'!$E$31)),0)</f>
        <v>1.7806438451351811E-2</v>
      </c>
      <c r="I65" s="105">
        <f>IF(Body2Actif=TRUE,((((($B65*$H$4)+'Calculs 3D'!$C$7-OffsetX)/Ecran)*'Calculs 3D'!$C$32)+(((($C65*$H$4)+'Calculs 3D'!$D$7-OffsetY)/Ecran)*'Calculs 3D'!$D$32)+(((($D65*$H$4)+'Calculs 3D'!$E$7-OffsetZ)/Ecran)*'Calculs 3D'!$E$32)),0)</f>
        <v>3.0177287321088372E-2</v>
      </c>
      <c r="J65" s="105">
        <f>IF(Body3Actif=TRUE,((((($B65*$J$4)+'Calculs 3D'!$C$8-OffsetX)/Ecran)*'Calculs 3D'!$C$31)+(((($C65*$J$4)+'Calculs 3D'!$D$8-OffsetY)/Ecran)*'Calculs 3D'!$D$31)+(((($D65*$J$4)+'Calculs 3D'!$E$8-OffsetZ)/Ecran)*'Calculs 3D'!$E$31)),0)</f>
        <v>0.21535275668891118</v>
      </c>
      <c r="K65" s="105">
        <f>IF(Body3Actif=TRUE,((((($B65*$J$4)+'Calculs 3D'!$C$8-OffsetX)/Ecran)*'Calculs 3D'!$C$32)+(((($C65*$J$4)+'Calculs 3D'!$D$8-OffsetY)/Ecran)*'Calculs 3D'!$D$32)+(((($D65*$J$4)+'Calculs 3D'!$E$8-OffsetZ)/Ecran)*'Calculs 3D'!$E$32)),0)</f>
        <v>-8.093064456161192E-2</v>
      </c>
      <c r="L65" s="105">
        <f>IF(Body4Actif=TRUE,((((($B65*$L$4)+'Calculs 3D'!$C$9-OffsetX)/Ecran)*'Calculs 3D'!$C$31)+(((($C65*$L$4)+'Calculs 3D'!$D$9-OffsetY)/Ecran)*'Calculs 3D'!$D$31)+(((($D65*$L$4)+'Calculs 3D'!$E$9-OffsetZ)/Ecran)*'Calculs 3D'!$E$31)),0)</f>
        <v>-9.8826420830079281E-2</v>
      </c>
      <c r="M65" s="105">
        <f>IF(Body4Actif=TRUE,((((($B65*$L$4)+'Calculs 3D'!$C$9-OffsetX)/Ecran)*'Calculs 3D'!$C$32)+(((($C65*$L$4)+'Calculs 3D'!$D$9-OffsetY)/Ecran)*'Calculs 3D'!$D$32)+(((($D65*$L$4)+'Calculs 3D'!$E$9-OffsetZ)/Ecran)*'Calculs 3D'!$E$32)),0)</f>
        <v>-0.17219226138131222</v>
      </c>
      <c r="N65" s="105">
        <f>IF(Body5Actif=TRUE,((((($B65*$N$4)+'Calculs 3D'!$C$10-OffsetX)/Ecran)*'Calculs 3D'!$C$31)+(((($C65*$N$4)+'Calculs 3D'!$D$10-OffsetY)/Ecran)*'Calculs 3D'!$D$31)+(((($D65*$N$4)+'Calculs 3D'!$E$10-OffsetZ)/Ecran)*'Calculs 3D'!$E$31)),0)</f>
        <v>-4.0535993052169487E-3</v>
      </c>
      <c r="O65" s="105">
        <f>IF(Body5Actif=TRUE,((((($B65*$N$4)+'Calculs 3D'!$C$10-OffsetX)/Ecran)*'Calculs 3D'!$C$32)+(((($C65*$N$4)+'Calculs 3D'!$D$10-OffsetY)/Ecran)*'Calculs 3D'!$D$32)+(((($D65*$N$4)+'Calculs 3D'!$E$10-OffsetZ)/Ecran)*'Calculs 3D'!$E$32)),0)</f>
        <v>-5.2897695282631023E-3</v>
      </c>
      <c r="P65" s="105">
        <f>IF(Body6Actif=TRUE,((((($B65*$P$4)+'Calculs 3D'!$C$11-OffsetX)/Ecran)*'Calculs 3D'!$C$31)+(((($C65*$P$4)+'Calculs 3D'!$D$11-OffsetY)/Ecran)*'Calculs 3D'!$D$31)+(((($D65*$P$4)+'Calculs 3D'!$E$11-OffsetZ)/Ecran)*'Calculs 3D'!$E$31)),0)</f>
        <v>0.16356227041729771</v>
      </c>
      <c r="Q65" s="105">
        <f>IF(Body6Actif=TRUE,((((($B65*$P$4)+'Calculs 3D'!$C$11-OffsetX)/Ecran)*'Calculs 3D'!$C$32)+(((($C65*$P$4)+'Calculs 3D'!$D$11-OffsetY)/Ecran)*'Calculs 3D'!$D$32)+(((($D65*$P$4)+'Calculs 3D'!$E$11-OffsetZ)/Ecran)*'Calculs 3D'!$E$32)),0)</f>
        <v>0.13260647159453587</v>
      </c>
      <c r="R65" s="105">
        <f>IF(Body7Actif=TRUE,((((($B65*$R$4)+'Calculs 3D'!$C$12-OffsetX)/Ecran)*'Calculs 3D'!$C$31)+(((($C65*$R$4)+'Calculs 3D'!$D$12-OffsetY)/Ecran)*'Calculs 3D'!$D$31)+(((($D65*$R$4)+'Calculs 3D'!$E$12-OffsetZ)/Ecran)*'Calculs 3D'!$E$31)),0)</f>
        <v>-0.28788316224032873</v>
      </c>
      <c r="S65" s="105">
        <f>IF(Body7Actif=TRUE,((((($B65*$R$4)+'Calculs 3D'!$C$12-OffsetX)/Ecran)*'Calculs 3D'!$C$32)+(((($C65*$R$4)+'Calculs 3D'!$D$12-OffsetY)/Ecran)*'Calculs 3D'!$D$32)+(((($D65*$R$4)+'Calculs 3D'!$E$12-OffsetZ)/Ecran)*'Calculs 3D'!$E$32)),0)</f>
        <v>6.1893288650928552E-2</v>
      </c>
      <c r="T65" s="105">
        <f>IF(Body8Actif=TRUE,((((($B65*$T$4)+'Calculs 3D'!$C$13-OffsetX)/Ecran)*'Calculs 3D'!$C$31)+(((($C65*$T$4)+'Calculs 3D'!$D$13-OffsetY)/Ecran)*'Calculs 3D'!$D$31)+(((($D65*$T$4)+'Calculs 3D'!$E$13-OffsetZ)/Ecran)*'Calculs 3D'!$E$31)),0)</f>
        <v>0.16559396568004336</v>
      </c>
      <c r="U65" s="105">
        <f>IF(Body8Actif=TRUE,((((($B65*$T$4)+'Calculs 3D'!$C$13-OffsetX)/Ecran)*'Calculs 3D'!$C$32)+(((($C65*$T$4)+'Calculs 3D'!$D$13-OffsetY)/Ecran)*'Calculs 3D'!$D$32)+(((($D65*$T$4)+'Calculs 3D'!$E$13-OffsetZ)/Ecran)*'Calculs 3D'!$E$32)),0)</f>
        <v>-0.1307335820602723</v>
      </c>
      <c r="V65" s="105">
        <f>IF(Body9Actif=TRUE,((((($B65*$V$4)+'Calculs 3D'!$C$14-OffsetX)/Ecran)*'Calculs 3D'!$C$31)+(((($C65*$V$4)+'Calculs 3D'!$D$14-OffsetY)/Ecran)*'Calculs 3D'!$D$31)+(((($D65*$V$4)+'Calculs 3D'!$E$14-OffsetZ)/Ecran)*'Calculs 3D'!$E$31)),0)</f>
        <v>-0.18123431343440835</v>
      </c>
      <c r="W65" s="105">
        <f>IF(Body9Actif=TRUE,((((($B65*$V$4)+'Calculs 3D'!$C$14-OffsetX)/Ecran)*'Calculs 3D'!$C$32)+(((($C65*$V$4)+'Calculs 3D'!$D$14-OffsetY)/Ecran)*'Calculs 3D'!$D$32)+(((($D65*$V$4)+'Calculs 3D'!$E$14-OffsetZ)/Ecran)*'Calculs 3D'!$E$32)),0)</f>
        <v>0.28844741650612737</v>
      </c>
      <c r="X65" s="105">
        <f>IF(Body10Actif=TRUE,((((($B65*$X$4)+'Calculs 3D'!$C$15-OffsetX)/Ecran)*'Calculs 3D'!$C$31)+(((($C65*$X$4)+'Calculs 3D'!$D$15-OffsetY)/Ecran)*'Calculs 3D'!$D$31)+(((($D65*$X$4)+'Calculs 3D'!$E$15-OffsetZ)/Ecran)*'Calculs 3D'!$E$31)),0)</f>
        <v>-2.0839379895156968E-2</v>
      </c>
      <c r="Y65" s="105">
        <f>IF(Body10Actif=TRUE,((((($B65*$X$4)+'Calculs 3D'!$C$15-OffsetX)/Ecran)*'Calculs 3D'!$C$32)+(((($C65*$X$4)+'Calculs 3D'!$D$15-OffsetY)/Ecran)*'Calculs 3D'!$D$32)+(((($D65*$X$4)+'Calculs 3D'!$E$15-OffsetZ)/Ecran)*'Calculs 3D'!$E$32)),0)</f>
        <v>0.29220318285741143</v>
      </c>
    </row>
    <row r="66" spans="2:25" x14ac:dyDescent="0.3">
      <c r="B66" s="102">
        <v>0.26575461516245463</v>
      </c>
      <c r="C66" s="102">
        <v>-0.81790860401383214</v>
      </c>
      <c r="D66" s="102">
        <v>0.5</v>
      </c>
      <c r="F66" s="105">
        <f>IF(Body1Actif=TRUE,((((($B66*$F$4)+'Calculs 3D'!$C$6-OffsetX)/Ecran)*'Calculs 3D'!$C$31)+(((($C66*$F$4)+'Calculs 3D'!$D$6-OffsetY)/Ecran)*'Calculs 3D'!$D$31)+(((($D66*$F$4)+'Calculs 3D'!$E$6-OffsetZ)/Ecran)*'Calculs 3D'!$E$31)),0)</f>
        <v>4.9575460172927514E-2</v>
      </c>
      <c r="G66" s="105">
        <f>IF(Body1Actif=TRUE,((((($B66*$F$4)+'Calculs 3D'!$C$6-OffsetX)/Ecran)*'Calculs 3D'!$C$32)+(((($C66*$F$4)+'Calculs 3D'!$D$6-OffsetY)/Ecran)*'Calculs 3D'!$D$32)+(((($D66*$F$4)+'Calculs 3D'!$E$6-OffsetZ)/Ecran)*'Calculs 3D'!$E$32)),0)</f>
        <v>0.26354241667474076</v>
      </c>
      <c r="H66" s="105">
        <f>IF(Body2Actif=TRUE,((((($B66*$H$4)+'Calculs 3D'!$C$7-OffsetX)/Ecran)*'Calculs 3D'!$C$31)+(((($C66*$H$4)+'Calculs 3D'!$D$7-OffsetY)/Ecran)*'Calculs 3D'!$D$31)+(((($D66*$H$4)+'Calculs 3D'!$E$7-OffsetZ)/Ecran)*'Calculs 3D'!$E$31)),0)</f>
        <v>2.1335827000166285E-2</v>
      </c>
      <c r="I66" s="105">
        <f>IF(Body2Actif=TRUE,((((($B66*$H$4)+'Calculs 3D'!$C$7-OffsetX)/Ecran)*'Calculs 3D'!$C$32)+(((($C66*$H$4)+'Calculs 3D'!$D$7-OffsetY)/Ecran)*'Calculs 3D'!$D$32)+(((($D66*$H$4)+'Calculs 3D'!$E$7-OffsetZ)/Ecran)*'Calculs 3D'!$E$32)),0)</f>
        <v>2.9070135109854629E-2</v>
      </c>
      <c r="J66" s="105">
        <f>IF(Body3Actif=TRUE,((((($B66*$J$4)+'Calculs 3D'!$C$8-OffsetX)/Ecran)*'Calculs 3D'!$C$31)+(((($C66*$J$4)+'Calculs 3D'!$D$8-OffsetY)/Ecran)*'Calculs 3D'!$D$31)+(((($D66*$J$4)+'Calculs 3D'!$E$8-OffsetZ)/Ecran)*'Calculs 3D'!$E$31)),0)</f>
        <v>0.21692129536054755</v>
      </c>
      <c r="K66" s="105">
        <f>IF(Body3Actif=TRUE,((((($B66*$J$4)+'Calculs 3D'!$C$8-OffsetX)/Ecran)*'Calculs 3D'!$C$32)+(((($C66*$J$4)+'Calculs 3D'!$D$8-OffsetY)/Ecran)*'Calculs 3D'!$D$32)+(((($D66*$J$4)+'Calculs 3D'!$E$8-OffsetZ)/Ecran)*'Calculs 3D'!$E$32)),0)</f>
        <v>-8.1422687598157503E-2</v>
      </c>
      <c r="L66" s="105">
        <f>IF(Body4Actif=TRUE,((((($B66*$L$4)+'Calculs 3D'!$C$9-OffsetX)/Ecran)*'Calculs 3D'!$C$31)+(((($C66*$L$4)+'Calculs 3D'!$D$9-OffsetY)/Ecran)*'Calculs 3D'!$D$31)+(((($D66*$L$4)+'Calculs 3D'!$E$9-OffsetZ)/Ecran)*'Calculs 3D'!$E$31)),0)</f>
        <v>-9.6786861614799824E-2</v>
      </c>
      <c r="M66" s="105">
        <f>IF(Body4Actif=TRUE,((((($B66*$L$4)+'Calculs 3D'!$C$9-OffsetX)/Ecran)*'Calculs 3D'!$C$32)+(((($C66*$L$4)+'Calculs 3D'!$D$9-OffsetY)/Ecran)*'Calculs 3D'!$D$32)+(((($D66*$L$4)+'Calculs 3D'!$E$9-OffsetZ)/Ecran)*'Calculs 3D'!$E$32)),0)</f>
        <v>-0.17283206129676706</v>
      </c>
      <c r="N66" s="105">
        <f>IF(Body5Actif=TRUE,((((($B66*$N$4)+'Calculs 3D'!$C$10-OffsetX)/Ecran)*'Calculs 3D'!$C$31)+(((($C66*$N$4)+'Calculs 3D'!$D$10-OffsetY)/Ecran)*'Calculs 3D'!$D$31)+(((($D66*$N$4)+'Calculs 3D'!$E$10-OffsetZ)/Ecran)*'Calculs 3D'!$E$31)),0)</f>
        <v>-1.725255223951653E-3</v>
      </c>
      <c r="O66" s="105">
        <f>IF(Body5Actif=TRUE,((((($B66*$N$4)+'Calculs 3D'!$C$10-OffsetX)/Ecran)*'Calculs 3D'!$C$32)+(((($C66*$N$4)+'Calculs 3D'!$D$10-OffsetY)/Ecran)*'Calculs 3D'!$D$32)+(((($D66*$N$4)+'Calculs 3D'!$E$10-OffsetZ)/Ecran)*'Calculs 3D'!$E$32)),0)</f>
        <v>-6.0201598671085583E-3</v>
      </c>
      <c r="P66" s="105">
        <f>IF(Body6Actif=TRUE,((((($B66*$P$4)+'Calculs 3D'!$C$11-OffsetX)/Ecran)*'Calculs 3D'!$C$31)+(((($C66*$P$4)+'Calculs 3D'!$D$11-OffsetY)/Ecran)*'Calculs 3D'!$D$31)+(((($D66*$P$4)+'Calculs 3D'!$E$11-OffsetZ)/Ecran)*'Calculs 3D'!$E$31)),0)</f>
        <v>0.16693643848374465</v>
      </c>
      <c r="Q66" s="105">
        <f>IF(Body6Actif=TRUE,((((($B66*$P$4)+'Calculs 3D'!$C$11-OffsetX)/Ecran)*'Calculs 3D'!$C$32)+(((($C66*$P$4)+'Calculs 3D'!$D$11-OffsetY)/Ecran)*'Calculs 3D'!$D$32)+(((($D66*$P$4)+'Calculs 3D'!$E$11-OffsetZ)/Ecran)*'Calculs 3D'!$E$32)),0)</f>
        <v>0.13154801130200283</v>
      </c>
      <c r="R66" s="105">
        <f>IF(Body7Actif=TRUE,((((($B66*$R$4)+'Calculs 3D'!$C$12-OffsetX)/Ecran)*'Calculs 3D'!$C$31)+(((($C66*$R$4)+'Calculs 3D'!$D$12-OffsetY)/Ecran)*'Calculs 3D'!$D$31)+(((($D66*$R$4)+'Calculs 3D'!$E$12-OffsetZ)/Ecran)*'Calculs 3D'!$E$31)),0)</f>
        <v>-0.284494608391268</v>
      </c>
      <c r="S66" s="105">
        <f>IF(Body7Actif=TRUE,((((($B66*$R$4)+'Calculs 3D'!$C$12-OffsetX)/Ecran)*'Calculs 3D'!$C$32)+(((($C66*$R$4)+'Calculs 3D'!$D$12-OffsetY)/Ecran)*'Calculs 3D'!$D$32)+(((($D66*$R$4)+'Calculs 3D'!$E$12-OffsetZ)/Ecran)*'Calculs 3D'!$E$32)),0)</f>
        <v>6.0830315607585825E-2</v>
      </c>
      <c r="T66" s="105">
        <f>IF(Body8Actif=TRUE,((((($B66*$T$4)+'Calculs 3D'!$C$13-OffsetX)/Ecran)*'Calculs 3D'!$C$31)+(((($C66*$T$4)+'Calculs 3D'!$D$13-OffsetY)/Ecran)*'Calculs 3D'!$D$31)+(((($D66*$T$4)+'Calculs 3D'!$E$13-OffsetZ)/Ecran)*'Calculs 3D'!$E$31)),0)</f>
        <v>0.16681608315459831</v>
      </c>
      <c r="U66" s="105">
        <f>IF(Body8Actif=TRUE,((((($B66*$T$4)+'Calculs 3D'!$C$13-OffsetX)/Ecran)*'Calculs 3D'!$C$32)+(((($C66*$T$4)+'Calculs 3D'!$D$13-OffsetY)/Ecran)*'Calculs 3D'!$D$32)+(((($D66*$T$4)+'Calculs 3D'!$E$13-OffsetZ)/Ecran)*'Calculs 3D'!$E$32)),0)</f>
        <v>-0.13111695443359614</v>
      </c>
      <c r="V66" s="105">
        <f>IF(Body9Actif=TRUE,((((($B66*$V$4)+'Calculs 3D'!$C$14-OffsetX)/Ecran)*'Calculs 3D'!$C$31)+(((($C66*$V$4)+'Calculs 3D'!$D$14-OffsetY)/Ecran)*'Calculs 3D'!$D$31)+(((($D66*$V$4)+'Calculs 3D'!$E$14-OffsetZ)/Ecran)*'Calculs 3D'!$E$31)),0)</f>
        <v>-0.17953860595670135</v>
      </c>
      <c r="W66" s="105">
        <f>IF(Body9Actif=TRUE,((((($B66*$V$4)+'Calculs 3D'!$C$14-OffsetX)/Ecran)*'Calculs 3D'!$C$32)+(((($C66*$V$4)+'Calculs 3D'!$D$14-OffsetY)/Ecran)*'Calculs 3D'!$D$32)+(((($D66*$V$4)+'Calculs 3D'!$E$14-OffsetZ)/Ecran)*'Calculs 3D'!$E$32)),0)</f>
        <v>0.28791548122680555</v>
      </c>
      <c r="X66" s="105">
        <f>IF(Body10Actif=TRUE,((((($B66*$X$4)+'Calculs 3D'!$C$15-OffsetX)/Ecran)*'Calculs 3D'!$C$31)+(((($C66*$X$4)+'Calculs 3D'!$D$15-OffsetY)/Ecran)*'Calculs 3D'!$D$31)+(((($D66*$X$4)+'Calculs 3D'!$E$15-OffsetZ)/Ecran)*'Calculs 3D'!$E$31)),0)</f>
        <v>-1.8279787296918884E-2</v>
      </c>
      <c r="Y66" s="105">
        <f>IF(Body10Actif=TRUE,((((($B66*$X$4)+'Calculs 3D'!$C$15-OffsetX)/Ecran)*'Calculs 3D'!$C$32)+(((($C66*$X$4)+'Calculs 3D'!$D$15-OffsetY)/Ecran)*'Calculs 3D'!$D$32)+(((($D66*$X$4)+'Calculs 3D'!$E$15-OffsetZ)/Ecran)*'Calculs 3D'!$E$32)),0)</f>
        <v>0.29140025097110811</v>
      </c>
    </row>
    <row r="67" spans="2:25" x14ac:dyDescent="0.3">
      <c r="B67" s="102">
        <v>0.50549531697152672</v>
      </c>
      <c r="C67" s="102">
        <v>-0.69575461516245485</v>
      </c>
      <c r="D67" s="102">
        <v>0.5</v>
      </c>
      <c r="F67" s="105">
        <f>IF(Body1Actif=TRUE,((((($B67*$F$4)+'Calculs 3D'!$C$6-OffsetX)/Ecran)*'Calculs 3D'!$C$31)+(((($C67*$F$4)+'Calculs 3D'!$D$6-OffsetY)/Ecran)*'Calculs 3D'!$D$31)+(((($D67*$F$4)+'Calculs 3D'!$E$6-OffsetZ)/Ecran)*'Calculs 3D'!$E$31)),0)</f>
        <v>5.0579175247860278E-2</v>
      </c>
      <c r="G67" s="105">
        <f>IF(Body1Actif=TRUE,((((($B67*$F$4)+'Calculs 3D'!$C$6-OffsetX)/Ecran)*'Calculs 3D'!$C$32)+(((($C67*$F$4)+'Calculs 3D'!$D$6-OffsetY)/Ecran)*'Calculs 3D'!$D$32)+(((($D67*$F$4)+'Calculs 3D'!$E$6-OffsetZ)/Ecran)*'Calculs 3D'!$E$32)),0)</f>
        <v>0.26344454321513383</v>
      </c>
      <c r="H67" s="105">
        <f>IF(Body2Actif=TRUE,((((($B67*$H$4)+'Calculs 3D'!$C$7-OffsetX)/Ecran)*'Calculs 3D'!$C$31)+(((($C67*$H$4)+'Calculs 3D'!$D$7-OffsetY)/Ecran)*'Calculs 3D'!$D$31)+(((($D67*$H$4)+'Calculs 3D'!$E$7-OffsetZ)/Ecran)*'Calculs 3D'!$E$31)),0)</f>
        <v>2.5248184344877588E-2</v>
      </c>
      <c r="I67" s="105">
        <f>IF(Body2Actif=TRUE,((((($B67*$H$4)+'Calculs 3D'!$C$7-OffsetX)/Ecran)*'Calculs 3D'!$C$32)+(((($C67*$H$4)+'Calculs 3D'!$D$7-OffsetY)/Ecran)*'Calculs 3D'!$D$32)+(((($D67*$H$4)+'Calculs 3D'!$E$7-OffsetZ)/Ecran)*'Calculs 3D'!$E$32)),0)</f>
        <v>2.8688636457389824E-2</v>
      </c>
      <c r="J67" s="105">
        <f>IF(Body3Actif=TRUE,((((($B67*$J$4)+'Calculs 3D'!$C$8-OffsetX)/Ecran)*'Calculs 3D'!$C$31)+(((($C67*$J$4)+'Calculs 3D'!$D$8-OffsetY)/Ecran)*'Calculs 3D'!$D$31)+(((($D67*$J$4)+'Calculs 3D'!$E$8-OffsetZ)/Ecran)*'Calculs 3D'!$E$31)),0)</f>
        <v>0.21866003387220898</v>
      </c>
      <c r="K67" s="105">
        <f>IF(Body3Actif=TRUE,((((($B67*$J$4)+'Calculs 3D'!$C$8-OffsetX)/Ecran)*'Calculs 3D'!$C$32)+(((($C67*$J$4)+'Calculs 3D'!$D$8-OffsetY)/Ecran)*'Calculs 3D'!$D$32)+(((($D67*$J$4)+'Calculs 3D'!$E$8-OffsetZ)/Ecran)*'Calculs 3D'!$E$32)),0)</f>
        <v>-8.1592234073784048E-2</v>
      </c>
      <c r="L67" s="105">
        <f>IF(Body4Actif=TRUE,((((($B67*$L$4)+'Calculs 3D'!$C$9-OffsetX)/Ecran)*'Calculs 3D'!$C$31)+(((($C67*$L$4)+'Calculs 3D'!$D$9-OffsetY)/Ecran)*'Calculs 3D'!$D$31)+(((($D67*$L$4)+'Calculs 3D'!$E$9-OffsetZ)/Ecran)*'Calculs 3D'!$E$31)),0)</f>
        <v>-9.4525992808345366E-2</v>
      </c>
      <c r="M67" s="105">
        <f>IF(Body4Actif=TRUE,((((($B67*$L$4)+'Calculs 3D'!$C$9-OffsetX)/Ecran)*'Calculs 3D'!$C$32)+(((($C67*$L$4)+'Calculs 3D'!$D$9-OffsetY)/Ecran)*'Calculs 3D'!$D$32)+(((($D67*$L$4)+'Calculs 3D'!$E$9-OffsetZ)/Ecran)*'Calculs 3D'!$E$32)),0)</f>
        <v>-0.17305252132305482</v>
      </c>
      <c r="N67" s="105">
        <f>IF(Body5Actif=TRUE,((((($B67*$N$4)+'Calculs 3D'!$C$10-OffsetX)/Ecran)*'Calculs 3D'!$C$31)+(((($C67*$N$4)+'Calculs 3D'!$D$10-OffsetY)/Ecran)*'Calculs 3D'!$D$31)+(((($D67*$N$4)+'Calculs 3D'!$E$10-OffsetZ)/Ecran)*'Calculs 3D'!$E$31)),0)</f>
        <v>8.5573407245585157E-4</v>
      </c>
      <c r="O67" s="105">
        <f>IF(Body5Actif=TRUE,((((($B67*$N$4)+'Calculs 3D'!$C$10-OffsetX)/Ecran)*'Calculs 3D'!$C$32)+(((($C67*$N$4)+'Calculs 3D'!$D$10-OffsetY)/Ecran)*'Calculs 3D'!$D$32)+(((($D67*$N$4)+'Calculs 3D'!$E$10-OffsetZ)/Ecran)*'Calculs 3D'!$E$32)),0)</f>
        <v>-6.2718352259396159E-3</v>
      </c>
      <c r="P67" s="105">
        <f>IF(Body6Actif=TRUE,((((($B67*$P$4)+'Calculs 3D'!$C$11-OffsetX)/Ecran)*'Calculs 3D'!$C$31)+(((($C67*$P$4)+'Calculs 3D'!$D$11-OffsetY)/Ecran)*'Calculs 3D'!$D$31)+(((($D67*$P$4)+'Calculs 3D'!$E$11-OffsetZ)/Ecran)*'Calculs 3D'!$E$31)),0)</f>
        <v>0.17067673259828417</v>
      </c>
      <c r="Q67" s="105">
        <f>IF(Body6Actif=TRUE,((((($B67*$P$4)+'Calculs 3D'!$C$11-OffsetX)/Ecran)*'Calculs 3D'!$C$32)+(((($C67*$P$4)+'Calculs 3D'!$D$11-OffsetY)/Ecran)*'Calculs 3D'!$D$32)+(((($D67*$P$4)+'Calculs 3D'!$E$11-OffsetZ)/Ecran)*'Calculs 3D'!$E$32)),0)</f>
        <v>0.13118329074127805</v>
      </c>
      <c r="R67" s="105">
        <f>IF(Body7Actif=TRUE,((((($B67*$R$4)+'Calculs 3D'!$C$12-OffsetX)/Ecran)*'Calculs 3D'!$C$31)+(((($C67*$R$4)+'Calculs 3D'!$D$12-OffsetY)/Ecran)*'Calculs 3D'!$D$31)+(((($D67*$R$4)+'Calculs 3D'!$E$12-OffsetZ)/Ecran)*'Calculs 3D'!$E$31)),0)</f>
        <v>-0.28073836751385717</v>
      </c>
      <c r="S67" s="105">
        <f>IF(Body7Actif=TRUE,((((($B67*$R$4)+'Calculs 3D'!$C$12-OffsetX)/Ecran)*'Calculs 3D'!$C$32)+(((($C67*$R$4)+'Calculs 3D'!$D$12-OffsetY)/Ecran)*'Calculs 3D'!$D$32)+(((($D67*$R$4)+'Calculs 3D'!$E$12-OffsetZ)/Ecran)*'Calculs 3D'!$E$32)),0)</f>
        <v>6.0464040058906057E-2</v>
      </c>
      <c r="T67" s="105">
        <f>IF(Body8Actif=TRUE,((((($B67*$T$4)+'Calculs 3D'!$C$13-OffsetX)/Ecran)*'Calculs 3D'!$C$31)+(((($C67*$T$4)+'Calculs 3D'!$D$13-OffsetY)/Ecran)*'Calculs 3D'!$D$31)+(((($D67*$T$4)+'Calculs 3D'!$E$13-OffsetZ)/Ecran)*'Calculs 3D'!$E$31)),0)</f>
        <v>0.16817081081111579</v>
      </c>
      <c r="U67" s="105">
        <f>IF(Body8Actif=TRUE,((((($B67*$T$4)+'Calculs 3D'!$C$13-OffsetX)/Ecran)*'Calculs 3D'!$C$32)+(((($C67*$T$4)+'Calculs 3D'!$D$13-OffsetY)/Ecran)*'Calculs 3D'!$D$32)+(((($D67*$T$4)+'Calculs 3D'!$E$13-OffsetZ)/Ecran)*'Calculs 3D'!$E$32)),0)</f>
        <v>-0.13124905555061622</v>
      </c>
      <c r="V67" s="105">
        <f>IF(Body9Actif=TRUE,((((($B67*$V$4)+'Calculs 3D'!$C$14-OffsetX)/Ecran)*'Calculs 3D'!$C$31)+(((($C67*$V$4)+'Calculs 3D'!$D$14-OffsetY)/Ecran)*'Calculs 3D'!$D$31)+(((($D67*$V$4)+'Calculs 3D'!$E$14-OffsetZ)/Ecran)*'Calculs 3D'!$E$31)),0)</f>
        <v>-0.17765889973758367</v>
      </c>
      <c r="W67" s="105">
        <f>IF(Body9Actif=TRUE,((((($B67*$V$4)+'Calculs 3D'!$C$14-OffsetX)/Ecran)*'Calculs 3D'!$C$32)+(((($C67*$V$4)+'Calculs 3D'!$D$14-OffsetY)/Ecran)*'Calculs 3D'!$D$32)+(((($D67*$V$4)+'Calculs 3D'!$E$14-OffsetZ)/Ecran)*'Calculs 3D'!$E$32)),0)</f>
        <v>0.28773218882111756</v>
      </c>
      <c r="X67" s="105">
        <f>IF(Body10Actif=TRUE,((((($B67*$X$4)+'Calculs 3D'!$C$15-OffsetX)/Ecran)*'Calculs 3D'!$C$31)+(((($C67*$X$4)+'Calculs 3D'!$D$15-OffsetY)/Ecran)*'Calculs 3D'!$D$31)+(((($D67*$X$4)+'Calculs 3D'!$E$15-OffsetZ)/Ecran)*'Calculs 3D'!$E$31)),0)</f>
        <v>-1.5442457044756927E-2</v>
      </c>
      <c r="Y67" s="105">
        <f>IF(Body10Actif=TRUE,((((($B67*$X$4)+'Calculs 3D'!$C$15-OffsetX)/Ecran)*'Calculs 3D'!$C$32)+(((($C67*$X$4)+'Calculs 3D'!$D$15-OffsetY)/Ecran)*'Calculs 3D'!$D$32)+(((($D67*$X$4)+'Calculs 3D'!$E$15-OffsetZ)/Ecran)*'Calculs 3D'!$E$32)),0)</f>
        <v>0.29112357949853401</v>
      </c>
    </row>
    <row r="68" spans="2:25" x14ac:dyDescent="0.3">
      <c r="B68" s="102">
        <v>0.69575461516245474</v>
      </c>
      <c r="C68" s="102">
        <v>-0.50549531697152705</v>
      </c>
      <c r="D68" s="102">
        <v>0.5</v>
      </c>
      <c r="F68" s="105">
        <f>IF(Body1Actif=TRUE,((((($B68*$F$4)+'Calculs 3D'!$C$6-OffsetX)/Ecran)*'Calculs 3D'!$C$31)+(((($C68*$F$4)+'Calculs 3D'!$D$6-OffsetY)/Ecran)*'Calculs 3D'!$D$31)+(((($D68*$F$4)+'Calculs 3D'!$E$6-OffsetZ)/Ecran)*'Calculs 3D'!$E$31)),0)</f>
        <v>5.1582890322793042E-2</v>
      </c>
      <c r="G68" s="105">
        <f>IF(Body1Actif=TRUE,((((($B68*$F$4)+'Calculs 3D'!$C$6-OffsetX)/Ecran)*'Calculs 3D'!$C$32)+(((($C68*$F$4)+'Calculs 3D'!$D$6-OffsetY)/Ecran)*'Calculs 3D'!$D$32)+(((($D68*$F$4)+'Calculs 3D'!$E$6-OffsetZ)/Ecran)*'Calculs 3D'!$E$32)),0)</f>
        <v>0.26354241667474076</v>
      </c>
      <c r="H68" s="105">
        <f>IF(Body2Actif=TRUE,((((($B68*$H$4)+'Calculs 3D'!$C$7-OffsetX)/Ecran)*'Calculs 3D'!$C$31)+(((($C68*$H$4)+'Calculs 3D'!$D$7-OffsetY)/Ecran)*'Calculs 3D'!$D$31)+(((($D68*$H$4)+'Calculs 3D'!$E$7-OffsetZ)/Ecran)*'Calculs 3D'!$E$31)),0)</f>
        <v>2.9160541689588888E-2</v>
      </c>
      <c r="I68" s="105">
        <f>IF(Body2Actif=TRUE,((((($B68*$H$4)+'Calculs 3D'!$C$7-OffsetX)/Ecran)*'Calculs 3D'!$C$32)+(((($C68*$H$4)+'Calculs 3D'!$D$7-OffsetY)/Ecran)*'Calculs 3D'!$D$32)+(((($D68*$H$4)+'Calculs 3D'!$E$7-OffsetZ)/Ecran)*'Calculs 3D'!$E$32)),0)</f>
        <v>2.9070135109854626E-2</v>
      </c>
      <c r="J68" s="105">
        <f>IF(Body3Actif=TRUE,((((($B68*$J$4)+'Calculs 3D'!$C$8-OffsetX)/Ecran)*'Calculs 3D'!$C$31)+(((($C68*$J$4)+'Calculs 3D'!$D$8-OffsetY)/Ecran)*'Calculs 3D'!$D$31)+(((($D68*$J$4)+'Calculs 3D'!$E$8-OffsetZ)/Ecran)*'Calculs 3D'!$E$31)),0)</f>
        <v>0.22039877238387034</v>
      </c>
      <c r="K68" s="105">
        <f>IF(Body3Actif=TRUE,((((($B68*$J$4)+'Calculs 3D'!$C$8-OffsetX)/Ecran)*'Calculs 3D'!$C$32)+(((($C68*$J$4)+'Calculs 3D'!$D$8-OffsetY)/Ecran)*'Calculs 3D'!$D$32)+(((($D68*$J$4)+'Calculs 3D'!$E$8-OffsetZ)/Ecran)*'Calculs 3D'!$E$32)),0)</f>
        <v>-8.1422687598157517E-2</v>
      </c>
      <c r="L68" s="105">
        <f>IF(Body4Actif=TRUE,((((($B68*$L$4)+'Calculs 3D'!$C$9-OffsetX)/Ecran)*'Calculs 3D'!$C$31)+(((($C68*$L$4)+'Calculs 3D'!$D$9-OffsetY)/Ecran)*'Calculs 3D'!$D$31)+(((($D68*$L$4)+'Calculs 3D'!$E$9-OffsetZ)/Ecran)*'Calculs 3D'!$E$31)),0)</f>
        <v>-9.2265124001890908E-2</v>
      </c>
      <c r="M68" s="105">
        <f>IF(Body4Actif=TRUE,((((($B68*$L$4)+'Calculs 3D'!$C$9-OffsetX)/Ecran)*'Calculs 3D'!$C$32)+(((($C68*$L$4)+'Calculs 3D'!$D$9-OffsetY)/Ecran)*'Calculs 3D'!$D$32)+(((($D68*$L$4)+'Calculs 3D'!$E$9-OffsetZ)/Ecran)*'Calculs 3D'!$E$32)),0)</f>
        <v>-0.17283206129676706</v>
      </c>
      <c r="N68" s="105">
        <f>IF(Body5Actif=TRUE,((((($B68*$N$4)+'Calculs 3D'!$C$10-OffsetX)/Ecran)*'Calculs 3D'!$C$31)+(((($C68*$N$4)+'Calculs 3D'!$D$10-OffsetY)/Ecran)*'Calculs 3D'!$D$31)+(((($D68*$N$4)+'Calculs 3D'!$E$10-OffsetZ)/Ecran)*'Calculs 3D'!$E$31)),0)</f>
        <v>3.4367233688633561E-3</v>
      </c>
      <c r="O68" s="105">
        <f>IF(Body5Actif=TRUE,((((($B68*$N$4)+'Calculs 3D'!$C$10-OffsetX)/Ecran)*'Calculs 3D'!$C$32)+(((($C68*$N$4)+'Calculs 3D'!$D$10-OffsetY)/Ecran)*'Calculs 3D'!$D$32)+(((($D68*$N$4)+'Calculs 3D'!$E$10-OffsetZ)/Ecran)*'Calculs 3D'!$E$32)),0)</f>
        <v>-6.0201598671085592E-3</v>
      </c>
      <c r="P68" s="105">
        <f>IF(Body6Actif=TRUE,((((($B68*$P$4)+'Calculs 3D'!$C$11-OffsetX)/Ecran)*'Calculs 3D'!$C$31)+(((($C68*$P$4)+'Calculs 3D'!$D$11-OffsetY)/Ecran)*'Calculs 3D'!$D$31)+(((($D68*$P$4)+'Calculs 3D'!$E$11-OffsetZ)/Ecran)*'Calculs 3D'!$E$31)),0)</f>
        <v>0.17441702671282372</v>
      </c>
      <c r="Q68" s="105">
        <f>IF(Body6Actif=TRUE,((((($B68*$P$4)+'Calculs 3D'!$C$11-OffsetX)/Ecran)*'Calculs 3D'!$C$32)+(((($C68*$P$4)+'Calculs 3D'!$D$11-OffsetY)/Ecran)*'Calculs 3D'!$D$32)+(((($D68*$P$4)+'Calculs 3D'!$E$11-OffsetZ)/Ecran)*'Calculs 3D'!$E$32)),0)</f>
        <v>0.13154801130200283</v>
      </c>
      <c r="R68" s="105">
        <f>IF(Body7Actif=TRUE,((((($B68*$R$4)+'Calculs 3D'!$C$12-OffsetX)/Ecran)*'Calculs 3D'!$C$31)+(((($C68*$R$4)+'Calculs 3D'!$D$12-OffsetY)/Ecran)*'Calculs 3D'!$D$31)+(((($D68*$R$4)+'Calculs 3D'!$E$12-OffsetZ)/Ecran)*'Calculs 3D'!$E$31)),0)</f>
        <v>-0.27698212663644634</v>
      </c>
      <c r="S68" s="105">
        <f>IF(Body7Actif=TRUE,((((($B68*$R$4)+'Calculs 3D'!$C$12-OffsetX)/Ecran)*'Calculs 3D'!$C$32)+(((($C68*$R$4)+'Calculs 3D'!$D$12-OffsetY)/Ecran)*'Calculs 3D'!$D$32)+(((($D68*$R$4)+'Calculs 3D'!$E$12-OffsetZ)/Ecran)*'Calculs 3D'!$E$32)),0)</f>
        <v>6.0830315607585825E-2</v>
      </c>
      <c r="T68" s="105">
        <f>IF(Body8Actif=TRUE,((((($B68*$T$4)+'Calculs 3D'!$C$13-OffsetX)/Ecran)*'Calculs 3D'!$C$31)+(((($C68*$T$4)+'Calculs 3D'!$D$13-OffsetY)/Ecran)*'Calculs 3D'!$D$31)+(((($D68*$T$4)+'Calculs 3D'!$E$13-OffsetZ)/Ecran)*'Calculs 3D'!$E$31)),0)</f>
        <v>0.16952553846763324</v>
      </c>
      <c r="U68" s="105">
        <f>IF(Body8Actif=TRUE,((((($B68*$T$4)+'Calculs 3D'!$C$13-OffsetX)/Ecran)*'Calculs 3D'!$C$32)+(((($C68*$T$4)+'Calculs 3D'!$D$13-OffsetY)/Ecran)*'Calculs 3D'!$D$32)+(((($D68*$T$4)+'Calculs 3D'!$E$13-OffsetZ)/Ecran)*'Calculs 3D'!$E$32)),0)</f>
        <v>-0.13111695443359611</v>
      </c>
      <c r="V68" s="105">
        <f>IF(Body9Actif=TRUE,((((($B68*$V$4)+'Calculs 3D'!$C$14-OffsetX)/Ecran)*'Calculs 3D'!$C$31)+(((($C68*$V$4)+'Calculs 3D'!$D$14-OffsetY)/Ecran)*'Calculs 3D'!$D$31)+(((($D68*$V$4)+'Calculs 3D'!$E$14-OffsetZ)/Ecran)*'Calculs 3D'!$E$31)),0)</f>
        <v>-0.17577919351846605</v>
      </c>
      <c r="W68" s="105">
        <f>IF(Body9Actif=TRUE,((((($B68*$V$4)+'Calculs 3D'!$C$14-OffsetX)/Ecran)*'Calculs 3D'!$C$32)+(((($C68*$V$4)+'Calculs 3D'!$D$14-OffsetY)/Ecran)*'Calculs 3D'!$D$32)+(((($D68*$V$4)+'Calculs 3D'!$E$14-OffsetZ)/Ecran)*'Calculs 3D'!$E$32)),0)</f>
        <v>0.28791548122680555</v>
      </c>
      <c r="X68" s="105">
        <f>IF(Body10Actif=TRUE,((((($B68*$X$4)+'Calculs 3D'!$C$15-OffsetX)/Ecran)*'Calculs 3D'!$C$31)+(((($C68*$X$4)+'Calculs 3D'!$D$15-OffsetY)/Ecran)*'Calculs 3D'!$D$31)+(((($D68*$X$4)+'Calculs 3D'!$E$15-OffsetZ)/Ecran)*'Calculs 3D'!$E$31)),0)</f>
        <v>-1.2605126792594915E-2</v>
      </c>
      <c r="Y68" s="105">
        <f>IF(Body10Actif=TRUE,((((($B68*$X$4)+'Calculs 3D'!$C$15-OffsetX)/Ecran)*'Calculs 3D'!$C$32)+(((($C68*$X$4)+'Calculs 3D'!$D$15-OffsetY)/Ecran)*'Calculs 3D'!$D$32)+(((($D68*$X$4)+'Calculs 3D'!$E$15-OffsetZ)/Ecran)*'Calculs 3D'!$E$32)),0)</f>
        <v>0.29140025097110817</v>
      </c>
    </row>
    <row r="69" spans="2:25" x14ac:dyDescent="0.3">
      <c r="B69" s="102">
        <v>0.81790860401383203</v>
      </c>
      <c r="C69" s="102">
        <v>-0.26575461516245497</v>
      </c>
      <c r="D69" s="102">
        <v>0.5</v>
      </c>
      <c r="F69" s="105">
        <f>IF(Body1Actif=TRUE,((((($B69*$F$4)+'Calculs 3D'!$C$6-OffsetX)/Ecran)*'Calculs 3D'!$C$31)+(((($C69*$F$4)+'Calculs 3D'!$D$6-OffsetY)/Ecran)*'Calculs 3D'!$D$31)+(((($D69*$F$4)+'Calculs 3D'!$E$6-OffsetZ)/Ecran)*'Calculs 3D'!$E$31)),0)</f>
        <v>5.2488354772897233E-2</v>
      </c>
      <c r="G69" s="105">
        <f>IF(Body1Actif=TRUE,((((($B69*$F$4)+'Calculs 3D'!$C$6-OffsetX)/Ecran)*'Calculs 3D'!$C$32)+(((($C69*$F$4)+'Calculs 3D'!$D$6-OffsetY)/Ecran)*'Calculs 3D'!$D$32)+(((($D69*$F$4)+'Calculs 3D'!$E$6-OffsetZ)/Ecran)*'Calculs 3D'!$E$32)),0)</f>
        <v>0.26382645651741071</v>
      </c>
      <c r="H69" s="105">
        <f>IF(Body2Actif=TRUE,((((($B69*$H$4)+'Calculs 3D'!$C$7-OffsetX)/Ecran)*'Calculs 3D'!$C$31)+(((($C69*$H$4)+'Calculs 3D'!$D$7-OffsetY)/Ecran)*'Calculs 3D'!$D$31)+(((($D69*$H$4)+'Calculs 3D'!$E$7-OffsetZ)/Ecran)*'Calculs 3D'!$E$31)),0)</f>
        <v>3.2689930238403359E-2</v>
      </c>
      <c r="I69" s="105">
        <f>IF(Body2Actif=TRUE,((((($B69*$H$4)+'Calculs 3D'!$C$7-OffsetX)/Ecran)*'Calculs 3D'!$C$32)+(((($C69*$H$4)+'Calculs 3D'!$D$7-OffsetY)/Ecran)*'Calculs 3D'!$D$32)+(((($D69*$H$4)+'Calculs 3D'!$E$7-OffsetZ)/Ecran)*'Calculs 3D'!$E$32)),0)</f>
        <v>3.0177287321088368E-2</v>
      </c>
      <c r="J69" s="105">
        <f>IF(Body3Actif=TRUE,((((($B69*$J$4)+'Calculs 3D'!$C$8-OffsetX)/Ecran)*'Calculs 3D'!$C$31)+(((($C69*$J$4)+'Calculs 3D'!$D$8-OffsetY)/Ecran)*'Calculs 3D'!$D$31)+(((($D69*$J$4)+'Calculs 3D'!$E$8-OffsetZ)/Ecran)*'Calculs 3D'!$E$31)),0)</f>
        <v>0.22196731105550677</v>
      </c>
      <c r="K69" s="105">
        <f>IF(Body3Actif=TRUE,((((($B69*$J$4)+'Calculs 3D'!$C$8-OffsetX)/Ecran)*'Calculs 3D'!$C$32)+(((($C69*$J$4)+'Calculs 3D'!$D$8-OffsetY)/Ecran)*'Calculs 3D'!$D$32)+(((($D69*$J$4)+'Calculs 3D'!$E$8-OffsetZ)/Ecran)*'Calculs 3D'!$E$32)),0)</f>
        <v>-8.093064456161192E-2</v>
      </c>
      <c r="L69" s="105">
        <f>IF(Body4Actif=TRUE,((((($B69*$L$4)+'Calculs 3D'!$C$9-OffsetX)/Ecran)*'Calculs 3D'!$C$31)+(((($C69*$L$4)+'Calculs 3D'!$D$9-OffsetY)/Ecran)*'Calculs 3D'!$D$31)+(((($D69*$L$4)+'Calculs 3D'!$E$9-OffsetZ)/Ecran)*'Calculs 3D'!$E$31)),0)</f>
        <v>-9.0225564786611451E-2</v>
      </c>
      <c r="M69" s="105">
        <f>IF(Body4Actif=TRUE,((((($B69*$L$4)+'Calculs 3D'!$C$9-OffsetX)/Ecran)*'Calculs 3D'!$C$32)+(((($C69*$L$4)+'Calculs 3D'!$D$9-OffsetY)/Ecran)*'Calculs 3D'!$D$32)+(((($D69*$L$4)+'Calculs 3D'!$E$9-OffsetZ)/Ecran)*'Calculs 3D'!$E$32)),0)</f>
        <v>-0.17219226138131222</v>
      </c>
      <c r="N69" s="105">
        <f>IF(Body5Actif=TRUE,((((($B69*$N$4)+'Calculs 3D'!$C$10-OffsetX)/Ecran)*'Calculs 3D'!$C$31)+(((($C69*$N$4)+'Calculs 3D'!$D$10-OffsetY)/Ecran)*'Calculs 3D'!$D$31)+(((($D69*$N$4)+'Calculs 3D'!$E$10-OffsetZ)/Ecran)*'Calculs 3D'!$E$31)),0)</f>
        <v>5.7650674501286527E-3</v>
      </c>
      <c r="O69" s="105">
        <f>IF(Body5Actif=TRUE,((((($B69*$N$4)+'Calculs 3D'!$C$10-OffsetX)/Ecran)*'Calculs 3D'!$C$32)+(((($C69*$N$4)+'Calculs 3D'!$D$10-OffsetY)/Ecran)*'Calculs 3D'!$D$32)+(((($D69*$N$4)+'Calculs 3D'!$E$10-OffsetZ)/Ecran)*'Calculs 3D'!$E$32)),0)</f>
        <v>-5.289769528263104E-3</v>
      </c>
      <c r="P69" s="105">
        <f>IF(Body6Actif=TRUE,((((($B69*$P$4)+'Calculs 3D'!$C$11-OffsetX)/Ecran)*'Calculs 3D'!$C$31)+(((($C69*$P$4)+'Calculs 3D'!$D$11-OffsetY)/Ecran)*'Calculs 3D'!$D$31)+(((($D69*$P$4)+'Calculs 3D'!$E$11-OffsetZ)/Ecran)*'Calculs 3D'!$E$31)),0)</f>
        <v>0.17779119477927063</v>
      </c>
      <c r="Q69" s="105">
        <f>IF(Body6Actif=TRUE,((((($B69*$P$4)+'Calculs 3D'!$C$11-OffsetX)/Ecran)*'Calculs 3D'!$C$32)+(((($C69*$P$4)+'Calculs 3D'!$D$11-OffsetY)/Ecran)*'Calculs 3D'!$D$32)+(((($D69*$P$4)+'Calculs 3D'!$E$11-OffsetZ)/Ecran)*'Calculs 3D'!$E$32)),0)</f>
        <v>0.13260647159453587</v>
      </c>
      <c r="R69" s="105">
        <f>IF(Body7Actif=TRUE,((((($B69*$R$4)+'Calculs 3D'!$C$12-OffsetX)/Ecran)*'Calculs 3D'!$C$31)+(((($C69*$R$4)+'Calculs 3D'!$D$12-OffsetY)/Ecran)*'Calculs 3D'!$D$31)+(((($D69*$R$4)+'Calculs 3D'!$E$12-OffsetZ)/Ecran)*'Calculs 3D'!$E$31)),0)</f>
        <v>-0.2735935727873855</v>
      </c>
      <c r="S69" s="105">
        <f>IF(Body7Actif=TRUE,((((($B69*$R$4)+'Calculs 3D'!$C$12-OffsetX)/Ecran)*'Calculs 3D'!$C$32)+(((($C69*$R$4)+'Calculs 3D'!$D$12-OffsetY)/Ecran)*'Calculs 3D'!$D$32)+(((($D69*$R$4)+'Calculs 3D'!$E$12-OffsetZ)/Ecran)*'Calculs 3D'!$E$32)),0)</f>
        <v>6.1893288650928538E-2</v>
      </c>
      <c r="T69" s="105">
        <f>IF(Body8Actif=TRUE,((((($B69*$T$4)+'Calculs 3D'!$C$13-OffsetX)/Ecran)*'Calculs 3D'!$C$31)+(((($C69*$T$4)+'Calculs 3D'!$D$13-OffsetY)/Ecran)*'Calculs 3D'!$D$31)+(((($D69*$T$4)+'Calculs 3D'!$E$13-OffsetZ)/Ecran)*'Calculs 3D'!$E$31)),0)</f>
        <v>0.17074765594218821</v>
      </c>
      <c r="U69" s="105">
        <f>IF(Body8Actif=TRUE,((((($B69*$T$4)+'Calculs 3D'!$C$13-OffsetX)/Ecran)*'Calculs 3D'!$C$32)+(((($C69*$T$4)+'Calculs 3D'!$D$13-OffsetY)/Ecran)*'Calculs 3D'!$D$32)+(((($D69*$T$4)+'Calculs 3D'!$E$13-OffsetZ)/Ecran)*'Calculs 3D'!$E$32)),0)</f>
        <v>-0.1307335820602723</v>
      </c>
      <c r="V69" s="105">
        <f>IF(Body9Actif=TRUE,((((($B69*$V$4)+'Calculs 3D'!$C$14-OffsetX)/Ecran)*'Calculs 3D'!$C$31)+(((($C69*$V$4)+'Calculs 3D'!$D$14-OffsetY)/Ecran)*'Calculs 3D'!$D$31)+(((($D69*$V$4)+'Calculs 3D'!$E$14-OffsetZ)/Ecran)*'Calculs 3D'!$E$31)),0)</f>
        <v>-0.17408348604075899</v>
      </c>
      <c r="W69" s="105">
        <f>IF(Body9Actif=TRUE,((((($B69*$V$4)+'Calculs 3D'!$C$14-OffsetX)/Ecran)*'Calculs 3D'!$C$32)+(((($C69*$V$4)+'Calculs 3D'!$D$14-OffsetY)/Ecran)*'Calculs 3D'!$D$32)+(((($D69*$V$4)+'Calculs 3D'!$E$14-OffsetZ)/Ecran)*'Calculs 3D'!$E$32)),0)</f>
        <v>0.28844741650612737</v>
      </c>
      <c r="X69" s="105">
        <f>IF(Body10Actif=TRUE,((((($B69*$X$4)+'Calculs 3D'!$C$15-OffsetX)/Ecran)*'Calculs 3D'!$C$31)+(((($C69*$X$4)+'Calculs 3D'!$D$15-OffsetY)/Ecran)*'Calculs 3D'!$D$31)+(((($D69*$X$4)+'Calculs 3D'!$E$15-OffsetZ)/Ecran)*'Calculs 3D'!$E$31)),0)</f>
        <v>-1.0045534194356845E-2</v>
      </c>
      <c r="Y69" s="105">
        <f>IF(Body10Actif=TRUE,((((($B69*$X$4)+'Calculs 3D'!$C$15-OffsetX)/Ecran)*'Calculs 3D'!$C$32)+(((($C69*$X$4)+'Calculs 3D'!$D$15-OffsetY)/Ecran)*'Calculs 3D'!$D$32)+(((($D69*$X$4)+'Calculs 3D'!$E$15-OffsetZ)/Ecran)*'Calculs 3D'!$E$32)),0)</f>
        <v>0.29220318285741143</v>
      </c>
    </row>
    <row r="70" spans="2:25" x14ac:dyDescent="0.3">
      <c r="B70" s="103">
        <v>0.86</v>
      </c>
      <c r="C70" s="103">
        <v>-2.1072553424428263E-16</v>
      </c>
      <c r="D70" s="103">
        <v>0.5</v>
      </c>
      <c r="F70" s="105">
        <f>IF(Body1Actif=TRUE,((((($B70*$F$4)+'Calculs 3D'!$C$6-OffsetX)/Ecran)*'Calculs 3D'!$C$31)+(((($C70*$F$4)+'Calculs 3D'!$D$6-OffsetY)/Ecran)*'Calculs 3D'!$D$31)+(((($D70*$F$4)+'Calculs 3D'!$E$6-OffsetZ)/Ecran)*'Calculs 3D'!$E$31)),0)</f>
        <v>5.32069354290549E-2</v>
      </c>
      <c r="G70" s="105">
        <f>IF(Body1Actif=TRUE,((((($B70*$F$4)+'Calculs 3D'!$C$6-OffsetX)/Ecran)*'Calculs 3D'!$C$32)+(((($C70*$F$4)+'Calculs 3D'!$D$6-OffsetY)/Ecran)*'Calculs 3D'!$D$32)+(((($D70*$F$4)+'Calculs 3D'!$E$6-OffsetZ)/Ecran)*'Calculs 3D'!$E$32)),0)</f>
        <v>0.26426885894432117</v>
      </c>
      <c r="H70" s="105">
        <f>IF(Body2Actif=TRUE,((((($B70*$H$4)+'Calculs 3D'!$C$7-OffsetX)/Ecran)*'Calculs 3D'!$C$31)+(((($C70*$H$4)+'Calculs 3D'!$D$7-OffsetY)/Ecran)*'Calculs 3D'!$D$31)+(((($D70*$H$4)+'Calculs 3D'!$E$7-OffsetZ)/Ecran)*'Calculs 3D'!$E$31)),0)</f>
        <v>3.5490868849467061E-2</v>
      </c>
      <c r="I70" s="105">
        <f>IF(Body2Actif=TRUE,((((($B70*$H$4)+'Calculs 3D'!$C$7-OffsetX)/Ecran)*'Calculs 3D'!$C$32)+(((($C70*$H$4)+'Calculs 3D'!$D$7-OffsetY)/Ecran)*'Calculs 3D'!$D$32)+(((($D70*$H$4)+'Calculs 3D'!$E$7-OffsetZ)/Ecran)*'Calculs 3D'!$E$32)),0)</f>
        <v>3.1901717318672446E-2</v>
      </c>
      <c r="J70" s="105">
        <f>IF(Body3Actif=TRUE,((((($B70*$J$4)+'Calculs 3D'!$C$8-OffsetX)/Ecran)*'Calculs 3D'!$C$31)+(((($C70*$J$4)+'Calculs 3D'!$D$8-OffsetY)/Ecran)*'Calculs 3D'!$D$31)+(((($D70*$J$4)+'Calculs 3D'!$E$8-OffsetZ)/Ecran)*'Calculs 3D'!$E$31)),0)</f>
        <v>0.22321211039328689</v>
      </c>
      <c r="K70" s="105">
        <f>IF(Body3Actif=TRUE,((((($B70*$J$4)+'Calculs 3D'!$C$8-OffsetX)/Ecran)*'Calculs 3D'!$C$32)+(((($C70*$J$4)+'Calculs 3D'!$D$8-OffsetY)/Ecran)*'Calculs 3D'!$D$32)+(((($D70*$J$4)+'Calculs 3D'!$E$8-OffsetZ)/Ecran)*'Calculs 3D'!$E$32)),0)</f>
        <v>-8.0164269564829832E-2</v>
      </c>
      <c r="L70" s="105">
        <f>IF(Body4Actif=TRUE,((((($B70*$L$4)+'Calculs 3D'!$C$9-OffsetX)/Ecran)*'Calculs 3D'!$C$31)+(((($C70*$L$4)+'Calculs 3D'!$D$9-OffsetY)/Ecran)*'Calculs 3D'!$D$31)+(((($D70*$L$4)+'Calculs 3D'!$E$9-OffsetZ)/Ecran)*'Calculs 3D'!$E$31)),0)</f>
        <v>-8.8606961428943171E-2</v>
      </c>
      <c r="M70" s="105">
        <f>IF(Body4Actif=TRUE,((((($B70*$L$4)+'Calculs 3D'!$C$9-OffsetX)/Ecran)*'Calculs 3D'!$C$32)+(((($C70*$L$4)+'Calculs 3D'!$D$9-OffsetY)/Ecran)*'Calculs 3D'!$D$32)+(((($D70*$L$4)+'Calculs 3D'!$E$9-OffsetZ)/Ecran)*'Calculs 3D'!$E$32)),0)</f>
        <v>-0.1711957496501631</v>
      </c>
      <c r="N70" s="105">
        <f>IF(Body5Actif=TRUE,((((($B70*$N$4)+'Calculs 3D'!$C$10-OffsetX)/Ecran)*'Calculs 3D'!$C$31)+(((($C70*$N$4)+'Calculs 3D'!$D$10-OffsetY)/Ecran)*'Calculs 3D'!$D$31)+(((($D70*$N$4)+'Calculs 3D'!$E$10-OffsetZ)/Ecran)*'Calculs 3D'!$E$31)),0)</f>
        <v>7.6128517750503749E-3</v>
      </c>
      <c r="O70" s="105">
        <f>IF(Body5Actif=TRUE,((((($B70*$N$4)+'Calculs 3D'!$C$10-OffsetX)/Ecran)*'Calculs 3D'!$C$32)+(((($C70*$N$4)+'Calculs 3D'!$D$10-OffsetY)/Ecran)*'Calculs 3D'!$D$32)+(((($D70*$N$4)+'Calculs 3D'!$E$10-OffsetZ)/Ecran)*'Calculs 3D'!$E$32)),0)</f>
        <v>-4.1521599046981704E-3</v>
      </c>
      <c r="P70" s="105">
        <f>IF(Body6Actif=TRUE,((((($B70*$P$4)+'Calculs 3D'!$C$11-OffsetX)/Ecran)*'Calculs 3D'!$C$31)+(((($C70*$P$4)+'Calculs 3D'!$D$11-OffsetY)/Ecran)*'Calculs 3D'!$D$31)+(((($D70*$P$4)+'Calculs 3D'!$E$11-OffsetZ)/Ecran)*'Calculs 3D'!$E$31)),0)</f>
        <v>0.18046894971806984</v>
      </c>
      <c r="Q70" s="105">
        <f>IF(Body6Actif=TRUE,((((($B70*$P$4)+'Calculs 3D'!$C$11-OffsetX)/Ecran)*'Calculs 3D'!$C$32)+(((($C70*$P$4)+'Calculs 3D'!$D$11-OffsetY)/Ecran)*'Calculs 3D'!$D$32)+(((($D70*$P$4)+'Calculs 3D'!$E$11-OffsetZ)/Ecran)*'Calculs 3D'!$E$32)),0)</f>
        <v>0.13425506215071759</v>
      </c>
      <c r="R70" s="105">
        <f>IF(Body7Actif=TRUE,((((($B70*$R$4)+'Calculs 3D'!$C$12-OffsetX)/Ecran)*'Calculs 3D'!$C$31)+(((($C70*$R$4)+'Calculs 3D'!$D$12-OffsetY)/Ecran)*'Calculs 3D'!$D$31)+(((($D70*$R$4)+'Calculs 3D'!$E$12-OffsetZ)/Ecran)*'Calculs 3D'!$E$31)),0)</f>
        <v>-0.27090440122686388</v>
      </c>
      <c r="S70" s="105">
        <f>IF(Body7Actif=TRUE,((((($B70*$R$4)+'Calculs 3D'!$C$12-OffsetX)/Ecran)*'Calculs 3D'!$C$32)+(((($C70*$R$4)+'Calculs 3D'!$D$12-OffsetY)/Ecran)*'Calculs 3D'!$D$32)+(((($D70*$R$4)+'Calculs 3D'!$E$12-OffsetZ)/Ecran)*'Calculs 3D'!$E$32)),0)</f>
        <v>6.354890798128314E-2</v>
      </c>
      <c r="T70" s="105">
        <f>IF(Body8Actif=TRUE,((((($B70*$T$4)+'Calculs 3D'!$C$13-OffsetX)/Ecran)*'Calculs 3D'!$C$31)+(((($C70*$T$4)+'Calculs 3D'!$D$13-OffsetY)/Ecran)*'Calculs 3D'!$D$31)+(((($D70*$T$4)+'Calculs 3D'!$E$13-OffsetZ)/Ecran)*'Calculs 3D'!$E$31)),0)</f>
        <v>0.17171753386137806</v>
      </c>
      <c r="U70" s="105">
        <f>IF(Body8Actif=TRUE,((((($B70*$T$4)+'Calculs 3D'!$C$13-OffsetX)/Ecran)*'Calculs 3D'!$C$32)+(((($C70*$T$4)+'Calculs 3D'!$D$13-OffsetY)/Ecran)*'Calculs 3D'!$D$32)+(((($D70*$T$4)+'Calculs 3D'!$E$13-OffsetZ)/Ecran)*'Calculs 3D'!$E$32)),0)</f>
        <v>-0.13013646558965813</v>
      </c>
      <c r="V70" s="105">
        <f>IF(Body9Actif=TRUE,((((($B70*$V$4)+'Calculs 3D'!$C$14-OffsetX)/Ecran)*'Calculs 3D'!$C$31)+(((($C70*$V$4)+'Calculs 3D'!$D$14-OffsetY)/Ecran)*'Calculs 3D'!$D$31)+(((($D70*$V$4)+'Calculs 3D'!$E$14-OffsetZ)/Ecran)*'Calculs 3D'!$E$31)),0)</f>
        <v>-0.17273776496706919</v>
      </c>
      <c r="W70" s="105">
        <f>IF(Body9Actif=TRUE,((((($B70*$V$4)+'Calculs 3D'!$C$14-OffsetX)/Ecran)*'Calculs 3D'!$C$32)+(((($C70*$V$4)+'Calculs 3D'!$D$14-OffsetY)/Ecran)*'Calculs 3D'!$D$32)+(((($D70*$V$4)+'Calculs 3D'!$E$14-OffsetZ)/Ecran)*'Calculs 3D'!$E$32)),0)</f>
        <v>0.28927592512773204</v>
      </c>
      <c r="X70" s="105">
        <f>IF(Body10Actif=TRUE,((((($B70*$X$4)+'Calculs 3D'!$C$15-OffsetX)/Ecran)*'Calculs 3D'!$C$31)+(((($C70*$X$4)+'Calculs 3D'!$D$15-OffsetY)/Ecran)*'Calculs 3D'!$D$31)+(((($D70*$X$4)+'Calculs 3D'!$E$15-OffsetZ)/Ecran)*'Calculs 3D'!$E$31)),0)</f>
        <v>-8.0142300072885142E-3</v>
      </c>
      <c r="Y70" s="105">
        <f>IF(Body10Actif=TRUE,((((($B70*$X$4)+'Calculs 3D'!$C$15-OffsetX)/Ecran)*'Calculs 3D'!$C$32)+(((($C70*$X$4)+'Calculs 3D'!$D$15-OffsetY)/Ecran)*'Calculs 3D'!$D$32)+(((($D70*$X$4)+'Calculs 3D'!$E$15-OffsetZ)/Ecran)*'Calculs 3D'!$E$32)),0)</f>
        <v>0.29345377859005711</v>
      </c>
    </row>
    <row r="71" spans="2:25" x14ac:dyDescent="0.3">
      <c r="B71" s="19"/>
      <c r="C71" s="19"/>
      <c r="D71" s="19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2:25" x14ac:dyDescent="0.3">
      <c r="B72" s="101">
        <v>0.65999999999999992</v>
      </c>
      <c r="C72" s="101">
        <v>0</v>
      </c>
      <c r="D72" s="101">
        <v>0.75</v>
      </c>
      <c r="F72" s="105">
        <f>IF(Body1Actif=TRUE,((((($B72*$F$4)+'Calculs 3D'!$C$6-OffsetX)/Ecran)*'Calculs 3D'!$C$31)+(((($C72*$F$4)+'Calculs 3D'!$D$6-OffsetY)/Ecran)*'Calculs 3D'!$D$31)+(((($D72*$F$4)+'Calculs 3D'!$E$6-OffsetZ)/Ecran)*'Calculs 3D'!$E$31)),0)</f>
        <v>5.2595828410172435E-2</v>
      </c>
      <c r="G72" s="105">
        <f>IF(Body1Actif=TRUE,((((($B72*$F$4)+'Calculs 3D'!$C$6-OffsetX)/Ecran)*'Calculs 3D'!$C$32)+(((($C72*$F$4)+'Calculs 3D'!$D$6-OffsetY)/Ecran)*'Calculs 3D'!$D$32)+(((($D72*$F$4)+'Calculs 3D'!$E$6-OffsetZ)/Ecran)*'Calculs 3D'!$E$32)),0)</f>
        <v>0.26528625913112064</v>
      </c>
      <c r="H72" s="105">
        <f>IF(Body2Actif=TRUE,((((($B72*$H$4)+'Calculs 3D'!$C$7-OffsetX)/Ecran)*'Calculs 3D'!$C$31)+(((($C72*$H$4)+'Calculs 3D'!$D$7-OffsetY)/Ecran)*'Calculs 3D'!$D$31)+(((($D72*$H$4)+'Calculs 3D'!$E$7-OffsetZ)/Ecran)*'Calculs 3D'!$E$31)),0)</f>
        <v>3.3108849197236952E-2</v>
      </c>
      <c r="I72" s="105">
        <f>IF(Body2Actif=TRUE,((((($B72*$H$4)+'Calculs 3D'!$C$7-OffsetX)/Ecran)*'Calculs 3D'!$C$32)+(((($C72*$H$4)+'Calculs 3D'!$D$7-OffsetY)/Ecran)*'Calculs 3D'!$D$32)+(((($D72*$H$4)+'Calculs 3D'!$E$7-OffsetZ)/Ecran)*'Calculs 3D'!$E$32)),0)</f>
        <v>3.5867417538530233E-2</v>
      </c>
      <c r="J72" s="105">
        <f>IF(Body3Actif=TRUE,((((($B72*$J$4)+'Calculs 3D'!$C$8-OffsetX)/Ecran)*'Calculs 3D'!$C$31)+(((($C72*$J$4)+'Calculs 3D'!$D$8-OffsetY)/Ecran)*'Calculs 3D'!$D$31)+(((($D72*$J$4)+'Calculs 3D'!$E$8-OffsetZ)/Ecran)*'Calculs 3D'!$E$31)),0)</f>
        <v>0.22215348794652456</v>
      </c>
      <c r="K72" s="105">
        <f>IF(Body3Actif=TRUE,((((($B72*$J$4)+'Calculs 3D'!$C$8-OffsetX)/Ecran)*'Calculs 3D'!$C$32)+(((($C72*$J$4)+'Calculs 3D'!$D$8-OffsetY)/Ecran)*'Calculs 3D'!$D$32)+(((($D72*$J$4)+'Calculs 3D'!$E$8-OffsetZ)/Ecran)*'Calculs 3D'!$E$32)),0)</f>
        <v>-7.8401824294514241E-2</v>
      </c>
      <c r="L72" s="105">
        <f>IF(Body4Actif=TRUE,((((($B72*$L$4)+'Calculs 3D'!$C$9-OffsetX)/Ecran)*'Calculs 3D'!$C$31)+(((($C72*$L$4)+'Calculs 3D'!$D$9-OffsetY)/Ecran)*'Calculs 3D'!$D$31)+(((($D72*$L$4)+'Calculs 3D'!$E$9-OffsetZ)/Ecran)*'Calculs 3D'!$E$31)),0)</f>
        <v>-8.9983480354385539E-2</v>
      </c>
      <c r="M72" s="105">
        <f>IF(Body4Actif=TRUE,((((($B72*$L$4)+'Calculs 3D'!$C$9-OffsetX)/Ecran)*'Calculs 3D'!$C$32)+(((($C72*$L$4)+'Calculs 3D'!$D$9-OffsetY)/Ecran)*'Calculs 3D'!$D$32)+(((($D72*$L$4)+'Calculs 3D'!$E$9-OffsetZ)/Ecran)*'Calculs 3D'!$E$32)),0)</f>
        <v>-0.168904055121046</v>
      </c>
      <c r="N72" s="105">
        <f>IF(Body5Actif=TRUE,((((($B72*$N$4)+'Calculs 3D'!$C$10-OffsetX)/Ecran)*'Calculs 3D'!$C$31)+(((($C72*$N$4)+'Calculs 3D'!$D$10-OffsetY)/Ecran)*'Calculs 3D'!$D$31)+(((($D72*$N$4)+'Calculs 3D'!$E$10-OffsetZ)/Ecran)*'Calculs 3D'!$E$31)),0)</f>
        <v>6.0414290535167666E-3</v>
      </c>
      <c r="O72" s="105">
        <f>IF(Body5Actif=TRUE,((((($B72*$N$4)+'Calculs 3D'!$C$10-OffsetX)/Ecran)*'Calculs 3D'!$C$32)+(((($C72*$N$4)+'Calculs 3D'!$D$10-OffsetY)/Ecran)*'Calculs 3D'!$D$32)+(((($D72*$N$4)+'Calculs 3D'!$E$10-OffsetZ)/Ecran)*'Calculs 3D'!$E$32)),0)</f>
        <v>-1.5359802159869568E-3</v>
      </c>
      <c r="P72" s="105">
        <f>IF(Body6Actif=TRUE,((((($B72*$P$4)+'Calculs 3D'!$C$11-OffsetX)/Ecran)*'Calculs 3D'!$C$31)+(((($C72*$P$4)+'Calculs 3D'!$D$11-OffsetY)/Ecran)*'Calculs 3D'!$D$31)+(((($D72*$P$4)+'Calculs 3D'!$E$11-OffsetZ)/Ecran)*'Calculs 3D'!$E$31)),0)</f>
        <v>0.17819168992277087</v>
      </c>
      <c r="Q72" s="105">
        <f>IF(Body6Actif=TRUE,((((($B72*$P$4)+'Calculs 3D'!$C$11-OffsetX)/Ecran)*'Calculs 3D'!$C$32)+(((($C72*$P$4)+'Calculs 3D'!$D$11-OffsetY)/Ecran)*'Calculs 3D'!$D$32)+(((($D72*$P$4)+'Calculs 3D'!$E$11-OffsetZ)/Ecran)*'Calculs 3D'!$E$32)),0)</f>
        <v>0.13804635315137559</v>
      </c>
      <c r="R72" s="105">
        <f>IF(Body7Actif=TRUE,((((($B72*$R$4)+'Calculs 3D'!$C$12-OffsetX)/Ecran)*'Calculs 3D'!$C$31)+(((($C72*$R$4)+'Calculs 3D'!$D$12-OffsetY)/Ecran)*'Calculs 3D'!$D$31)+(((($D72*$R$4)+'Calculs 3D'!$E$12-OffsetZ)/Ecran)*'Calculs 3D'!$E$31)),0)</f>
        <v>-0.27319137013081574</v>
      </c>
      <c r="S72" s="105">
        <f>IF(Body7Actif=TRUE,((((($B72*$R$4)+'Calculs 3D'!$C$12-OffsetX)/Ecran)*'Calculs 3D'!$C$32)+(((($C72*$R$4)+'Calculs 3D'!$D$12-OffsetY)/Ecran)*'Calculs 3D'!$D$32)+(((($D72*$R$4)+'Calculs 3D'!$E$12-OffsetZ)/Ecran)*'Calculs 3D'!$E$32)),0)</f>
        <v>6.7356363170294323E-2</v>
      </c>
      <c r="T72" s="105">
        <f>IF(Body8Actif=TRUE,((((($B72*$T$4)+'Calculs 3D'!$C$13-OffsetX)/Ecran)*'Calculs 3D'!$C$31)+(((($C72*$T$4)+'Calculs 3D'!$D$13-OffsetY)/Ecran)*'Calculs 3D'!$D$31)+(((($D72*$T$4)+'Calculs 3D'!$E$13-OffsetZ)/Ecran)*'Calculs 3D'!$E$31)),0)</f>
        <v>0.17089271454736357</v>
      </c>
      <c r="U72" s="105">
        <f>IF(Body8Actif=TRUE,((((($B72*$T$4)+'Calculs 3D'!$C$13-OffsetX)/Ecran)*'Calculs 3D'!$C$32)+(((($C72*$T$4)+'Calculs 3D'!$D$13-OffsetY)/Ecran)*'Calculs 3D'!$D$32)+(((($D72*$T$4)+'Calculs 3D'!$E$13-OffsetZ)/Ecran)*'Calculs 3D'!$E$32)),0)</f>
        <v>-0.12876326695468138</v>
      </c>
      <c r="V72" s="105">
        <f>IF(Body9Actif=TRUE,((((($B72*$V$4)+'Calculs 3D'!$C$14-OffsetX)/Ecran)*'Calculs 3D'!$C$31)+(((($C72*$V$4)+'Calculs 3D'!$D$14-OffsetY)/Ecran)*'Calculs 3D'!$D$31)+(((($D72*$V$4)+'Calculs 3D'!$E$14-OffsetZ)/Ecran)*'Calculs 3D'!$E$31)),0)</f>
        <v>-0.17388221491370046</v>
      </c>
      <c r="W72" s="105">
        <f>IF(Body9Actif=TRUE,((((($B72*$V$4)+'Calculs 3D'!$C$14-OffsetX)/Ecran)*'Calculs 3D'!$C$32)+(((($C72*$V$4)+'Calculs 3D'!$D$14-OffsetY)/Ecran)*'Calculs 3D'!$D$32)+(((($D72*$V$4)+'Calculs 3D'!$E$14-OffsetZ)/Ecran)*'Calculs 3D'!$E$32)),0)</f>
        <v>0.2911812601239076</v>
      </c>
      <c r="X72" s="105">
        <f>IF(Body10Actif=TRUE,((((($B72*$X$4)+'Calculs 3D'!$C$15-OffsetX)/Ecran)*'Calculs 3D'!$C$31)+(((($C72*$X$4)+'Calculs 3D'!$D$15-OffsetY)/Ecran)*'Calculs 3D'!$D$31)+(((($D72*$X$4)+'Calculs 3D'!$E$15-OffsetZ)/Ecran)*'Calculs 3D'!$E$31)),0)</f>
        <v>-9.7417246671648861E-3</v>
      </c>
      <c r="Y72" s="105">
        <f>IF(Body10Actif=TRUE,((((($B72*$X$4)+'Calculs 3D'!$C$15-OffsetX)/Ecran)*'Calculs 3D'!$C$32)+(((($C72*$X$4)+'Calculs 3D'!$D$15-OffsetY)/Ecran)*'Calculs 3D'!$D$32)+(((($D72*$X$4)+'Calculs 3D'!$E$15-OffsetZ)/Ecran)*'Calculs 3D'!$E$32)),0)</f>
        <v>0.29632979430473061</v>
      </c>
    </row>
    <row r="73" spans="2:25" x14ac:dyDescent="0.3">
      <c r="B73" s="102">
        <v>0.62769730075480124</v>
      </c>
      <c r="C73" s="102">
        <v>0.20395121628746526</v>
      </c>
      <c r="D73" s="102">
        <v>0.75</v>
      </c>
      <c r="F73" s="105">
        <f>IF(Body1Actif=TRUE,((((($B73*$F$4)+'Calculs 3D'!$C$6-OffsetX)/Ecran)*'Calculs 3D'!$C$31)+(((($C73*$F$4)+'Calculs 3D'!$D$6-OffsetY)/Ecran)*'Calculs 3D'!$D$31)+(((($D73*$F$4)+'Calculs 3D'!$E$6-OffsetZ)/Ecran)*'Calculs 3D'!$E$31)),0)</f>
        <v>5.2949893223452393E-2</v>
      </c>
      <c r="G73" s="105">
        <f>IF(Body1Actif=TRUE,((((($B73*$F$4)+'Calculs 3D'!$C$6-OffsetX)/Ecran)*'Calculs 3D'!$C$32)+(((($C73*$F$4)+'Calculs 3D'!$D$6-OffsetY)/Ecran)*'Calculs 3D'!$D$32)+(((($D73*$F$4)+'Calculs 3D'!$E$6-OffsetZ)/Ecran)*'Calculs 3D'!$E$32)),0)</f>
        <v>0.26571407694772065</v>
      </c>
      <c r="H73" s="105">
        <f>IF(Body2Actif=TRUE,((((($B73*$H$4)+'Calculs 3D'!$C$7-OffsetX)/Ecran)*'Calculs 3D'!$C$31)+(((($C73*$H$4)+'Calculs 3D'!$D$7-OffsetY)/Ecran)*'Calculs 3D'!$D$31)+(((($D73*$H$4)+'Calculs 3D'!$E$7-OffsetZ)/Ecran)*'Calculs 3D'!$E$31)),0)</f>
        <v>3.4488950091738836E-2</v>
      </c>
      <c r="I73" s="105">
        <f>IF(Body2Actif=TRUE,((((($B73*$H$4)+'Calculs 3D'!$C$7-OffsetX)/Ecran)*'Calculs 3D'!$C$32)+(((($C73*$H$4)+'Calculs 3D'!$D$7-OffsetY)/Ecran)*'Calculs 3D'!$D$32)+(((($D73*$H$4)+'Calculs 3D'!$E$7-OffsetZ)/Ecran)*'Calculs 3D'!$E$32)),0)</f>
        <v>3.7534998527174422E-2</v>
      </c>
      <c r="J73" s="105">
        <f>IF(Body3Actif=TRUE,((((($B73*$J$4)+'Calculs 3D'!$C$8-OffsetX)/Ecran)*'Calculs 3D'!$C$31)+(((($C73*$J$4)+'Calculs 3D'!$D$8-OffsetY)/Ecran)*'Calculs 3D'!$D$31)+(((($D73*$J$4)+'Calculs 3D'!$E$8-OffsetZ)/Ecran)*'Calculs 3D'!$E$31)),0)</f>
        <v>0.22276683544109649</v>
      </c>
      <c r="K73" s="105">
        <f>IF(Body3Actif=TRUE,((((($B73*$J$4)+'Calculs 3D'!$C$8-OffsetX)/Ecran)*'Calculs 3D'!$C$32)+(((($C73*$J$4)+'Calculs 3D'!$D$8-OffsetY)/Ecran)*'Calculs 3D'!$D$32)+(((($D73*$J$4)+'Calculs 3D'!$E$8-OffsetZ)/Ecran)*'Calculs 3D'!$E$32)),0)</f>
        <v>-7.766071426012805E-2</v>
      </c>
      <c r="L73" s="105">
        <f>IF(Body4Actif=TRUE,((((($B73*$L$4)+'Calculs 3D'!$C$9-OffsetX)/Ecran)*'Calculs 3D'!$C$31)+(((($C73*$L$4)+'Calculs 3D'!$D$9-OffsetY)/Ecran)*'Calculs 3D'!$D$31)+(((($D73*$L$4)+'Calculs 3D'!$E$9-OffsetZ)/Ecran)*'Calculs 3D'!$E$31)),0)</f>
        <v>-8.9185949150760419E-2</v>
      </c>
      <c r="M73" s="105">
        <f>IF(Body4Actif=TRUE,((((($B73*$L$4)+'Calculs 3D'!$C$9-OffsetX)/Ecran)*'Calculs 3D'!$C$32)+(((($C73*$L$4)+'Calculs 3D'!$D$9-OffsetY)/Ecran)*'Calculs 3D'!$D$32)+(((($D73*$L$4)+'Calculs 3D'!$E$9-OffsetZ)/Ecran)*'Calculs 3D'!$E$32)),0)</f>
        <v>-0.16794039523334206</v>
      </c>
      <c r="N73" s="105">
        <f>IF(Body5Actif=TRUE,((((($B73*$N$4)+'Calculs 3D'!$C$10-OffsetX)/Ecran)*'Calculs 3D'!$C$31)+(((($C73*$N$4)+'Calculs 3D'!$D$10-OffsetY)/Ecran)*'Calculs 3D'!$D$31)+(((($D73*$N$4)+'Calculs 3D'!$E$10-OffsetZ)/Ecran)*'Calculs 3D'!$E$31)),0)</f>
        <v>6.9518841379652523E-3</v>
      </c>
      <c r="O73" s="105">
        <f>IF(Body5Actif=TRUE,((((($B73*$N$4)+'Calculs 3D'!$C$10-OffsetX)/Ecran)*'Calculs 3D'!$C$32)+(((($C73*$N$4)+'Calculs 3D'!$D$10-OffsetY)/Ecran)*'Calculs 3D'!$D$32)+(((($D73*$N$4)+'Calculs 3D'!$E$10-OffsetZ)/Ecran)*'Calculs 3D'!$E$32)),0)</f>
        <v>-4.3587398760232005E-4</v>
      </c>
      <c r="P73" s="105">
        <f>IF(Body6Actif=TRUE,((((($B73*$P$4)+'Calculs 3D'!$C$11-OffsetX)/Ecran)*'Calculs 3D'!$C$31)+(((($C73*$P$4)+'Calculs 3D'!$D$11-OffsetY)/Ecran)*'Calculs 3D'!$D$31)+(((($D73*$P$4)+'Calculs 3D'!$E$11-OffsetZ)/Ecran)*'Calculs 3D'!$E$31)),0)</f>
        <v>0.17951109477216531</v>
      </c>
      <c r="Q73" s="105">
        <f>IF(Body6Actif=TRUE,((((($B73*$P$4)+'Calculs 3D'!$C$11-OffsetX)/Ecran)*'Calculs 3D'!$C$32)+(((($C73*$P$4)+'Calculs 3D'!$D$11-OffsetY)/Ecran)*'Calculs 3D'!$D$32)+(((($D73*$P$4)+'Calculs 3D'!$E$11-OffsetZ)/Ecran)*'Calculs 3D'!$E$32)),0)</f>
        <v>0.13964059488539698</v>
      </c>
      <c r="R73" s="105">
        <f>IF(Body7Actif=TRUE,((((($B73*$R$4)+'Calculs 3D'!$C$12-OffsetX)/Ecran)*'Calculs 3D'!$C$31)+(((($C73*$R$4)+'Calculs 3D'!$D$12-OffsetY)/Ecran)*'Calculs 3D'!$D$31)+(((($D73*$R$4)+'Calculs 3D'!$E$12-OffsetZ)/Ecran)*'Calculs 3D'!$E$31)),0)</f>
        <v>-0.27186633999217391</v>
      </c>
      <c r="S73" s="105">
        <f>IF(Body7Actif=TRUE,((((($B73*$R$4)+'Calculs 3D'!$C$12-OffsetX)/Ecran)*'Calculs 3D'!$C$32)+(((($C73*$R$4)+'Calculs 3D'!$D$12-OffsetY)/Ecran)*'Calculs 3D'!$D$32)+(((($D73*$R$4)+'Calculs 3D'!$E$12-OffsetZ)/Ecran)*'Calculs 3D'!$E$32)),0)</f>
        <v>6.8957401962010501E-2</v>
      </c>
      <c r="T73" s="105">
        <f>IF(Body8Actif=TRUE,((((($B73*$T$4)+'Calculs 3D'!$C$13-OffsetX)/Ecran)*'Calculs 3D'!$C$31)+(((($C73*$T$4)+'Calculs 3D'!$D$13-OffsetY)/Ecran)*'Calculs 3D'!$D$31)+(((($D73*$T$4)+'Calculs 3D'!$E$13-OffsetZ)/Ecran)*'Calculs 3D'!$E$31)),0)</f>
        <v>0.17137060055976822</v>
      </c>
      <c r="U73" s="105">
        <f>IF(Body8Actif=TRUE,((((($B73*$T$4)+'Calculs 3D'!$C$13-OffsetX)/Ecran)*'Calculs 3D'!$C$32)+(((($C73*$T$4)+'Calculs 3D'!$D$13-OffsetY)/Ecran)*'Calculs 3D'!$D$32)+(((($D73*$T$4)+'Calculs 3D'!$E$13-OffsetZ)/Ecran)*'Calculs 3D'!$E$32)),0)</f>
        <v>-0.12818583552760249</v>
      </c>
      <c r="V73" s="105">
        <f>IF(Body9Actif=TRUE,((((($B73*$V$4)+'Calculs 3D'!$C$14-OffsetX)/Ecran)*'Calculs 3D'!$C$31)+(((($C73*$V$4)+'Calculs 3D'!$D$14-OffsetY)/Ecran)*'Calculs 3D'!$D$31)+(((($D73*$V$4)+'Calculs 3D'!$E$14-OffsetZ)/Ecran)*'Calculs 3D'!$E$31)),0)</f>
        <v>-0.17321914045351294</v>
      </c>
      <c r="W73" s="105">
        <f>IF(Body9Actif=TRUE,((((($B73*$V$4)+'Calculs 3D'!$C$14-OffsetX)/Ecran)*'Calculs 3D'!$C$32)+(((($C73*$V$4)+'Calculs 3D'!$D$14-OffsetY)/Ecran)*'Calculs 3D'!$D$32)+(((($D73*$V$4)+'Calculs 3D'!$E$14-OffsetZ)/Ecran)*'Calculs 3D'!$E$32)),0)</f>
        <v>0.29198245543380796</v>
      </c>
      <c r="X73" s="105">
        <f>IF(Body10Actif=TRUE,((((($B73*$X$4)+'Calculs 3D'!$C$15-OffsetX)/Ecran)*'Calculs 3D'!$C$31)+(((($C73*$X$4)+'Calculs 3D'!$D$15-OffsetY)/Ecran)*'Calculs 3D'!$D$31)+(((($D73*$X$4)+'Calculs 3D'!$E$15-OffsetZ)/Ecran)*'Calculs 3D'!$E$31)),0)</f>
        <v>-8.7408442071273129E-3</v>
      </c>
      <c r="Y73" s="105">
        <f>IF(Body10Actif=TRUE,((((($B73*$X$4)+'Calculs 3D'!$C$15-OffsetX)/Ecran)*'Calculs 3D'!$C$32)+(((($C73*$X$4)+'Calculs 3D'!$D$15-OffsetY)/Ecran)*'Calculs 3D'!$D$32)+(((($D73*$X$4)+'Calculs 3D'!$E$15-OffsetZ)/Ecran)*'Calculs 3D'!$E$32)),0)</f>
        <v>0.29753916184714241</v>
      </c>
    </row>
    <row r="74" spans="2:25" x14ac:dyDescent="0.3">
      <c r="B74" s="102">
        <v>0.53395121628746522</v>
      </c>
      <c r="C74" s="102">
        <v>0.3879382665130322</v>
      </c>
      <c r="D74" s="102">
        <v>0.75</v>
      </c>
      <c r="F74" s="105">
        <f>IF(Body1Actif=TRUE,((((($B74*$F$4)+'Calculs 3D'!$C$6-OffsetX)/Ecran)*'Calculs 3D'!$C$31)+(((($C74*$F$4)+'Calculs 3D'!$D$6-OffsetY)/Ecran)*'Calculs 3D'!$D$31)+(((($D74*$F$4)+'Calculs 3D'!$E$6-OffsetZ)/Ecran)*'Calculs 3D'!$E$31)),0)</f>
        <v>5.3071895643518011E-2</v>
      </c>
      <c r="G74" s="105">
        <f>IF(Body1Actif=TRUE,((((($B74*$F$4)+'Calculs 3D'!$C$6-OffsetX)/Ecran)*'Calculs 3D'!$C$32)+(((($C74*$F$4)+'Calculs 3D'!$D$6-OffsetY)/Ecran)*'Calculs 3D'!$D$32)+(((($D74*$F$4)+'Calculs 3D'!$E$6-OffsetZ)/Ecran)*'Calculs 3D'!$E$32)),0)</f>
        <v>0.26618831665066744</v>
      </c>
      <c r="H74" s="105">
        <f>IF(Body2Actif=TRUE,((((($B74*$H$4)+'Calculs 3D'!$C$7-OffsetX)/Ecran)*'Calculs 3D'!$C$31)+(((($C74*$H$4)+'Calculs 3D'!$D$7-OffsetY)/Ecran)*'Calculs 3D'!$D$31)+(((($D74*$H$4)+'Calculs 3D'!$E$7-OffsetZ)/Ecran)*'Calculs 3D'!$E$31)),0)</f>
        <v>3.496450045073711E-2</v>
      </c>
      <c r="I74" s="105">
        <f>IF(Body2Actif=TRUE,((((($B74*$H$4)+'Calculs 3D'!$C$7-OffsetX)/Ecran)*'Calculs 3D'!$C$32)+(((($C74*$H$4)+'Calculs 3D'!$D$7-OffsetY)/Ecran)*'Calculs 3D'!$D$32)+(((($D74*$H$4)+'Calculs 3D'!$E$7-OffsetZ)/Ecran)*'Calculs 3D'!$E$32)),0)</f>
        <v>3.9383526292986568E-2</v>
      </c>
      <c r="J74" s="105">
        <f>IF(Body3Actif=TRUE,((((($B74*$J$4)+'Calculs 3D'!$C$8-OffsetX)/Ecran)*'Calculs 3D'!$C$31)+(((($C74*$J$4)+'Calculs 3D'!$D$8-OffsetY)/Ecran)*'Calculs 3D'!$D$31)+(((($D74*$J$4)+'Calculs 3D'!$E$8-OffsetZ)/Ecran)*'Calculs 3D'!$E$31)),0)</f>
        <v>0.22297818058433666</v>
      </c>
      <c r="K74" s="105">
        <f>IF(Body3Actif=TRUE,((((($B74*$J$4)+'Calculs 3D'!$C$8-OffsetX)/Ecran)*'Calculs 3D'!$C$32)+(((($C74*$J$4)+'Calculs 3D'!$D$8-OffsetY)/Ecran)*'Calculs 3D'!$D$32)+(((($D74*$J$4)+'Calculs 3D'!$E$8-OffsetZ)/Ecran)*'Calculs 3D'!$E$32)),0)</f>
        <v>-7.6839187458483074E-2</v>
      </c>
      <c r="L74" s="105">
        <f>IF(Body4Actif=TRUE,((((($B74*$L$4)+'Calculs 3D'!$C$9-OffsetX)/Ecran)*'Calculs 3D'!$C$31)+(((($C74*$L$4)+'Calculs 3D'!$D$9-OffsetY)/Ecran)*'Calculs 3D'!$D$31)+(((($D74*$L$4)+'Calculs 3D'!$E$9-OffsetZ)/Ecran)*'Calculs 3D'!$E$31)),0)</f>
        <v>-8.8911138626611652E-2</v>
      </c>
      <c r="M74" s="105">
        <f>IF(Body4Actif=TRUE,((((($B74*$L$4)+'Calculs 3D'!$C$9-OffsetX)/Ecran)*'Calculs 3D'!$C$32)+(((($C74*$L$4)+'Calculs 3D'!$D$9-OffsetY)/Ecran)*'Calculs 3D'!$D$32)+(((($D74*$L$4)+'Calculs 3D'!$E$9-OffsetZ)/Ecran)*'Calculs 3D'!$E$32)),0)</f>
        <v>-0.1668721700188843</v>
      </c>
      <c r="N74" s="105">
        <f>IF(Body5Actif=TRUE,((((($B74*$N$4)+'Calculs 3D'!$C$10-OffsetX)/Ecran)*'Calculs 3D'!$C$31)+(((($C74*$N$4)+'Calculs 3D'!$D$10-OffsetY)/Ecran)*'Calculs 3D'!$D$31)+(((($D74*$N$4)+'Calculs 3D'!$E$10-OffsetZ)/Ecran)*'Calculs 3D'!$E$31)),0)</f>
        <v>7.2656055796266258E-3</v>
      </c>
      <c r="O74" s="105">
        <f>IF(Body5Actif=TRUE,((((($B74*$N$4)+'Calculs 3D'!$C$10-OffsetX)/Ecran)*'Calculs 3D'!$C$32)+(((($C74*$N$4)+'Calculs 3D'!$D$10-OffsetY)/Ecran)*'Calculs 3D'!$D$32)+(((($D74*$N$4)+'Calculs 3D'!$E$10-OffsetZ)/Ecran)*'Calculs 3D'!$E$32)),0)</f>
        <v>7.8360316065017449E-4</v>
      </c>
      <c r="P74" s="105">
        <f>IF(Body6Actif=TRUE,((((($B74*$P$4)+'Calculs 3D'!$C$11-OffsetX)/Ecran)*'Calculs 3D'!$C$31)+(((($C74*$P$4)+'Calculs 3D'!$D$11-OffsetY)/Ecran)*'Calculs 3D'!$D$31)+(((($D74*$P$4)+'Calculs 3D'!$E$11-OffsetZ)/Ecran)*'Calculs 3D'!$E$31)),0)</f>
        <v>0.17996573069935967</v>
      </c>
      <c r="Q74" s="105">
        <f>IF(Body6Actif=TRUE,((((($B74*$P$4)+'Calculs 3D'!$C$11-OffsetX)/Ecran)*'Calculs 3D'!$C$32)+(((($C74*$P$4)+'Calculs 3D'!$D$11-OffsetY)/Ecran)*'Calculs 3D'!$D$32)+(((($D74*$P$4)+'Calculs 3D'!$E$11-OffsetZ)/Ecran)*'Calculs 3D'!$E$32)),0)</f>
        <v>0.14140782546119712</v>
      </c>
      <c r="R74" s="105">
        <f>IF(Body7Actif=TRUE,((((($B74*$R$4)+'Calculs 3D'!$C$12-OffsetX)/Ecran)*'Calculs 3D'!$C$31)+(((($C74*$R$4)+'Calculs 3D'!$D$12-OffsetY)/Ecran)*'Calculs 3D'!$D$31)+(((($D74*$R$4)+'Calculs 3D'!$E$12-OffsetZ)/Ecran)*'Calculs 3D'!$E$31)),0)</f>
        <v>-0.27140976572240499</v>
      </c>
      <c r="S74" s="105">
        <f>IF(Body7Actif=TRUE,((((($B74*$R$4)+'Calculs 3D'!$C$12-OffsetX)/Ecran)*'Calculs 3D'!$C$32)+(((($C74*$R$4)+'Calculs 3D'!$D$12-OffsetY)/Ecran)*'Calculs 3D'!$D$32)+(((($D74*$R$4)+'Calculs 3D'!$E$12-OffsetZ)/Ecran)*'Calculs 3D'!$E$32)),0)</f>
        <v>7.0732167134307147E-2</v>
      </c>
      <c r="T74" s="105">
        <f>IF(Body8Actif=TRUE,((((($B74*$T$4)+'Calculs 3D'!$C$13-OffsetX)/Ecran)*'Calculs 3D'!$C$31)+(((($C74*$T$4)+'Calculs 3D'!$D$13-OffsetY)/Ecran)*'Calculs 3D'!$D$31)+(((($D74*$T$4)+'Calculs 3D'!$E$13-OffsetZ)/Ecran)*'Calculs 3D'!$E$31)),0)</f>
        <v>0.17153526885732867</v>
      </c>
      <c r="U74" s="105">
        <f>IF(Body8Actif=TRUE,((((($B74*$T$4)+'Calculs 3D'!$C$13-OffsetX)/Ecran)*'Calculs 3D'!$C$32)+(((($C74*$T$4)+'Calculs 3D'!$D$13-OffsetY)/Ecran)*'Calculs 3D'!$D$32)+(((($D74*$T$4)+'Calculs 3D'!$E$13-OffsetZ)/Ecran)*'Calculs 3D'!$E$32)),0)</f>
        <v>-0.12754574785985115</v>
      </c>
      <c r="V74" s="105">
        <f>IF(Body9Actif=TRUE,((((($B74*$V$4)+'Calculs 3D'!$C$14-OffsetX)/Ecran)*'Calculs 3D'!$C$31)+(((($C74*$V$4)+'Calculs 3D'!$D$14-OffsetY)/Ecran)*'Calculs 3D'!$D$31)+(((($D74*$V$4)+'Calculs 3D'!$E$14-OffsetZ)/Ecran)*'Calculs 3D'!$E$31)),0)</f>
        <v>-0.17299066056567219</v>
      </c>
      <c r="W74" s="105">
        <f>IF(Body9Actif=TRUE,((((($B74*$V$4)+'Calculs 3D'!$C$14-OffsetX)/Ecran)*'Calculs 3D'!$C$32)+(((($C74*$V$4)+'Calculs 3D'!$D$14-OffsetY)/Ecran)*'Calculs 3D'!$D$32)+(((($D74*$V$4)+'Calculs 3D'!$E$14-OffsetZ)/Ecran)*'Calculs 3D'!$E$32)),0)</f>
        <v>0.29287058727644388</v>
      </c>
      <c r="X74" s="105">
        <f>IF(Body10Actif=TRUE,((((($B74*$X$4)+'Calculs 3D'!$C$15-OffsetX)/Ecran)*'Calculs 3D'!$C$31)+(((($C74*$X$4)+'Calculs 3D'!$D$15-OffsetY)/Ecran)*'Calculs 3D'!$D$31)+(((($D74*$X$4)+'Calculs 3D'!$E$15-OffsetZ)/Ecran)*'Calculs 3D'!$E$31)),0)</f>
        <v>-8.3959643045191934E-3</v>
      </c>
      <c r="Y74" s="105">
        <f>IF(Body10Actif=TRUE,((((($B74*$X$4)+'Calculs 3D'!$C$15-OffsetX)/Ecran)*'Calculs 3D'!$C$32)+(((($C74*$X$4)+'Calculs 3D'!$D$15-OffsetY)/Ecran)*'Calculs 3D'!$D$32)+(((($D74*$X$4)+'Calculs 3D'!$E$15-OffsetZ)/Ecran)*'Calculs 3D'!$E$32)),0)</f>
        <v>0.29887975609500428</v>
      </c>
    </row>
    <row r="75" spans="2:25" x14ac:dyDescent="0.3">
      <c r="B75" s="102">
        <v>0.3879382665130322</v>
      </c>
      <c r="C75" s="102">
        <v>0.53395121628746522</v>
      </c>
      <c r="D75" s="102">
        <v>0.75</v>
      </c>
      <c r="F75" s="105">
        <f>IF(Body1Actif=TRUE,((((($B75*$F$4)+'Calculs 3D'!$C$6-OffsetX)/Ecran)*'Calculs 3D'!$C$31)+(((($C75*$F$4)+'Calculs 3D'!$D$6-OffsetY)/Ecran)*'Calculs 3D'!$D$31)+(((($D75*$F$4)+'Calculs 3D'!$E$6-OffsetZ)/Ecran)*'Calculs 3D'!$E$31)),0)</f>
        <v>5.29498932234524E-2</v>
      </c>
      <c r="G75" s="105">
        <f>IF(Body1Actif=TRUE,((((($B75*$F$4)+'Calculs 3D'!$C$6-OffsetX)/Ecran)*'Calculs 3D'!$C$32)+(((($C75*$F$4)+'Calculs 3D'!$D$6-OffsetY)/Ecran)*'Calculs 3D'!$D$32)+(((($D75*$F$4)+'Calculs 3D'!$E$6-OffsetZ)/Ecran)*'Calculs 3D'!$E$32)),0)</f>
        <v>0.26666255635361419</v>
      </c>
      <c r="H75" s="105">
        <f>IF(Body2Actif=TRUE,((((($B75*$H$4)+'Calculs 3D'!$C$7-OffsetX)/Ecran)*'Calculs 3D'!$C$31)+(((($C75*$H$4)+'Calculs 3D'!$D$7-OffsetY)/Ecran)*'Calculs 3D'!$D$31)+(((($D75*$H$4)+'Calculs 3D'!$E$7-OffsetZ)/Ecran)*'Calculs 3D'!$E$31)),0)</f>
        <v>3.4488950091738836E-2</v>
      </c>
      <c r="I75" s="105">
        <f>IF(Body2Actif=TRUE,((((($B75*$H$4)+'Calculs 3D'!$C$7-OffsetX)/Ecran)*'Calculs 3D'!$C$32)+(((($C75*$H$4)+'Calculs 3D'!$D$7-OffsetY)/Ecran)*'Calculs 3D'!$D$32)+(((($D75*$H$4)+'Calculs 3D'!$E$7-OffsetZ)/Ecran)*'Calculs 3D'!$E$32)),0)</f>
        <v>4.123205405879872E-2</v>
      </c>
      <c r="J75" s="105">
        <f>IF(Body3Actif=TRUE,((((($B75*$J$4)+'Calculs 3D'!$C$8-OffsetX)/Ecran)*'Calculs 3D'!$C$31)+(((($C75*$J$4)+'Calculs 3D'!$D$8-OffsetY)/Ecran)*'Calculs 3D'!$D$31)+(((($D75*$J$4)+'Calculs 3D'!$E$8-OffsetZ)/Ecran)*'Calculs 3D'!$E$31)),0)</f>
        <v>0.22276683544109652</v>
      </c>
      <c r="K75" s="105">
        <f>IF(Body3Actif=TRUE,((((($B75*$J$4)+'Calculs 3D'!$C$8-OffsetX)/Ecran)*'Calculs 3D'!$C$32)+(((($C75*$J$4)+'Calculs 3D'!$D$8-OffsetY)/Ecran)*'Calculs 3D'!$D$32)+(((($D75*$J$4)+'Calculs 3D'!$E$8-OffsetZ)/Ecran)*'Calculs 3D'!$E$32)),0)</f>
        <v>-7.6017660656838071E-2</v>
      </c>
      <c r="L75" s="105">
        <f>IF(Body4Actif=TRUE,((((($B75*$L$4)+'Calculs 3D'!$C$9-OffsetX)/Ecran)*'Calculs 3D'!$C$31)+(((($C75*$L$4)+'Calculs 3D'!$D$9-OffsetY)/Ecran)*'Calculs 3D'!$D$31)+(((($D75*$L$4)+'Calculs 3D'!$E$9-OffsetZ)/Ecran)*'Calculs 3D'!$E$31)),0)</f>
        <v>-8.9185949150760419E-2</v>
      </c>
      <c r="M75" s="105">
        <f>IF(Body4Actif=TRUE,((((($B75*$L$4)+'Calculs 3D'!$C$9-OffsetX)/Ecran)*'Calculs 3D'!$C$32)+(((($C75*$L$4)+'Calculs 3D'!$D$9-OffsetY)/Ecran)*'Calculs 3D'!$D$32)+(((($D75*$L$4)+'Calculs 3D'!$E$9-OffsetZ)/Ecran)*'Calculs 3D'!$E$32)),0)</f>
        <v>-0.16580394480442653</v>
      </c>
      <c r="N75" s="105">
        <f>IF(Body5Actif=TRUE,((((($B75*$N$4)+'Calculs 3D'!$C$10-OffsetX)/Ecran)*'Calculs 3D'!$C$31)+(((($C75*$N$4)+'Calculs 3D'!$D$10-OffsetY)/Ecran)*'Calculs 3D'!$D$31)+(((($D75*$N$4)+'Calculs 3D'!$E$10-OffsetZ)/Ecran)*'Calculs 3D'!$E$31)),0)</f>
        <v>6.9518841379652531E-3</v>
      </c>
      <c r="O75" s="105">
        <f>IF(Body5Actif=TRUE,((((($B75*$N$4)+'Calculs 3D'!$C$10-OffsetX)/Ecran)*'Calculs 3D'!$C$32)+(((($C75*$N$4)+'Calculs 3D'!$D$10-OffsetY)/Ecran)*'Calculs 3D'!$D$32)+(((($D75*$N$4)+'Calculs 3D'!$E$10-OffsetZ)/Ecran)*'Calculs 3D'!$E$32)),0)</f>
        <v>2.0030803089026682E-3</v>
      </c>
      <c r="P75" s="105">
        <f>IF(Body6Actif=TRUE,((((($B75*$P$4)+'Calculs 3D'!$C$11-OffsetX)/Ecran)*'Calculs 3D'!$C$31)+(((($C75*$P$4)+'Calculs 3D'!$D$11-OffsetY)/Ecran)*'Calculs 3D'!$D$31)+(((($D75*$P$4)+'Calculs 3D'!$E$11-OffsetZ)/Ecran)*'Calculs 3D'!$E$31)),0)</f>
        <v>0.17951109477216531</v>
      </c>
      <c r="Q75" s="105">
        <f>IF(Body6Actif=TRUE,((((($B75*$P$4)+'Calculs 3D'!$C$11-OffsetX)/Ecran)*'Calculs 3D'!$C$32)+(((($C75*$P$4)+'Calculs 3D'!$D$11-OffsetY)/Ecran)*'Calculs 3D'!$D$32)+(((($D75*$P$4)+'Calculs 3D'!$E$11-OffsetZ)/Ecran)*'Calculs 3D'!$E$32)),0)</f>
        <v>0.14317505603699726</v>
      </c>
      <c r="R75" s="105">
        <f>IF(Body7Actif=TRUE,((((($B75*$R$4)+'Calculs 3D'!$C$12-OffsetX)/Ecran)*'Calculs 3D'!$C$31)+(((($C75*$R$4)+'Calculs 3D'!$D$12-OffsetY)/Ecran)*'Calculs 3D'!$D$31)+(((($D75*$R$4)+'Calculs 3D'!$E$12-OffsetZ)/Ecran)*'Calculs 3D'!$E$31)),0)</f>
        <v>-0.27186633999217391</v>
      </c>
      <c r="S75" s="105">
        <f>IF(Body7Actif=TRUE,((((($B75*$R$4)+'Calculs 3D'!$C$12-OffsetX)/Ecran)*'Calculs 3D'!$C$32)+(((($C75*$R$4)+'Calculs 3D'!$D$12-OffsetY)/Ecran)*'Calculs 3D'!$D$32)+(((($D75*$R$4)+'Calculs 3D'!$E$12-OffsetZ)/Ecran)*'Calculs 3D'!$E$32)),0)</f>
        <v>7.2506932306603752E-2</v>
      </c>
      <c r="T75" s="105">
        <f>IF(Body8Actif=TRUE,((((($B75*$T$4)+'Calculs 3D'!$C$13-OffsetX)/Ecran)*'Calculs 3D'!$C$31)+(((($C75*$T$4)+'Calculs 3D'!$D$13-OffsetY)/Ecran)*'Calculs 3D'!$D$31)+(((($D75*$T$4)+'Calculs 3D'!$E$13-OffsetZ)/Ecran)*'Calculs 3D'!$E$31)),0)</f>
        <v>0.17137060055976822</v>
      </c>
      <c r="U75" s="105">
        <f>IF(Body8Actif=TRUE,((((($B75*$T$4)+'Calculs 3D'!$C$13-OffsetX)/Ecran)*'Calculs 3D'!$C$32)+(((($C75*$T$4)+'Calculs 3D'!$D$13-OffsetY)/Ecran)*'Calculs 3D'!$D$32)+(((($D75*$T$4)+'Calculs 3D'!$E$13-OffsetZ)/Ecran)*'Calculs 3D'!$E$32)),0)</f>
        <v>-0.12690566019209978</v>
      </c>
      <c r="V75" s="105">
        <f>IF(Body9Actif=TRUE,((((($B75*$V$4)+'Calculs 3D'!$C$14-OffsetX)/Ecran)*'Calculs 3D'!$C$31)+(((($C75*$V$4)+'Calculs 3D'!$D$14-OffsetY)/Ecran)*'Calculs 3D'!$D$31)+(((($D75*$V$4)+'Calculs 3D'!$E$14-OffsetZ)/Ecran)*'Calculs 3D'!$E$31)),0)</f>
        <v>-0.17321914045351294</v>
      </c>
      <c r="W75" s="105">
        <f>IF(Body9Actif=TRUE,((((($B75*$V$4)+'Calculs 3D'!$C$14-OffsetX)/Ecran)*'Calculs 3D'!$C$32)+(((($C75*$V$4)+'Calculs 3D'!$D$14-OffsetY)/Ecran)*'Calculs 3D'!$D$32)+(((($D75*$V$4)+'Calculs 3D'!$E$14-OffsetZ)/Ecran)*'Calculs 3D'!$E$32)),0)</f>
        <v>0.2937587191190798</v>
      </c>
      <c r="X75" s="105">
        <f>IF(Body10Actif=TRUE,((((($B75*$X$4)+'Calculs 3D'!$C$15-OffsetX)/Ecran)*'Calculs 3D'!$C$31)+(((($C75*$X$4)+'Calculs 3D'!$D$15-OffsetY)/Ecran)*'Calculs 3D'!$D$31)+(((($D75*$X$4)+'Calculs 3D'!$E$15-OffsetZ)/Ecran)*'Calculs 3D'!$E$31)),0)</f>
        <v>-8.7408442071273407E-3</v>
      </c>
      <c r="Y75" s="105">
        <f>IF(Body10Actif=TRUE,((((($B75*$X$4)+'Calculs 3D'!$C$15-OffsetX)/Ecran)*'Calculs 3D'!$C$32)+(((($C75*$X$4)+'Calculs 3D'!$D$15-OffsetY)/Ecran)*'Calculs 3D'!$D$32)+(((($D75*$X$4)+'Calculs 3D'!$E$15-OffsetZ)/Ecran)*'Calculs 3D'!$E$32)),0)</f>
        <v>0.3002203503428662</v>
      </c>
    </row>
    <row r="76" spans="2:25" x14ac:dyDescent="0.3">
      <c r="B76" s="102">
        <v>0.20395121628746529</v>
      </c>
      <c r="C76" s="102">
        <v>0.62769730075480124</v>
      </c>
      <c r="D76" s="102">
        <v>0.75</v>
      </c>
      <c r="F76" s="105">
        <f>IF(Body1Actif=TRUE,((((($B76*$F$4)+'Calculs 3D'!$C$6-OffsetX)/Ecran)*'Calculs 3D'!$C$31)+(((($C76*$F$4)+'Calculs 3D'!$D$6-OffsetY)/Ecran)*'Calculs 3D'!$D$31)+(((($D76*$F$4)+'Calculs 3D'!$E$6-OffsetZ)/Ecran)*'Calculs 3D'!$E$31)),0)</f>
        <v>5.2595828410172442E-2</v>
      </c>
      <c r="G76" s="105">
        <f>IF(Body1Actif=TRUE,((((($B76*$F$4)+'Calculs 3D'!$C$6-OffsetX)/Ecran)*'Calculs 3D'!$C$32)+(((($C76*$F$4)+'Calculs 3D'!$D$6-OffsetY)/Ecran)*'Calculs 3D'!$D$32)+(((($D76*$F$4)+'Calculs 3D'!$E$6-OffsetZ)/Ecran)*'Calculs 3D'!$E$32)),0)</f>
        <v>0.2670903741702142</v>
      </c>
      <c r="H76" s="105">
        <f>IF(Body2Actif=TRUE,((((($B76*$H$4)+'Calculs 3D'!$C$7-OffsetX)/Ecran)*'Calculs 3D'!$C$31)+(((($C76*$H$4)+'Calculs 3D'!$D$7-OffsetY)/Ecran)*'Calculs 3D'!$D$31)+(((($D76*$H$4)+'Calculs 3D'!$E$7-OffsetZ)/Ecran)*'Calculs 3D'!$E$31)),0)</f>
        <v>3.3108849197236952E-2</v>
      </c>
      <c r="I76" s="105">
        <f>IF(Body2Actif=TRUE,((((($B76*$H$4)+'Calculs 3D'!$C$7-OffsetX)/Ecran)*'Calculs 3D'!$C$32)+(((($C76*$H$4)+'Calculs 3D'!$D$7-OffsetY)/Ecran)*'Calculs 3D'!$D$32)+(((($D76*$H$4)+'Calculs 3D'!$E$7-OffsetZ)/Ecran)*'Calculs 3D'!$E$32)),0)</f>
        <v>4.2899635047442902E-2</v>
      </c>
      <c r="J76" s="105">
        <f>IF(Body3Actif=TRUE,((((($B76*$J$4)+'Calculs 3D'!$C$8-OffsetX)/Ecran)*'Calculs 3D'!$C$31)+(((($C76*$J$4)+'Calculs 3D'!$D$8-OffsetY)/Ecran)*'Calculs 3D'!$D$31)+(((($D76*$J$4)+'Calculs 3D'!$E$8-OffsetZ)/Ecran)*'Calculs 3D'!$E$31)),0)</f>
        <v>0.22215348794652459</v>
      </c>
      <c r="K76" s="105">
        <f>IF(Body3Actif=TRUE,((((($B76*$J$4)+'Calculs 3D'!$C$8-OffsetX)/Ecran)*'Calculs 3D'!$C$32)+(((($C76*$J$4)+'Calculs 3D'!$D$8-OffsetY)/Ecran)*'Calculs 3D'!$D$32)+(((($D76*$J$4)+'Calculs 3D'!$E$8-OffsetZ)/Ecran)*'Calculs 3D'!$E$32)),0)</f>
        <v>-7.5276550622451893E-2</v>
      </c>
      <c r="L76" s="105">
        <f>IF(Body4Actif=TRUE,((((($B76*$L$4)+'Calculs 3D'!$C$9-OffsetX)/Ecran)*'Calculs 3D'!$C$31)+(((($C76*$L$4)+'Calculs 3D'!$D$9-OffsetY)/Ecran)*'Calculs 3D'!$D$31)+(((($D76*$L$4)+'Calculs 3D'!$E$9-OffsetZ)/Ecran)*'Calculs 3D'!$E$31)),0)</f>
        <v>-8.9983480354385553E-2</v>
      </c>
      <c r="M76" s="105">
        <f>IF(Body4Actif=TRUE,((((($B76*$L$4)+'Calculs 3D'!$C$9-OffsetX)/Ecran)*'Calculs 3D'!$C$32)+(((($C76*$L$4)+'Calculs 3D'!$D$9-OffsetY)/Ecran)*'Calculs 3D'!$D$32)+(((($D76*$L$4)+'Calculs 3D'!$E$9-OffsetZ)/Ecran)*'Calculs 3D'!$E$32)),0)</f>
        <v>-0.16484028491672262</v>
      </c>
      <c r="N76" s="105">
        <f>IF(Body5Actif=TRUE,((((($B76*$N$4)+'Calculs 3D'!$C$10-OffsetX)/Ecran)*'Calculs 3D'!$C$31)+(((($C76*$N$4)+'Calculs 3D'!$D$10-OffsetY)/Ecran)*'Calculs 3D'!$D$31)+(((($D76*$N$4)+'Calculs 3D'!$E$10-OffsetZ)/Ecran)*'Calculs 3D'!$E$31)),0)</f>
        <v>6.0414290535167666E-3</v>
      </c>
      <c r="O76" s="105">
        <f>IF(Body5Actif=TRUE,((((($B76*$N$4)+'Calculs 3D'!$C$10-OffsetX)/Ecran)*'Calculs 3D'!$C$32)+(((($C76*$N$4)+'Calculs 3D'!$D$10-OffsetY)/Ecran)*'Calculs 3D'!$D$32)+(((($D76*$N$4)+'Calculs 3D'!$E$10-OffsetZ)/Ecran)*'Calculs 3D'!$E$32)),0)</f>
        <v>3.103186537287304E-3</v>
      </c>
      <c r="P76" s="105">
        <f>IF(Body6Actif=TRUE,((((($B76*$P$4)+'Calculs 3D'!$C$11-OffsetX)/Ecran)*'Calculs 3D'!$C$31)+(((($C76*$P$4)+'Calculs 3D'!$D$11-OffsetY)/Ecran)*'Calculs 3D'!$D$31)+(((($D76*$P$4)+'Calculs 3D'!$E$11-OffsetZ)/Ecran)*'Calculs 3D'!$E$31)),0)</f>
        <v>0.17819168992277085</v>
      </c>
      <c r="Q76" s="105">
        <f>IF(Body6Actif=TRUE,((((($B76*$P$4)+'Calculs 3D'!$C$11-OffsetX)/Ecran)*'Calculs 3D'!$C$32)+(((($C76*$P$4)+'Calculs 3D'!$D$11-OffsetY)/Ecran)*'Calculs 3D'!$D$32)+(((($D76*$P$4)+'Calculs 3D'!$E$11-OffsetZ)/Ecran)*'Calculs 3D'!$E$32)),0)</f>
        <v>0.14476929777101866</v>
      </c>
      <c r="R76" s="105">
        <f>IF(Body7Actif=TRUE,((((($B76*$R$4)+'Calculs 3D'!$C$12-OffsetX)/Ecran)*'Calculs 3D'!$C$31)+(((($C76*$R$4)+'Calculs 3D'!$D$12-OffsetY)/Ecran)*'Calculs 3D'!$D$31)+(((($D76*$R$4)+'Calculs 3D'!$E$12-OffsetZ)/Ecran)*'Calculs 3D'!$E$31)),0)</f>
        <v>-0.27319137013081574</v>
      </c>
      <c r="S76" s="105">
        <f>IF(Body7Actif=TRUE,((((($B76*$R$4)+'Calculs 3D'!$C$12-OffsetX)/Ecran)*'Calculs 3D'!$C$32)+(((($C76*$R$4)+'Calculs 3D'!$D$12-OffsetY)/Ecran)*'Calculs 3D'!$D$32)+(((($D76*$R$4)+'Calculs 3D'!$E$12-OffsetZ)/Ecran)*'Calculs 3D'!$E$32)),0)</f>
        <v>7.4107971098319944E-2</v>
      </c>
      <c r="T76" s="105">
        <f>IF(Body8Actif=TRUE,((((($B76*$T$4)+'Calculs 3D'!$C$13-OffsetX)/Ecran)*'Calculs 3D'!$C$31)+(((($C76*$T$4)+'Calculs 3D'!$D$13-OffsetY)/Ecran)*'Calculs 3D'!$D$31)+(((($D76*$T$4)+'Calculs 3D'!$E$13-OffsetZ)/Ecran)*'Calculs 3D'!$E$31)),0)</f>
        <v>0.17089271454736354</v>
      </c>
      <c r="U76" s="105">
        <f>IF(Body8Actif=TRUE,((((($B76*$T$4)+'Calculs 3D'!$C$13-OffsetX)/Ecran)*'Calculs 3D'!$C$32)+(((($C76*$T$4)+'Calculs 3D'!$D$13-OffsetY)/Ecran)*'Calculs 3D'!$D$32)+(((($D76*$T$4)+'Calculs 3D'!$E$13-OffsetZ)/Ecran)*'Calculs 3D'!$E$32)),0)</f>
        <v>-0.12632822876502092</v>
      </c>
      <c r="V76" s="105">
        <f>IF(Body9Actif=TRUE,((((($B76*$V$4)+'Calculs 3D'!$C$14-OffsetX)/Ecran)*'Calculs 3D'!$C$31)+(((($C76*$V$4)+'Calculs 3D'!$D$14-OffsetY)/Ecran)*'Calculs 3D'!$D$31)+(((($D76*$V$4)+'Calculs 3D'!$E$14-OffsetZ)/Ecran)*'Calculs 3D'!$E$31)),0)</f>
        <v>-0.17388221491370046</v>
      </c>
      <c r="W76" s="105">
        <f>IF(Body9Actif=TRUE,((((($B76*$V$4)+'Calculs 3D'!$C$14-OffsetX)/Ecran)*'Calculs 3D'!$C$32)+(((($C76*$V$4)+'Calculs 3D'!$D$14-OffsetY)/Ecran)*'Calculs 3D'!$D$32)+(((($D76*$V$4)+'Calculs 3D'!$E$14-OffsetZ)/Ecran)*'Calculs 3D'!$E$32)),0)</f>
        <v>0.29455991442898016</v>
      </c>
      <c r="X76" s="105">
        <f>IF(Body10Actif=TRUE,((((($B76*$X$4)+'Calculs 3D'!$C$15-OffsetX)/Ecran)*'Calculs 3D'!$C$31)+(((($C76*$X$4)+'Calculs 3D'!$D$15-OffsetY)/Ecran)*'Calculs 3D'!$D$31)+(((($D76*$X$4)+'Calculs 3D'!$E$15-OffsetZ)/Ecran)*'Calculs 3D'!$E$31)),0)</f>
        <v>-9.7417246671648861E-3</v>
      </c>
      <c r="Y76" s="105">
        <f>IF(Body10Actif=TRUE,((((($B76*$X$4)+'Calculs 3D'!$C$15-OffsetX)/Ecran)*'Calculs 3D'!$C$32)+(((($C76*$X$4)+'Calculs 3D'!$D$15-OffsetY)/Ecran)*'Calculs 3D'!$D$32)+(((($D76*$X$4)+'Calculs 3D'!$E$15-OffsetZ)/Ecran)*'Calculs 3D'!$E$32)),0)</f>
        <v>0.30142971788527806</v>
      </c>
    </row>
    <row r="77" spans="2:25" x14ac:dyDescent="0.3">
      <c r="B77" s="102">
        <v>4.0429899011984458E-17</v>
      </c>
      <c r="C77" s="102">
        <v>0.65999999999999992</v>
      </c>
      <c r="D77" s="102">
        <v>0.75</v>
      </c>
      <c r="F77" s="105">
        <f>IF(Body1Actif=TRUE,((((($B77*$F$4)+'Calculs 3D'!$C$6-OffsetX)/Ecran)*'Calculs 3D'!$C$31)+(((($C77*$F$4)+'Calculs 3D'!$D$6-OffsetY)/Ecran)*'Calculs 3D'!$D$31)+(((($D77*$F$4)+'Calculs 3D'!$E$6-OffsetZ)/Ecran)*'Calculs 3D'!$E$31)),0)</f>
        <v>5.2044359534516561E-2</v>
      </c>
      <c r="G77" s="105">
        <f>IF(Body1Actif=TRUE,((((($B77*$F$4)+'Calculs 3D'!$C$6-OffsetX)/Ecran)*'Calculs 3D'!$C$32)+(((($C77*$F$4)+'Calculs 3D'!$D$6-OffsetY)/Ecran)*'Calculs 3D'!$D$32)+(((($D77*$F$4)+'Calculs 3D'!$E$6-OffsetZ)/Ecran)*'Calculs 3D'!$E$32)),0)</f>
        <v>0.2674298923117967</v>
      </c>
      <c r="H77" s="105">
        <f>IF(Body2Actif=TRUE,((((($B77*$H$4)+'Calculs 3D'!$C$7-OffsetX)/Ecran)*'Calculs 3D'!$C$31)+(((($C77*$H$4)+'Calculs 3D'!$D$7-OffsetY)/Ecran)*'Calculs 3D'!$D$31)+(((($D77*$H$4)+'Calculs 3D'!$E$7-OffsetZ)/Ecran)*'Calculs 3D'!$E$31)),0)</f>
        <v>3.0959291658513646E-2</v>
      </c>
      <c r="I77" s="105">
        <f>IF(Body2Actif=TRUE,((((($B77*$H$4)+'Calculs 3D'!$C$7-OffsetX)/Ecran)*'Calculs 3D'!$C$32)+(((($C77*$H$4)+'Calculs 3D'!$D$7-OffsetY)/Ecran)*'Calculs 3D'!$D$32)+(((($D77*$H$4)+'Calculs 3D'!$E$7-OffsetZ)/Ecran)*'Calculs 3D'!$E$32)),0)</f>
        <v>4.4223034813030679E-2</v>
      </c>
      <c r="J77" s="105">
        <f>IF(Body3Actif=TRUE,((((($B77*$J$4)+'Calculs 3D'!$C$8-OffsetX)/Ecran)*'Calculs 3D'!$C$31)+(((($C77*$J$4)+'Calculs 3D'!$D$8-OffsetY)/Ecran)*'Calculs 3D'!$D$31)+(((($D77*$J$4)+'Calculs 3D'!$E$8-OffsetZ)/Ecran)*'Calculs 3D'!$E$31)),0)</f>
        <v>0.22119817682683288</v>
      </c>
      <c r="K77" s="105">
        <f>IF(Body3Actif=TRUE,((((($B77*$J$4)+'Calculs 3D'!$C$8-OffsetX)/Ecran)*'Calculs 3D'!$C$32)+(((($C77*$J$4)+'Calculs 3D'!$D$8-OffsetY)/Ecran)*'Calculs 3D'!$D$32)+(((($D77*$J$4)+'Calculs 3D'!$E$8-OffsetZ)/Ecran)*'Calculs 3D'!$E$32)),0)</f>
        <v>-7.4688402369107482E-2</v>
      </c>
      <c r="L77" s="105">
        <f>IF(Body4Actif=TRUE,((((($B77*$L$4)+'Calculs 3D'!$C$9-OffsetX)/Ecran)*'Calculs 3D'!$C$31)+(((($C77*$L$4)+'Calculs 3D'!$D$9-OffsetY)/Ecran)*'Calculs 3D'!$D$31)+(((($D77*$L$4)+'Calculs 3D'!$E$9-OffsetZ)/Ecran)*'Calculs 3D'!$E$31)),0)</f>
        <v>-9.1225664326549549E-2</v>
      </c>
      <c r="M77" s="105">
        <f>IF(Body4Actif=TRUE,((((($B77*$L$4)+'Calculs 3D'!$C$9-OffsetX)/Ecran)*'Calculs 3D'!$C$32)+(((($C77*$L$4)+'Calculs 3D'!$D$9-OffsetY)/Ecran)*'Calculs 3D'!$D$32)+(((($D77*$L$4)+'Calculs 3D'!$E$9-OffsetZ)/Ecran)*'Calculs 3D'!$E$32)),0)</f>
        <v>-0.16407552009979423</v>
      </c>
      <c r="N77" s="105">
        <f>IF(Body5Actif=TRUE,((((($B77*$N$4)+'Calculs 3D'!$C$10-OffsetX)/Ecran)*'Calculs 3D'!$C$31)+(((($C77*$N$4)+'Calculs 3D'!$D$10-OffsetY)/Ecran)*'Calculs 3D'!$D$31)+(((($D77*$N$4)+'Calculs 3D'!$E$10-OffsetZ)/Ecran)*'Calculs 3D'!$E$31)),0)</f>
        <v>4.6233620134605614E-3</v>
      </c>
      <c r="O77" s="105">
        <f>IF(Body5Actif=TRUE,((((($B77*$N$4)+'Calculs 3D'!$C$10-OffsetX)/Ecran)*'Calculs 3D'!$C$32)+(((($C77*$N$4)+'Calculs 3D'!$D$10-OffsetY)/Ecran)*'Calculs 3D'!$D$32)+(((($D77*$N$4)+'Calculs 3D'!$E$10-OffsetZ)/Ecran)*'Calculs 3D'!$E$32)),0)</f>
        <v>3.9762357832789971E-3</v>
      </c>
      <c r="P77" s="105">
        <f>IF(Body6Actif=TRUE,((((($B77*$P$4)+'Calculs 3D'!$C$11-OffsetX)/Ecran)*'Calculs 3D'!$C$31)+(((($C77*$P$4)+'Calculs 3D'!$D$11-OffsetY)/Ecran)*'Calculs 3D'!$D$31)+(((($D77*$P$4)+'Calculs 3D'!$E$11-OffsetZ)/Ecran)*'Calculs 3D'!$E$31)),0)</f>
        <v>0.17613666869066913</v>
      </c>
      <c r="Q77" s="105">
        <f>IF(Body6Actif=TRUE,((((($B77*$P$4)+'Calculs 3D'!$C$11-OffsetX)/Ecran)*'Calculs 3D'!$C$32)+(((($C77*$P$4)+'Calculs 3D'!$D$11-OffsetY)/Ecran)*'Calculs 3D'!$D$32)+(((($D77*$P$4)+'Calculs 3D'!$E$11-OffsetZ)/Ecran)*'Calculs 3D'!$E$32)),0)</f>
        <v>0.14603449517459993</v>
      </c>
      <c r="R77" s="105">
        <f>IF(Body7Actif=TRUE,((((($B77*$R$4)+'Calculs 3D'!$C$12-OffsetX)/Ecran)*'Calculs 3D'!$C$31)+(((($C77*$R$4)+'Calculs 3D'!$D$12-OffsetY)/Ecran)*'Calculs 3D'!$D$31)+(((($D77*$R$4)+'Calculs 3D'!$E$12-OffsetZ)/Ecran)*'Calculs 3D'!$E$31)),0)</f>
        <v>-0.27525515295633241</v>
      </c>
      <c r="S77" s="105">
        <f>IF(Body7Actif=TRUE,((((($B77*$R$4)+'Calculs 3D'!$C$12-OffsetX)/Ecran)*'Calculs 3D'!$C$32)+(((($C77*$R$4)+'Calculs 3D'!$D$12-OffsetY)/Ecran)*'Calculs 3D'!$D$32)+(((($D77*$R$4)+'Calculs 3D'!$E$12-OffsetZ)/Ecran)*'Calculs 3D'!$E$32)),0)</f>
        <v>7.5378562677429276E-2</v>
      </c>
      <c r="T77" s="105">
        <f>IF(Body8Actif=TRUE,((((($B77*$T$4)+'Calculs 3D'!$C$13-OffsetX)/Ecran)*'Calculs 3D'!$C$31)+(((($C77*$T$4)+'Calculs 3D'!$D$13-OffsetY)/Ecran)*'Calculs 3D'!$D$31)+(((($D77*$T$4)+'Calculs 3D'!$E$13-OffsetZ)/Ecran)*'Calculs 3D'!$E$31)),0)</f>
        <v>0.17014838963263648</v>
      </c>
      <c r="U77" s="105">
        <f>IF(Body8Actif=TRUE,((((($B77*$T$4)+'Calculs 3D'!$C$13-OffsetX)/Ecran)*'Calculs 3D'!$C$32)+(((($C77*$T$4)+'Calculs 3D'!$D$13-OffsetY)/Ecran)*'Calculs 3D'!$D$32)+(((($D77*$T$4)+'Calculs 3D'!$E$13-OffsetZ)/Ecran)*'Calculs 3D'!$E$32)),0)</f>
        <v>-0.12586997658989843</v>
      </c>
      <c r="V77" s="105">
        <f>IF(Body9Actif=TRUE,((((($B77*$V$4)+'Calculs 3D'!$C$14-OffsetX)/Ecran)*'Calculs 3D'!$C$31)+(((($C77*$V$4)+'Calculs 3D'!$D$14-OffsetY)/Ecran)*'Calculs 3D'!$D$31)+(((($D77*$V$4)+'Calculs 3D'!$E$14-OffsetZ)/Ecran)*'Calculs 3D'!$E$31)),0)</f>
        <v>-0.17491497759816005</v>
      </c>
      <c r="W77" s="105">
        <f>IF(Body9Actif=TRUE,((((($B77*$V$4)+'Calculs 3D'!$C$14-OffsetX)/Ecran)*'Calculs 3D'!$C$32)+(((($C77*$V$4)+'Calculs 3D'!$D$14-OffsetY)/Ecran)*'Calculs 3D'!$D$32)+(((($D77*$V$4)+'Calculs 3D'!$E$14-OffsetZ)/Ecran)*'Calculs 3D'!$E$32)),0)</f>
        <v>0.2951957466269558</v>
      </c>
      <c r="X77" s="105">
        <f>IF(Body10Actif=TRUE,((((($B77*$X$4)+'Calculs 3D'!$C$15-OffsetX)/Ecran)*'Calculs 3D'!$C$31)+(((($C77*$X$4)+'Calculs 3D'!$D$15-OffsetY)/Ecran)*'Calculs 3D'!$D$31)+(((($D77*$X$4)+'Calculs 3D'!$E$15-OffsetZ)/Ecran)*'Calculs 3D'!$E$31)),0)</f>
        <v>-1.1300632531659194E-2</v>
      </c>
      <c r="Y77" s="105">
        <f>IF(Body10Actif=TRUE,((((($B77*$X$4)+'Calculs 3D'!$C$15-OffsetX)/Ecran)*'Calculs 3D'!$C$32)+(((($C77*$X$4)+'Calculs 3D'!$D$15-OffsetY)/Ecran)*'Calculs 3D'!$D$32)+(((($D77*$X$4)+'Calculs 3D'!$E$15-OffsetZ)/Ecran)*'Calculs 3D'!$E$32)),0)</f>
        <v>0.30238947740102939</v>
      </c>
    </row>
    <row r="78" spans="2:25" x14ac:dyDescent="0.3">
      <c r="B78" s="102">
        <v>-0.20395121628746521</v>
      </c>
      <c r="C78" s="102">
        <v>0.62769730075480135</v>
      </c>
      <c r="D78" s="102">
        <v>0.75</v>
      </c>
      <c r="F78" s="105">
        <f>IF(Body1Actif=TRUE,((((($B78*$F$4)+'Calculs 3D'!$C$6-OffsetX)/Ecran)*'Calculs 3D'!$C$31)+(((($C78*$F$4)+'Calculs 3D'!$D$6-OffsetY)/Ecran)*'Calculs 3D'!$D$31)+(((($D78*$F$4)+'Calculs 3D'!$E$6-OffsetZ)/Ecran)*'Calculs 3D'!$E$31)),0)</f>
        <v>5.1349468212343576E-2</v>
      </c>
      <c r="G78" s="105">
        <f>IF(Body1Actif=TRUE,((((($B78*$F$4)+'Calculs 3D'!$C$6-OffsetX)/Ecran)*'Calculs 3D'!$C$32)+(((($C78*$F$4)+'Calculs 3D'!$D$6-OffsetY)/Ecran)*'Calculs 3D'!$D$32)+(((($D78*$F$4)+'Calculs 3D'!$E$6-OffsetZ)/Ecran)*'Calculs 3D'!$E$32)),0)</f>
        <v>0.26764787637710152</v>
      </c>
      <c r="H78" s="105">
        <f>IF(Body2Actif=TRUE,((((($B78*$H$4)+'Calculs 3D'!$C$7-OffsetX)/Ecran)*'Calculs 3D'!$C$31)+(((($C78*$H$4)+'Calculs 3D'!$D$7-OffsetY)/Ecran)*'Calculs 3D'!$D$31)+(((($D78*$H$4)+'Calculs 3D'!$E$7-OffsetZ)/Ecran)*'Calculs 3D'!$E$31)),0)</f>
        <v>2.8250691144307193E-2</v>
      </c>
      <c r="I78" s="105">
        <f>IF(Body2Actif=TRUE,((((($B78*$H$4)+'Calculs 3D'!$C$7-OffsetX)/Ecran)*'Calculs 3D'!$C$32)+(((($C78*$H$4)+'Calculs 3D'!$D$7-OffsetY)/Ecran)*'Calculs 3D'!$D$32)+(((($D78*$H$4)+'Calculs 3D'!$E$7-OffsetZ)/Ecran)*'Calculs 3D'!$E$32)),0)</f>
        <v>4.5072709765837972E-2</v>
      </c>
      <c r="J78" s="105">
        <f>IF(Body3Actif=TRUE,((((($B78*$J$4)+'Calculs 3D'!$C$8-OffsetX)/Ecran)*'Calculs 3D'!$C$31)+(((($C78*$J$4)+'Calculs 3D'!$D$8-OffsetY)/Ecran)*'Calculs 3D'!$D$31)+(((($D78*$J$4)+'Calculs 3D'!$E$8-OffsetZ)/Ecran)*'Calculs 3D'!$E$31)),0)</f>
        <v>0.21999441459046076</v>
      </c>
      <c r="K78" s="105">
        <f>IF(Body3Actif=TRUE,((((($B78*$J$4)+'Calculs 3D'!$C$8-OffsetX)/Ecran)*'Calculs 3D'!$C$32)+(((($C78*$J$4)+'Calculs 3D'!$D$8-OffsetY)/Ecran)*'Calculs 3D'!$D$32)+(((($D78*$J$4)+'Calculs 3D'!$E$8-OffsetZ)/Ecran)*'Calculs 3D'!$E$32)),0)</f>
        <v>-7.4310787945712026E-2</v>
      </c>
      <c r="L78" s="105">
        <f>IF(Body4Actif=TRUE,((((($B78*$L$4)+'Calculs 3D'!$C$9-OffsetX)/Ecran)*'Calculs 3D'!$C$31)+(((($C78*$L$4)+'Calculs 3D'!$D$9-OffsetY)/Ecran)*'Calculs 3D'!$D$31)+(((($D78*$L$4)+'Calculs 3D'!$E$9-OffsetZ)/Ecran)*'Calculs 3D'!$E$31)),0)</f>
        <v>-9.2790907445252396E-2</v>
      </c>
      <c r="M78" s="105">
        <f>IF(Body4Actif=TRUE,((((($B78*$L$4)+'Calculs 3D'!$C$9-OffsetX)/Ecran)*'Calculs 3D'!$C$32)+(((($C78*$L$4)+'Calculs 3D'!$D$9-OffsetY)/Ecran)*'Calculs 3D'!$D$32)+(((($D78*$L$4)+'Calculs 3D'!$E$9-OffsetZ)/Ecran)*'Calculs 3D'!$E$32)),0)</f>
        <v>-0.16358451086235215</v>
      </c>
      <c r="N78" s="105">
        <f>IF(Body5Actif=TRUE,((((($B78*$N$4)+'Calculs 3D'!$C$10-OffsetX)/Ecran)*'Calculs 3D'!$C$31)+(((($C78*$N$4)+'Calculs 3D'!$D$10-OffsetY)/Ecran)*'Calculs 3D'!$D$31)+(((($D78*$N$4)+'Calculs 3D'!$E$10-OffsetZ)/Ecran)*'Calculs 3D'!$E$31)),0)</f>
        <v>2.8364932999313808E-3</v>
      </c>
      <c r="O78" s="105">
        <f>IF(Body5Actif=TRUE,((((($B78*$N$4)+'Calculs 3D'!$C$10-OffsetX)/Ecran)*'Calculs 3D'!$C$32)+(((($C78*$N$4)+'Calculs 3D'!$D$10-OffsetY)/Ecran)*'Calculs 3D'!$D$32)+(((($D78*$N$4)+'Calculs 3D'!$E$10-OffsetZ)/Ecran)*'Calculs 3D'!$E$32)),0)</f>
        <v>4.5367679037883E-3</v>
      </c>
      <c r="P78" s="105">
        <f>IF(Body6Actif=TRUE,((((($B78*$P$4)+'Calculs 3D'!$C$11-OffsetX)/Ecran)*'Calculs 3D'!$C$31)+(((($C78*$P$4)+'Calculs 3D'!$D$11-OffsetY)/Ecran)*'Calculs 3D'!$D$31)+(((($D78*$P$4)+'Calculs 3D'!$E$11-OffsetZ)/Ecran)*'Calculs 3D'!$E$31)),0)</f>
        <v>0.17354719087223314</v>
      </c>
      <c r="Q78" s="105">
        <f>IF(Body6Actif=TRUE,((((($B78*$P$4)+'Calculs 3D'!$C$11-OffsetX)/Ecran)*'Calculs 3D'!$C$32)+(((($C78*$P$4)+'Calculs 3D'!$D$11-OffsetY)/Ecran)*'Calculs 3D'!$D$32)+(((($D78*$P$4)+'Calculs 3D'!$E$11-OffsetZ)/Ecran)*'Calculs 3D'!$E$32)),0)</f>
        <v>0.14684680191072996</v>
      </c>
      <c r="R78" s="105">
        <f>IF(Body7Actif=TRUE,((((($B78*$R$4)+'Calculs 3D'!$C$12-OffsetX)/Ecran)*'Calculs 3D'!$C$31)+(((($C78*$R$4)+'Calculs 3D'!$D$12-OffsetY)/Ecran)*'Calculs 3D'!$D$31)+(((($D78*$R$4)+'Calculs 3D'!$E$12-OffsetZ)/Ecran)*'Calculs 3D'!$E$31)),0)</f>
        <v>-0.27785567102654185</v>
      </c>
      <c r="S78" s="105">
        <f>IF(Body7Actif=TRUE,((((($B78*$R$4)+'Calculs 3D'!$C$12-OffsetX)/Ecran)*'Calculs 3D'!$C$32)+(((($C78*$R$4)+'Calculs 3D'!$D$12-OffsetY)/Ecran)*'Calculs 3D'!$D$32)+(((($D78*$R$4)+'Calculs 3D'!$E$12-OffsetZ)/Ecran)*'Calculs 3D'!$E$32)),0)</f>
        <v>7.6194332687436472E-2</v>
      </c>
      <c r="T78" s="105">
        <f>IF(Body8Actif=TRUE,((((($B78*$T$4)+'Calculs 3D'!$C$13-OffsetX)/Ecran)*'Calculs 3D'!$C$31)+(((($C78*$T$4)+'Calculs 3D'!$D$13-OffsetY)/Ecran)*'Calculs 3D'!$D$31)+(((($D78*$T$4)+'Calculs 3D'!$E$13-OffsetZ)/Ecran)*'Calculs 3D'!$E$31)),0)</f>
        <v>0.1692104855242571</v>
      </c>
      <c r="U78" s="105">
        <f>IF(Body8Actif=TRUE,((((($B78*$T$4)+'Calculs 3D'!$C$13-OffsetX)/Ecran)*'Calculs 3D'!$C$32)+(((($C78*$T$4)+'Calculs 3D'!$D$13-OffsetY)/Ecran)*'Calculs 3D'!$D$32)+(((($D78*$T$4)+'Calculs 3D'!$E$13-OffsetZ)/Ecran)*'Calculs 3D'!$E$32)),0)</f>
        <v>-0.12557576058246386</v>
      </c>
      <c r="V78" s="105">
        <f>IF(Body9Actif=TRUE,((((($B78*$V$4)+'Calculs 3D'!$C$14-OffsetX)/Ecran)*'Calculs 3D'!$C$31)+(((($C78*$V$4)+'Calculs 3D'!$D$14-OffsetY)/Ecran)*'Calculs 3D'!$D$31)+(((($D78*$V$4)+'Calculs 3D'!$E$14-OffsetZ)/Ecran)*'Calculs 3D'!$E$31)),0)</f>
        <v>-0.17621633449965621</v>
      </c>
      <c r="W78" s="105">
        <f>IF(Body9Actif=TRUE,((((($B78*$V$4)+'Calculs 3D'!$C$14-OffsetX)/Ecran)*'Calculs 3D'!$C$32)+(((($C78*$V$4)+'Calculs 3D'!$D$14-OffsetY)/Ecran)*'Calculs 3D'!$D$32)+(((($D78*$V$4)+'Calculs 3D'!$E$14-OffsetZ)/Ecran)*'Calculs 3D'!$E$32)),0)</f>
        <v>0.29560397602736566</v>
      </c>
      <c r="X78" s="105">
        <f>IF(Body10Actif=TRUE,((((($B78*$X$4)+'Calculs 3D'!$C$15-OffsetX)/Ecran)*'Calculs 3D'!$C$31)+(((($C78*$X$4)+'Calculs 3D'!$D$15-OffsetY)/Ecran)*'Calculs 3D'!$D$31)+(((($D78*$X$4)+'Calculs 3D'!$E$15-OffsetZ)/Ecran)*'Calculs 3D'!$E$31)),0)</f>
        <v>-1.3264971037283801E-2</v>
      </c>
      <c r="Y78" s="105">
        <f>IF(Body10Actif=TRUE,((((($B78*$X$4)+'Calculs 3D'!$C$15-OffsetX)/Ecran)*'Calculs 3D'!$C$32)+(((($C78*$X$4)+'Calculs 3D'!$D$15-OffsetY)/Ecran)*'Calculs 3D'!$D$32)+(((($D78*$X$4)+'Calculs 3D'!$E$15-OffsetZ)/Ecran)*'Calculs 3D'!$E$32)),0)</f>
        <v>0.30300568094168068</v>
      </c>
    </row>
    <row r="79" spans="2:25" x14ac:dyDescent="0.3">
      <c r="B79" s="102">
        <v>-0.38793826651303215</v>
      </c>
      <c r="C79" s="102">
        <v>0.53395121628746522</v>
      </c>
      <c r="D79" s="102">
        <v>0.75</v>
      </c>
      <c r="F79" s="105">
        <f>IF(Body1Actif=TRUE,((((($B79*$F$4)+'Calculs 3D'!$C$6-OffsetX)/Ecran)*'Calculs 3D'!$C$31)+(((($C79*$F$4)+'Calculs 3D'!$D$6-OffsetY)/Ecran)*'Calculs 3D'!$D$31)+(((($D79*$F$4)+'Calculs 3D'!$E$6-OffsetZ)/Ecran)*'Calculs 3D'!$E$31)),0)</f>
        <v>5.0579175247860278E-2</v>
      </c>
      <c r="G79" s="105">
        <f>IF(Body1Actif=TRUE,((((($B79*$F$4)+'Calculs 3D'!$C$6-OffsetX)/Ecran)*'Calculs 3D'!$C$32)+(((($C79*$F$4)+'Calculs 3D'!$D$6-OffsetY)/Ecran)*'Calculs 3D'!$D$32)+(((($D79*$F$4)+'Calculs 3D'!$E$6-OffsetZ)/Ecran)*'Calculs 3D'!$E$32)),0)</f>
        <v>0.26772298856703242</v>
      </c>
      <c r="H79" s="105">
        <f>IF(Body2Actif=TRUE,((((($B79*$H$4)+'Calculs 3D'!$C$7-OffsetX)/Ecran)*'Calculs 3D'!$C$31)+(((($C79*$H$4)+'Calculs 3D'!$D$7-OffsetY)/Ecran)*'Calculs 3D'!$D$31)+(((($D79*$H$4)+'Calculs 3D'!$E$7-OffsetZ)/Ecran)*'Calculs 3D'!$E$31)),0)</f>
        <v>2.5248184344877588E-2</v>
      </c>
      <c r="I79" s="105">
        <f>IF(Body2Actif=TRUE,((((($B79*$H$4)+'Calculs 3D'!$C$7-OffsetX)/Ecran)*'Calculs 3D'!$C$32)+(((($C79*$H$4)+'Calculs 3D'!$D$7-OffsetY)/Ecran)*'Calculs 3D'!$D$32)+(((($D79*$H$4)+'Calculs 3D'!$E$7-OffsetZ)/Ecran)*'Calculs 3D'!$E$32)),0)</f>
        <v>4.5365487801450499E-2</v>
      </c>
      <c r="J79" s="105">
        <f>IF(Body3Actif=TRUE,((((($B79*$J$4)+'Calculs 3D'!$C$8-OffsetX)/Ecran)*'Calculs 3D'!$C$31)+(((($C79*$J$4)+'Calculs 3D'!$D$8-OffsetY)/Ecran)*'Calculs 3D'!$D$31)+(((($D79*$J$4)+'Calculs 3D'!$E$8-OffsetZ)/Ecran)*'Calculs 3D'!$E$31)),0)</f>
        <v>0.21866003387220898</v>
      </c>
      <c r="K79" s="105">
        <f>IF(Body3Actif=TRUE,((((($B79*$J$4)+'Calculs 3D'!$C$8-OffsetX)/Ecran)*'Calculs 3D'!$C$32)+(((($C79*$J$4)+'Calculs 3D'!$D$8-OffsetY)/Ecran)*'Calculs 3D'!$D$32)+(((($D79*$J$4)+'Calculs 3D'!$E$8-OffsetZ)/Ecran)*'Calculs 3D'!$E$32)),0)</f>
        <v>-7.4180670883021882E-2</v>
      </c>
      <c r="L79" s="105">
        <f>IF(Body4Actif=TRUE,((((($B79*$L$4)+'Calculs 3D'!$C$9-OffsetX)/Ecran)*'Calculs 3D'!$C$31)+(((($C79*$L$4)+'Calculs 3D'!$D$9-OffsetY)/Ecran)*'Calculs 3D'!$D$31)+(((($D79*$L$4)+'Calculs 3D'!$E$9-OffsetZ)/Ecran)*'Calculs 3D'!$E$31)),0)</f>
        <v>-9.4525992808345352E-2</v>
      </c>
      <c r="M79" s="105">
        <f>IF(Body4Actif=TRUE,((((($B79*$L$4)+'Calculs 3D'!$C$9-OffsetX)/Ecran)*'Calculs 3D'!$C$32)+(((($C79*$L$4)+'Calculs 3D'!$D$9-OffsetY)/Ecran)*'Calculs 3D'!$D$32)+(((($D79*$L$4)+'Calculs 3D'!$E$9-OffsetZ)/Ecran)*'Calculs 3D'!$E$32)),0)</f>
        <v>-0.16341532060961969</v>
      </c>
      <c r="N79" s="105">
        <f>IF(Body5Actif=TRUE,((((($B79*$N$4)+'Calculs 3D'!$C$10-OffsetX)/Ecran)*'Calculs 3D'!$C$31)+(((($C79*$N$4)+'Calculs 3D'!$D$10-OffsetY)/Ecran)*'Calculs 3D'!$D$31)+(((($D79*$N$4)+'Calculs 3D'!$E$10-OffsetZ)/Ecran)*'Calculs 3D'!$E$31)),0)</f>
        <v>8.5573407245585244E-4</v>
      </c>
      <c r="O79" s="105">
        <f>IF(Body5Actif=TRUE,((((($B79*$N$4)+'Calculs 3D'!$C$10-OffsetX)/Ecran)*'Calculs 3D'!$C$32)+(((($C79*$N$4)+'Calculs 3D'!$D$10-OffsetY)/Ecran)*'Calculs 3D'!$D$32)+(((($D79*$N$4)+'Calculs 3D'!$E$10-OffsetZ)/Ecran)*'Calculs 3D'!$E$32)),0)</f>
        <v>4.7299141094028323E-3</v>
      </c>
      <c r="P79" s="105">
        <f>IF(Body6Actif=TRUE,((((($B79*$P$4)+'Calculs 3D'!$C$11-OffsetX)/Ecran)*'Calculs 3D'!$C$31)+(((($C79*$P$4)+'Calculs 3D'!$D$11-OffsetY)/Ecran)*'Calculs 3D'!$D$31)+(((($D79*$P$4)+'Calculs 3D'!$E$11-OffsetZ)/Ecran)*'Calculs 3D'!$E$31)),0)</f>
        <v>0.1706767325982842</v>
      </c>
      <c r="Q79" s="105">
        <f>IF(Body6Actif=TRUE,((((($B79*$P$4)+'Calculs 3D'!$C$11-OffsetX)/Ecran)*'Calculs 3D'!$C$32)+(((($C79*$P$4)+'Calculs 3D'!$D$11-OffsetY)/Ecran)*'Calculs 3D'!$D$32)+(((($D79*$P$4)+'Calculs 3D'!$E$11-OffsetZ)/Ecran)*'Calculs 3D'!$E$32)),0)</f>
        <v>0.14712670373640249</v>
      </c>
      <c r="R79" s="105">
        <f>IF(Body7Actif=TRUE,((((($B79*$R$4)+'Calculs 3D'!$C$12-OffsetX)/Ecran)*'Calculs 3D'!$C$31)+(((($C79*$R$4)+'Calculs 3D'!$D$12-OffsetY)/Ecran)*'Calculs 3D'!$D$31)+(((($D79*$R$4)+'Calculs 3D'!$E$12-OffsetZ)/Ecran)*'Calculs 3D'!$E$31)),0)</f>
        <v>-0.28073836751385717</v>
      </c>
      <c r="S79" s="105">
        <f>IF(Body7Actif=TRUE,((((($B79*$R$4)+'Calculs 3D'!$C$12-OffsetX)/Ecran)*'Calculs 3D'!$C$32)+(((($C79*$R$4)+'Calculs 3D'!$D$12-OffsetY)/Ecran)*'Calculs 3D'!$D$32)+(((($D79*$R$4)+'Calculs 3D'!$E$12-OffsetZ)/Ecran)*'Calculs 3D'!$E$32)),0)</f>
        <v>7.6475427875958152E-2</v>
      </c>
      <c r="T79" s="105">
        <f>IF(Body8Actif=TRUE,((((($B79*$T$4)+'Calculs 3D'!$C$13-OffsetX)/Ecran)*'Calculs 3D'!$C$31)+(((($C79*$T$4)+'Calculs 3D'!$D$13-OffsetY)/Ecran)*'Calculs 3D'!$D$31)+(((($D79*$T$4)+'Calculs 3D'!$E$13-OffsetZ)/Ecran)*'Calculs 3D'!$E$31)),0)</f>
        <v>0.16817081081111576</v>
      </c>
      <c r="U79" s="105">
        <f>IF(Body8Actif=TRUE,((((($B79*$T$4)+'Calculs 3D'!$C$13-OffsetX)/Ecran)*'Calculs 3D'!$C$32)+(((($C79*$T$4)+'Calculs 3D'!$D$13-OffsetY)/Ecran)*'Calculs 3D'!$D$32)+(((($D79*$T$4)+'Calculs 3D'!$E$13-OffsetZ)/Ecran)*'Calculs 3D'!$E$32)),0)</f>
        <v>-0.12547438065544841</v>
      </c>
      <c r="V79" s="105">
        <f>IF(Body9Actif=TRUE,((((($B79*$V$4)+'Calculs 3D'!$C$14-OffsetX)/Ecran)*'Calculs 3D'!$C$31)+(((($C79*$V$4)+'Calculs 3D'!$D$14-OffsetY)/Ecran)*'Calculs 3D'!$D$31)+(((($D79*$V$4)+'Calculs 3D'!$E$14-OffsetZ)/Ecran)*'Calculs 3D'!$E$31)),0)</f>
        <v>-0.17765889973758364</v>
      </c>
      <c r="W79" s="105">
        <f>IF(Body9Actif=TRUE,((((($B79*$V$4)+'Calculs 3D'!$C$14-OffsetX)/Ecran)*'Calculs 3D'!$C$32)+(((($C79*$V$4)+'Calculs 3D'!$D$14-OffsetY)/Ecran)*'Calculs 3D'!$D$32)+(((($D79*$V$4)+'Calculs 3D'!$E$14-OffsetZ)/Ecran)*'Calculs 3D'!$E$32)),0)</f>
        <v>0.29574464229219588</v>
      </c>
      <c r="X79" s="105">
        <f>IF(Body10Actif=TRUE,((((($B79*$X$4)+'Calculs 3D'!$C$15-OffsetX)/Ecran)*'Calculs 3D'!$C$31)+(((($C79*$X$4)+'Calculs 3D'!$D$15-OffsetY)/Ecran)*'Calculs 3D'!$D$31)+(((($D79*$X$4)+'Calculs 3D'!$E$15-OffsetZ)/Ecran)*'Calculs 3D'!$E$31)),0)</f>
        <v>-1.5442457044756913E-2</v>
      </c>
      <c r="Y79" s="105">
        <f>IF(Body10Actif=TRUE,((((($B79*$X$4)+'Calculs 3D'!$C$15-OffsetX)/Ecran)*'Calculs 3D'!$C$32)+(((($C79*$X$4)+'Calculs 3D'!$D$15-OffsetY)/Ecran)*'Calculs 3D'!$D$32)+(((($D79*$X$4)+'Calculs 3D'!$E$15-OffsetZ)/Ecran)*'Calculs 3D'!$E$32)),0)</f>
        <v>0.30321801021133055</v>
      </c>
    </row>
    <row r="80" spans="2:25" x14ac:dyDescent="0.3">
      <c r="B80" s="102">
        <v>-0.53395121628746522</v>
      </c>
      <c r="C80" s="102">
        <v>0.38793826651303231</v>
      </c>
      <c r="D80" s="102">
        <v>0.75</v>
      </c>
      <c r="F80" s="105">
        <f>IF(Body1Actif=TRUE,((((($B80*$F$4)+'Calculs 3D'!$C$6-OffsetX)/Ecran)*'Calculs 3D'!$C$31)+(((($C80*$F$4)+'Calculs 3D'!$D$6-OffsetY)/Ecran)*'Calculs 3D'!$D$31)+(((($D80*$F$4)+'Calculs 3D'!$E$6-OffsetZ)/Ecran)*'Calculs 3D'!$E$31)),0)</f>
        <v>4.9808882283376994E-2</v>
      </c>
      <c r="G80" s="105">
        <f>IF(Body1Actif=TRUE,((((($B80*$F$4)+'Calculs 3D'!$C$6-OffsetX)/Ecran)*'Calculs 3D'!$C$32)+(((($C80*$F$4)+'Calculs 3D'!$D$6-OffsetY)/Ecran)*'Calculs 3D'!$D$32)+(((($D80*$F$4)+'Calculs 3D'!$E$6-OffsetZ)/Ecran)*'Calculs 3D'!$E$32)),0)</f>
        <v>0.26764787637710152</v>
      </c>
      <c r="H80" s="105">
        <f>IF(Body2Actif=TRUE,((((($B80*$H$4)+'Calculs 3D'!$C$7-OffsetX)/Ecran)*'Calculs 3D'!$C$31)+(((($C80*$H$4)+'Calculs 3D'!$D$7-OffsetY)/Ecran)*'Calculs 3D'!$D$31)+(((($D80*$H$4)+'Calculs 3D'!$E$7-OffsetZ)/Ecran)*'Calculs 3D'!$E$31)),0)</f>
        <v>2.2245677545447991E-2</v>
      </c>
      <c r="I80" s="105">
        <f>IF(Body2Actif=TRUE,((((($B80*$H$4)+'Calculs 3D'!$C$7-OffsetX)/Ecran)*'Calculs 3D'!$C$32)+(((($C80*$H$4)+'Calculs 3D'!$D$7-OffsetY)/Ecran)*'Calculs 3D'!$D$32)+(((($D80*$H$4)+'Calculs 3D'!$E$7-OffsetZ)/Ecran)*'Calculs 3D'!$E$32)),0)</f>
        <v>4.5072709765837972E-2</v>
      </c>
      <c r="J80" s="105">
        <f>IF(Body3Actif=TRUE,((((($B80*$J$4)+'Calculs 3D'!$C$8-OffsetX)/Ecran)*'Calculs 3D'!$C$31)+(((($C80*$J$4)+'Calculs 3D'!$D$8-OffsetY)/Ecran)*'Calculs 3D'!$D$31)+(((($D80*$J$4)+'Calculs 3D'!$E$8-OffsetZ)/Ecran)*'Calculs 3D'!$E$31)),0)</f>
        <v>0.21732565315395722</v>
      </c>
      <c r="K80" s="105">
        <f>IF(Body3Actif=TRUE,((((($B80*$J$4)+'Calculs 3D'!$C$8-OffsetX)/Ecran)*'Calculs 3D'!$C$32)+(((($C80*$J$4)+'Calculs 3D'!$D$8-OffsetY)/Ecran)*'Calculs 3D'!$D$32)+(((($D80*$J$4)+'Calculs 3D'!$E$8-OffsetZ)/Ecran)*'Calculs 3D'!$E$32)),0)</f>
        <v>-7.4310787945712053E-2</v>
      </c>
      <c r="L80" s="105">
        <f>IF(Body4Actif=TRUE,((((($B80*$L$4)+'Calculs 3D'!$C$9-OffsetX)/Ecran)*'Calculs 3D'!$C$31)+(((($C80*$L$4)+'Calculs 3D'!$D$9-OffsetY)/Ecran)*'Calculs 3D'!$D$31)+(((($D80*$L$4)+'Calculs 3D'!$E$9-OffsetZ)/Ecran)*'Calculs 3D'!$E$31)),0)</f>
        <v>-9.6261078171438322E-2</v>
      </c>
      <c r="M80" s="105">
        <f>IF(Body4Actif=TRUE,((((($B80*$L$4)+'Calculs 3D'!$C$9-OffsetX)/Ecran)*'Calculs 3D'!$C$32)+(((($C80*$L$4)+'Calculs 3D'!$D$9-OffsetY)/Ecran)*'Calculs 3D'!$D$32)+(((($D80*$L$4)+'Calculs 3D'!$E$9-OffsetZ)/Ecran)*'Calculs 3D'!$E$32)),0)</f>
        <v>-0.16358451086235215</v>
      </c>
      <c r="N80" s="105">
        <f>IF(Body5Actif=TRUE,((((($B80*$N$4)+'Calculs 3D'!$C$10-OffsetX)/Ecran)*'Calculs 3D'!$C$31)+(((($C80*$N$4)+'Calculs 3D'!$D$10-OffsetY)/Ecran)*'Calculs 3D'!$D$31)+(((($D80*$N$4)+'Calculs 3D'!$E$10-OffsetZ)/Ecran)*'Calculs 3D'!$E$31)),0)</f>
        <v>-1.1250251550196724E-3</v>
      </c>
      <c r="O80" s="105">
        <f>IF(Body5Actif=TRUE,((((($B80*$N$4)+'Calculs 3D'!$C$10-OffsetX)/Ecran)*'Calculs 3D'!$C$32)+(((($C80*$N$4)+'Calculs 3D'!$D$10-OffsetY)/Ecran)*'Calculs 3D'!$D$32)+(((($D80*$N$4)+'Calculs 3D'!$E$10-OffsetZ)/Ecran)*'Calculs 3D'!$E$32)),0)</f>
        <v>4.5367679037883E-3</v>
      </c>
      <c r="P80" s="105">
        <f>IF(Body6Actif=TRUE,((((($B80*$P$4)+'Calculs 3D'!$C$11-OffsetX)/Ecran)*'Calculs 3D'!$C$31)+(((($C80*$P$4)+'Calculs 3D'!$D$11-OffsetY)/Ecran)*'Calculs 3D'!$D$31)+(((($D80*$P$4)+'Calculs 3D'!$E$11-OffsetZ)/Ecran)*'Calculs 3D'!$E$31)),0)</f>
        <v>0.16780627432433526</v>
      </c>
      <c r="Q80" s="105">
        <f>IF(Body6Actif=TRUE,((((($B80*$P$4)+'Calculs 3D'!$C$11-OffsetX)/Ecran)*'Calculs 3D'!$C$32)+(((($C80*$P$4)+'Calculs 3D'!$D$11-OffsetY)/Ecran)*'Calculs 3D'!$D$32)+(((($D80*$P$4)+'Calculs 3D'!$E$11-OffsetZ)/Ecran)*'Calculs 3D'!$E$32)),0)</f>
        <v>0.14684680191072999</v>
      </c>
      <c r="R80" s="105">
        <f>IF(Body7Actif=TRUE,((((($B80*$R$4)+'Calculs 3D'!$C$12-OffsetX)/Ecran)*'Calculs 3D'!$C$31)+(((($C80*$R$4)+'Calculs 3D'!$D$12-OffsetY)/Ecran)*'Calculs 3D'!$D$31)+(((($D80*$R$4)+'Calculs 3D'!$E$12-OffsetZ)/Ecran)*'Calculs 3D'!$E$31)),0)</f>
        <v>-0.28362106400117243</v>
      </c>
      <c r="S80" s="105">
        <f>IF(Body7Actif=TRUE,((((($B80*$R$4)+'Calculs 3D'!$C$12-OffsetX)/Ecran)*'Calculs 3D'!$C$32)+(((($C80*$R$4)+'Calculs 3D'!$D$12-OffsetY)/Ecran)*'Calculs 3D'!$D$32)+(((($D80*$R$4)+'Calculs 3D'!$E$12-OffsetZ)/Ecran)*'Calculs 3D'!$E$32)),0)</f>
        <v>7.6194332687436486E-2</v>
      </c>
      <c r="T80" s="105">
        <f>IF(Body8Actif=TRUE,((((($B80*$T$4)+'Calculs 3D'!$C$13-OffsetX)/Ecran)*'Calculs 3D'!$C$31)+(((($C80*$T$4)+'Calculs 3D'!$D$13-OffsetY)/Ecran)*'Calculs 3D'!$D$31)+(((($D80*$T$4)+'Calculs 3D'!$E$13-OffsetZ)/Ecran)*'Calculs 3D'!$E$31)),0)</f>
        <v>0.16713113609797448</v>
      </c>
      <c r="U80" s="105">
        <f>IF(Body8Actif=TRUE,((((($B80*$T$4)+'Calculs 3D'!$C$13-OffsetX)/Ecran)*'Calculs 3D'!$C$32)+(((($C80*$T$4)+'Calculs 3D'!$D$13-OffsetY)/Ecran)*'Calculs 3D'!$D$32)+(((($D80*$T$4)+'Calculs 3D'!$E$13-OffsetZ)/Ecran)*'Calculs 3D'!$E$32)),0)</f>
        <v>-0.12557576058246386</v>
      </c>
      <c r="V80" s="105">
        <f>IF(Body9Actif=TRUE,((((($B80*$V$4)+'Calculs 3D'!$C$14-OffsetX)/Ecran)*'Calculs 3D'!$C$31)+(((($C80*$V$4)+'Calculs 3D'!$D$14-OffsetY)/Ecran)*'Calculs 3D'!$D$31)+(((($D80*$V$4)+'Calculs 3D'!$E$14-OffsetZ)/Ecran)*'Calculs 3D'!$E$31)),0)</f>
        <v>-0.17910146497551116</v>
      </c>
      <c r="W80" s="105">
        <f>IF(Body9Actif=TRUE,((((($B80*$V$4)+'Calculs 3D'!$C$14-OffsetX)/Ecran)*'Calculs 3D'!$C$32)+(((($C80*$V$4)+'Calculs 3D'!$D$14-OffsetY)/Ecran)*'Calculs 3D'!$D$32)+(((($D80*$V$4)+'Calculs 3D'!$E$14-OffsetZ)/Ecran)*'Calculs 3D'!$E$32)),0)</f>
        <v>0.29560397602736566</v>
      </c>
      <c r="X80" s="105">
        <f>IF(Body10Actif=TRUE,((((($B80*$X$4)+'Calculs 3D'!$C$15-OffsetX)/Ecran)*'Calculs 3D'!$C$31)+(((($C80*$X$4)+'Calculs 3D'!$D$15-OffsetY)/Ecran)*'Calculs 3D'!$D$31)+(((($D80*$X$4)+'Calculs 3D'!$E$15-OffsetZ)/Ecran)*'Calculs 3D'!$E$31)),0)</f>
        <v>-1.7619943052230053E-2</v>
      </c>
      <c r="Y80" s="105">
        <f>IF(Body10Actif=TRUE,((((($B80*$X$4)+'Calculs 3D'!$C$15-OffsetX)/Ecran)*'Calculs 3D'!$C$32)+(((($C80*$X$4)+'Calculs 3D'!$D$15-OffsetY)/Ecran)*'Calculs 3D'!$D$32)+(((($D80*$X$4)+'Calculs 3D'!$E$15-OffsetZ)/Ecran)*'Calculs 3D'!$E$32)),0)</f>
        <v>0.30300568094168068</v>
      </c>
    </row>
    <row r="81" spans="2:25" x14ac:dyDescent="0.3">
      <c r="B81" s="102">
        <v>-0.62769730075480124</v>
      </c>
      <c r="C81" s="102">
        <v>0.20395121628746532</v>
      </c>
      <c r="D81" s="102">
        <v>0.75</v>
      </c>
      <c r="F81" s="105">
        <f>IF(Body1Actif=TRUE,((((($B81*$F$4)+'Calculs 3D'!$C$6-OffsetX)/Ecran)*'Calculs 3D'!$C$31)+(((($C81*$F$4)+'Calculs 3D'!$D$6-OffsetY)/Ecran)*'Calculs 3D'!$D$31)+(((($D81*$F$4)+'Calculs 3D'!$E$6-OffsetZ)/Ecran)*'Calculs 3D'!$E$31)),0)</f>
        <v>4.9113990961204015E-2</v>
      </c>
      <c r="G81" s="105">
        <f>IF(Body1Actif=TRUE,((((($B81*$F$4)+'Calculs 3D'!$C$6-OffsetX)/Ecran)*'Calculs 3D'!$C$32)+(((($C81*$F$4)+'Calculs 3D'!$D$6-OffsetY)/Ecran)*'Calculs 3D'!$D$32)+(((($D81*$F$4)+'Calculs 3D'!$E$6-OffsetZ)/Ecran)*'Calculs 3D'!$E$32)),0)</f>
        <v>0.2674298923117967</v>
      </c>
      <c r="H81" s="105">
        <f>IF(Body2Actif=TRUE,((((($B81*$H$4)+'Calculs 3D'!$C$7-OffsetX)/Ecran)*'Calculs 3D'!$C$31)+(((($C81*$H$4)+'Calculs 3D'!$D$7-OffsetY)/Ecran)*'Calculs 3D'!$D$31)+(((($D81*$H$4)+'Calculs 3D'!$E$7-OffsetZ)/Ecran)*'Calculs 3D'!$E$31)),0)</f>
        <v>1.953707703124153E-2</v>
      </c>
      <c r="I81" s="105">
        <f>IF(Body2Actif=TRUE,((((($B81*$H$4)+'Calculs 3D'!$C$7-OffsetX)/Ecran)*'Calculs 3D'!$C$32)+(((($C81*$H$4)+'Calculs 3D'!$D$7-OffsetY)/Ecran)*'Calculs 3D'!$D$32)+(((($D81*$H$4)+'Calculs 3D'!$E$7-OffsetZ)/Ecran)*'Calculs 3D'!$E$32)),0)</f>
        <v>4.4223034813030686E-2</v>
      </c>
      <c r="J81" s="105">
        <f>IF(Body3Actif=TRUE,((((($B81*$J$4)+'Calculs 3D'!$C$8-OffsetX)/Ecran)*'Calculs 3D'!$C$31)+(((($C81*$J$4)+'Calculs 3D'!$D$8-OffsetY)/Ecran)*'Calculs 3D'!$D$31)+(((($D81*$J$4)+'Calculs 3D'!$E$8-OffsetZ)/Ecran)*'Calculs 3D'!$E$31)),0)</f>
        <v>0.21612189091758507</v>
      </c>
      <c r="K81" s="105">
        <f>IF(Body3Actif=TRUE,((((($B81*$J$4)+'Calculs 3D'!$C$8-OffsetX)/Ecran)*'Calculs 3D'!$C$32)+(((($C81*$J$4)+'Calculs 3D'!$D$8-OffsetY)/Ecran)*'Calculs 3D'!$D$32)+(((($D81*$J$4)+'Calculs 3D'!$E$8-OffsetZ)/Ecran)*'Calculs 3D'!$E$32)),0)</f>
        <v>-7.4688402369107482E-2</v>
      </c>
      <c r="L81" s="105">
        <f>IF(Body4Actif=TRUE,((((($B81*$L$4)+'Calculs 3D'!$C$9-OffsetX)/Ecran)*'Calculs 3D'!$C$31)+(((($C81*$L$4)+'Calculs 3D'!$D$9-OffsetY)/Ecran)*'Calculs 3D'!$D$31)+(((($D81*$L$4)+'Calculs 3D'!$E$9-OffsetZ)/Ecran)*'Calculs 3D'!$E$31)),0)</f>
        <v>-9.7826321290141155E-2</v>
      </c>
      <c r="M81" s="105">
        <f>IF(Body4Actif=TRUE,((((($B81*$L$4)+'Calculs 3D'!$C$9-OffsetX)/Ecran)*'Calculs 3D'!$C$32)+(((($C81*$L$4)+'Calculs 3D'!$D$9-OffsetY)/Ecran)*'Calculs 3D'!$D$32)+(((($D81*$L$4)+'Calculs 3D'!$E$9-OffsetZ)/Ecran)*'Calculs 3D'!$E$32)),0)</f>
        <v>-0.16407552009979423</v>
      </c>
      <c r="N81" s="105">
        <f>IF(Body5Actif=TRUE,((((($B81*$N$4)+'Calculs 3D'!$C$10-OffsetX)/Ecran)*'Calculs 3D'!$C$31)+(((($C81*$N$4)+'Calculs 3D'!$D$10-OffsetY)/Ecran)*'Calculs 3D'!$D$31)+(((($D81*$N$4)+'Calculs 3D'!$E$10-OffsetZ)/Ecran)*'Calculs 3D'!$E$31)),0)</f>
        <v>-2.9118938685488531E-3</v>
      </c>
      <c r="O81" s="105">
        <f>IF(Body5Actif=TRUE,((((($B81*$N$4)+'Calculs 3D'!$C$10-OffsetX)/Ecran)*'Calculs 3D'!$C$32)+(((($C81*$N$4)+'Calculs 3D'!$D$10-OffsetY)/Ecran)*'Calculs 3D'!$D$32)+(((($D81*$N$4)+'Calculs 3D'!$E$10-OffsetZ)/Ecran)*'Calculs 3D'!$E$32)),0)</f>
        <v>3.9762357832789988E-3</v>
      </c>
      <c r="P81" s="105">
        <f>IF(Body6Actif=TRUE,((((($B81*$P$4)+'Calculs 3D'!$C$11-OffsetX)/Ecran)*'Calculs 3D'!$C$31)+(((($C81*$P$4)+'Calculs 3D'!$D$11-OffsetY)/Ecran)*'Calculs 3D'!$D$31)+(((($D81*$P$4)+'Calculs 3D'!$E$11-OffsetZ)/Ecran)*'Calculs 3D'!$E$31)),0)</f>
        <v>0.16521679650589921</v>
      </c>
      <c r="Q81" s="105">
        <f>IF(Body6Actif=TRUE,((((($B81*$P$4)+'Calculs 3D'!$C$11-OffsetX)/Ecran)*'Calculs 3D'!$C$32)+(((($C81*$P$4)+'Calculs 3D'!$D$11-OffsetY)/Ecran)*'Calculs 3D'!$D$32)+(((($D81*$P$4)+'Calculs 3D'!$E$11-OffsetZ)/Ecran)*'Calculs 3D'!$E$32)),0)</f>
        <v>0.14603449517459996</v>
      </c>
      <c r="R81" s="105">
        <f>IF(Body7Actif=TRUE,((((($B81*$R$4)+'Calculs 3D'!$C$12-OffsetX)/Ecran)*'Calculs 3D'!$C$31)+(((($C81*$R$4)+'Calculs 3D'!$D$12-OffsetY)/Ecran)*'Calculs 3D'!$D$31)+(((($D81*$R$4)+'Calculs 3D'!$E$12-OffsetZ)/Ecran)*'Calculs 3D'!$E$31)),0)</f>
        <v>-0.28622158207138187</v>
      </c>
      <c r="S81" s="105">
        <f>IF(Body7Actif=TRUE,((((($B81*$R$4)+'Calculs 3D'!$C$12-OffsetX)/Ecran)*'Calculs 3D'!$C$32)+(((($C81*$R$4)+'Calculs 3D'!$D$12-OffsetY)/Ecran)*'Calculs 3D'!$D$32)+(((($D81*$R$4)+'Calculs 3D'!$E$12-OffsetZ)/Ecran)*'Calculs 3D'!$E$32)),0)</f>
        <v>7.5378562677429276E-2</v>
      </c>
      <c r="T81" s="105">
        <f>IF(Body8Actif=TRUE,((((($B81*$T$4)+'Calculs 3D'!$C$13-OffsetX)/Ecran)*'Calculs 3D'!$C$31)+(((($C81*$T$4)+'Calculs 3D'!$D$13-OffsetY)/Ecran)*'Calculs 3D'!$D$31)+(((($D81*$T$4)+'Calculs 3D'!$E$13-OffsetZ)/Ecran)*'Calculs 3D'!$E$31)),0)</f>
        <v>0.16619323198959507</v>
      </c>
      <c r="U81" s="105">
        <f>IF(Body8Actif=TRUE,((((($B81*$T$4)+'Calculs 3D'!$C$13-OffsetX)/Ecran)*'Calculs 3D'!$C$32)+(((($C81*$T$4)+'Calculs 3D'!$D$13-OffsetY)/Ecran)*'Calculs 3D'!$D$32)+(((($D81*$T$4)+'Calculs 3D'!$E$13-OffsetZ)/Ecran)*'Calculs 3D'!$E$32)),0)</f>
        <v>-0.12586997658989843</v>
      </c>
      <c r="V81" s="105">
        <f>IF(Body9Actif=TRUE,((((($B81*$V$4)+'Calculs 3D'!$C$14-OffsetX)/Ecran)*'Calculs 3D'!$C$31)+(((($C81*$V$4)+'Calculs 3D'!$D$14-OffsetY)/Ecran)*'Calculs 3D'!$D$31)+(((($D81*$V$4)+'Calculs 3D'!$E$14-OffsetZ)/Ecran)*'Calculs 3D'!$E$31)),0)</f>
        <v>-0.18040282187700729</v>
      </c>
      <c r="W81" s="105">
        <f>IF(Body9Actif=TRUE,((((($B81*$V$4)+'Calculs 3D'!$C$14-OffsetX)/Ecran)*'Calculs 3D'!$C$32)+(((($C81*$V$4)+'Calculs 3D'!$D$14-OffsetY)/Ecran)*'Calculs 3D'!$D$32)+(((($D81*$V$4)+'Calculs 3D'!$E$14-OffsetZ)/Ecran)*'Calculs 3D'!$E$32)),0)</f>
        <v>0.2951957466269558</v>
      </c>
      <c r="X81" s="105">
        <f>IF(Body10Actif=TRUE,((((($B81*$X$4)+'Calculs 3D'!$C$15-OffsetX)/Ecran)*'Calculs 3D'!$C$31)+(((($C81*$X$4)+'Calculs 3D'!$D$15-OffsetY)/Ecran)*'Calculs 3D'!$D$31)+(((($D81*$X$4)+'Calculs 3D'!$E$15-OffsetZ)/Ecran)*'Calculs 3D'!$E$31)),0)</f>
        <v>-1.9584281557854633E-2</v>
      </c>
      <c r="Y81" s="105">
        <f>IF(Body10Actif=TRUE,((((($B81*$X$4)+'Calculs 3D'!$C$15-OffsetX)/Ecran)*'Calculs 3D'!$C$32)+(((($C81*$X$4)+'Calculs 3D'!$D$15-OffsetY)/Ecran)*'Calculs 3D'!$D$32)+(((($D81*$X$4)+'Calculs 3D'!$E$15-OffsetZ)/Ecran)*'Calculs 3D'!$E$32)),0)</f>
        <v>0.30238947740102939</v>
      </c>
    </row>
    <row r="82" spans="2:25" x14ac:dyDescent="0.3">
      <c r="B82" s="102">
        <v>-0.65999999999999992</v>
      </c>
      <c r="C82" s="102">
        <v>8.0859798023968916E-17</v>
      </c>
      <c r="D82" s="102">
        <v>0.75</v>
      </c>
      <c r="F82" s="105">
        <f>IF(Body1Actif=TRUE,((((($B82*$F$4)+'Calculs 3D'!$C$6-OffsetX)/Ecran)*'Calculs 3D'!$C$31)+(((($C82*$F$4)+'Calculs 3D'!$D$6-OffsetY)/Ecran)*'Calculs 3D'!$D$31)+(((($D82*$F$4)+'Calculs 3D'!$E$6-OffsetZ)/Ecran)*'Calculs 3D'!$E$31)),0)</f>
        <v>4.8562522085548135E-2</v>
      </c>
      <c r="G82" s="105">
        <f>IF(Body1Actif=TRUE,((((($B82*$F$4)+'Calculs 3D'!$C$6-OffsetX)/Ecran)*'Calculs 3D'!$C$32)+(((($C82*$F$4)+'Calculs 3D'!$D$6-OffsetY)/Ecran)*'Calculs 3D'!$D$32)+(((($D82*$F$4)+'Calculs 3D'!$E$6-OffsetZ)/Ecran)*'Calculs 3D'!$E$32)),0)</f>
        <v>0.2670903741702142</v>
      </c>
      <c r="H82" s="105">
        <f>IF(Body2Actif=TRUE,((((($B82*$H$4)+'Calculs 3D'!$C$7-OffsetX)/Ecran)*'Calculs 3D'!$C$31)+(((($C82*$H$4)+'Calculs 3D'!$D$7-OffsetY)/Ecran)*'Calculs 3D'!$D$31)+(((($D82*$H$4)+'Calculs 3D'!$E$7-OffsetZ)/Ecran)*'Calculs 3D'!$E$31)),0)</f>
        <v>1.7387519492518232E-2</v>
      </c>
      <c r="I82" s="105">
        <f>IF(Body2Actif=TRUE,((((($B82*$H$4)+'Calculs 3D'!$C$7-OffsetX)/Ecran)*'Calculs 3D'!$C$32)+(((($C82*$H$4)+'Calculs 3D'!$D$7-OffsetY)/Ecran)*'Calculs 3D'!$D$32)+(((($D82*$H$4)+'Calculs 3D'!$E$7-OffsetZ)/Ecran)*'Calculs 3D'!$E$32)),0)</f>
        <v>4.2899635047442902E-2</v>
      </c>
      <c r="J82" s="105">
        <f>IF(Body3Actif=TRUE,((((($B82*$J$4)+'Calculs 3D'!$C$8-OffsetX)/Ecran)*'Calculs 3D'!$C$31)+(((($C82*$J$4)+'Calculs 3D'!$D$8-OffsetY)/Ecran)*'Calculs 3D'!$D$31)+(((($D82*$J$4)+'Calculs 3D'!$E$8-OffsetZ)/Ecran)*'Calculs 3D'!$E$31)),0)</f>
        <v>0.21516657979789336</v>
      </c>
      <c r="K82" s="105">
        <f>IF(Body3Actif=TRUE,((((($B82*$J$4)+'Calculs 3D'!$C$8-OffsetX)/Ecran)*'Calculs 3D'!$C$32)+(((($C82*$J$4)+'Calculs 3D'!$D$8-OffsetY)/Ecran)*'Calculs 3D'!$D$32)+(((($D82*$J$4)+'Calculs 3D'!$E$8-OffsetZ)/Ecran)*'Calculs 3D'!$E$32)),0)</f>
        <v>-7.5276550622451907E-2</v>
      </c>
      <c r="L82" s="105">
        <f>IF(Body4Actif=TRUE,((((($B82*$L$4)+'Calculs 3D'!$C$9-OffsetX)/Ecran)*'Calculs 3D'!$C$31)+(((($C82*$L$4)+'Calculs 3D'!$D$9-OffsetY)/Ecran)*'Calculs 3D'!$D$31)+(((($D82*$L$4)+'Calculs 3D'!$E$9-OffsetZ)/Ecran)*'Calculs 3D'!$E$31)),0)</f>
        <v>-9.9068505262305165E-2</v>
      </c>
      <c r="M82" s="105">
        <f>IF(Body4Actif=TRUE,((((($B82*$L$4)+'Calculs 3D'!$C$9-OffsetX)/Ecran)*'Calculs 3D'!$C$32)+(((($C82*$L$4)+'Calculs 3D'!$D$9-OffsetY)/Ecran)*'Calculs 3D'!$D$32)+(((($D82*$L$4)+'Calculs 3D'!$E$9-OffsetZ)/Ecran)*'Calculs 3D'!$E$32)),0)</f>
        <v>-0.16484028491672262</v>
      </c>
      <c r="N82" s="105">
        <f>IF(Body5Actif=TRUE,((((($B82*$N$4)+'Calculs 3D'!$C$10-OffsetX)/Ecran)*'Calculs 3D'!$C$31)+(((($C82*$N$4)+'Calculs 3D'!$D$10-OffsetY)/Ecran)*'Calculs 3D'!$D$31)+(((($D82*$N$4)+'Calculs 3D'!$E$10-OffsetZ)/Ecran)*'Calculs 3D'!$E$31)),0)</f>
        <v>-4.3299609086050609E-3</v>
      </c>
      <c r="O82" s="105">
        <f>IF(Body5Actif=TRUE,((((($B82*$N$4)+'Calculs 3D'!$C$10-OffsetX)/Ecran)*'Calculs 3D'!$C$32)+(((($C82*$N$4)+'Calculs 3D'!$D$10-OffsetY)/Ecran)*'Calculs 3D'!$D$32)+(((($D82*$N$4)+'Calculs 3D'!$E$10-OffsetZ)/Ecran)*'Calculs 3D'!$E$32)),0)</f>
        <v>3.1031865372873058E-3</v>
      </c>
      <c r="P82" s="105">
        <f>IF(Body6Actif=TRUE,((((($B82*$P$4)+'Calculs 3D'!$C$11-OffsetX)/Ecran)*'Calculs 3D'!$C$31)+(((($C82*$P$4)+'Calculs 3D'!$D$11-OffsetY)/Ecran)*'Calculs 3D'!$D$31)+(((($D82*$P$4)+'Calculs 3D'!$E$11-OffsetZ)/Ecran)*'Calculs 3D'!$E$31)),0)</f>
        <v>0.16316177527379749</v>
      </c>
      <c r="Q82" s="105">
        <f>IF(Body6Actif=TRUE,((((($B82*$P$4)+'Calculs 3D'!$C$11-OffsetX)/Ecran)*'Calculs 3D'!$C$32)+(((($C82*$P$4)+'Calculs 3D'!$D$11-OffsetY)/Ecran)*'Calculs 3D'!$D$32)+(((($D82*$P$4)+'Calculs 3D'!$E$11-OffsetZ)/Ecran)*'Calculs 3D'!$E$32)),0)</f>
        <v>0.14476929777101866</v>
      </c>
      <c r="R82" s="105">
        <f>IF(Body7Actif=TRUE,((((($B82*$R$4)+'Calculs 3D'!$C$12-OffsetX)/Ecran)*'Calculs 3D'!$C$31)+(((($C82*$R$4)+'Calculs 3D'!$D$12-OffsetY)/Ecran)*'Calculs 3D'!$D$31)+(((($D82*$R$4)+'Calculs 3D'!$E$12-OffsetZ)/Ecran)*'Calculs 3D'!$E$31)),0)</f>
        <v>-0.28828536489689854</v>
      </c>
      <c r="S82" s="105">
        <f>IF(Body7Actif=TRUE,((((($B82*$R$4)+'Calculs 3D'!$C$12-OffsetX)/Ecran)*'Calculs 3D'!$C$32)+(((($C82*$R$4)+'Calculs 3D'!$D$12-OffsetY)/Ecran)*'Calculs 3D'!$D$32)+(((($D82*$R$4)+'Calculs 3D'!$E$12-OffsetZ)/Ecran)*'Calculs 3D'!$E$32)),0)</f>
        <v>7.410797109831993E-2</v>
      </c>
      <c r="T82" s="105">
        <f>IF(Body8Actif=TRUE,((((($B82*$T$4)+'Calculs 3D'!$C$13-OffsetX)/Ecran)*'Calculs 3D'!$C$31)+(((($C82*$T$4)+'Calculs 3D'!$D$13-OffsetY)/Ecran)*'Calculs 3D'!$D$31)+(((($D82*$T$4)+'Calculs 3D'!$E$13-OffsetZ)/Ecran)*'Calculs 3D'!$E$31)),0)</f>
        <v>0.16544890707486798</v>
      </c>
      <c r="U82" s="105">
        <f>IF(Body8Actif=TRUE,((((($B82*$T$4)+'Calculs 3D'!$C$13-OffsetX)/Ecran)*'Calculs 3D'!$C$32)+(((($C82*$T$4)+'Calculs 3D'!$D$13-OffsetY)/Ecran)*'Calculs 3D'!$D$32)+(((($D82*$T$4)+'Calculs 3D'!$E$13-OffsetZ)/Ecran)*'Calculs 3D'!$E$32)),0)</f>
        <v>-0.12632822876502092</v>
      </c>
      <c r="V82" s="105">
        <f>IF(Body9Actif=TRUE,((((($B82*$V$4)+'Calculs 3D'!$C$14-OffsetX)/Ecran)*'Calculs 3D'!$C$31)+(((($C82*$V$4)+'Calculs 3D'!$D$14-OffsetY)/Ecran)*'Calculs 3D'!$D$31)+(((($D82*$V$4)+'Calculs 3D'!$E$14-OffsetZ)/Ecran)*'Calculs 3D'!$E$31)),0)</f>
        <v>-0.18143558456146691</v>
      </c>
      <c r="W82" s="105">
        <f>IF(Body9Actif=TRUE,((((($B82*$V$4)+'Calculs 3D'!$C$14-OffsetX)/Ecran)*'Calculs 3D'!$C$32)+(((($C82*$V$4)+'Calculs 3D'!$D$14-OffsetY)/Ecran)*'Calculs 3D'!$D$32)+(((($D82*$V$4)+'Calculs 3D'!$E$14-OffsetZ)/Ecran)*'Calculs 3D'!$E$32)),0)</f>
        <v>0.29455991442898011</v>
      </c>
      <c r="X82" s="105">
        <f>IF(Body10Actif=TRUE,((((($B82*$X$4)+'Calculs 3D'!$C$15-OffsetX)/Ecran)*'Calculs 3D'!$C$31)+(((($C82*$X$4)+'Calculs 3D'!$D$15-OffsetY)/Ecran)*'Calculs 3D'!$D$31)+(((($D82*$X$4)+'Calculs 3D'!$E$15-OffsetZ)/Ecran)*'Calculs 3D'!$E$31)),0)</f>
        <v>-2.1143189422348913E-2</v>
      </c>
      <c r="Y82" s="105">
        <f>IF(Body10Actif=TRUE,((((($B82*$X$4)+'Calculs 3D'!$C$15-OffsetX)/Ecran)*'Calculs 3D'!$C$32)+(((($C82*$X$4)+'Calculs 3D'!$D$15-OffsetY)/Ecran)*'Calculs 3D'!$D$32)+(((($D82*$X$4)+'Calculs 3D'!$E$15-OffsetZ)/Ecran)*'Calculs 3D'!$E$32)),0)</f>
        <v>0.30142971788527806</v>
      </c>
    </row>
    <row r="83" spans="2:25" x14ac:dyDescent="0.3">
      <c r="B83" s="102">
        <v>-0.62769730075480124</v>
      </c>
      <c r="C83" s="102">
        <v>-0.20395121628746549</v>
      </c>
      <c r="D83" s="102">
        <v>0.75</v>
      </c>
      <c r="F83" s="105">
        <f>IF(Body1Actif=TRUE,((((($B83*$F$4)+'Calculs 3D'!$C$6-OffsetX)/Ecran)*'Calculs 3D'!$C$31)+(((($C83*$F$4)+'Calculs 3D'!$D$6-OffsetY)/Ecran)*'Calculs 3D'!$D$31)+(((($D83*$F$4)+'Calculs 3D'!$E$6-OffsetZ)/Ecran)*'Calculs 3D'!$E$31)),0)</f>
        <v>4.8208457272268176E-2</v>
      </c>
      <c r="G83" s="105">
        <f>IF(Body1Actif=TRUE,((((($B83*$F$4)+'Calculs 3D'!$C$6-OffsetX)/Ecran)*'Calculs 3D'!$C$32)+(((($C83*$F$4)+'Calculs 3D'!$D$6-OffsetY)/Ecran)*'Calculs 3D'!$D$32)+(((($D83*$F$4)+'Calculs 3D'!$E$6-OffsetZ)/Ecran)*'Calculs 3D'!$E$32)),0)</f>
        <v>0.26666255635361419</v>
      </c>
      <c r="H83" s="105">
        <f>IF(Body2Actif=TRUE,((((($B83*$H$4)+'Calculs 3D'!$C$7-OffsetX)/Ecran)*'Calculs 3D'!$C$31)+(((($C83*$H$4)+'Calculs 3D'!$D$7-OffsetY)/Ecran)*'Calculs 3D'!$D$31)+(((($D83*$H$4)+'Calculs 3D'!$E$7-OffsetZ)/Ecran)*'Calculs 3D'!$E$31)),0)</f>
        <v>1.600741859801634E-2</v>
      </c>
      <c r="I83" s="105">
        <f>IF(Body2Actif=TRUE,((((($B83*$H$4)+'Calculs 3D'!$C$7-OffsetX)/Ecran)*'Calculs 3D'!$C$32)+(((($C83*$H$4)+'Calculs 3D'!$D$7-OffsetY)/Ecran)*'Calculs 3D'!$D$32)+(((($D83*$H$4)+'Calculs 3D'!$E$7-OffsetZ)/Ecran)*'Calculs 3D'!$E$32)),0)</f>
        <v>4.123205405879872E-2</v>
      </c>
      <c r="J83" s="105">
        <f>IF(Body3Actif=TRUE,((((($B83*$J$4)+'Calculs 3D'!$C$8-OffsetX)/Ecran)*'Calculs 3D'!$C$31)+(((($C83*$J$4)+'Calculs 3D'!$D$8-OffsetY)/Ecran)*'Calculs 3D'!$D$31)+(((($D83*$J$4)+'Calculs 3D'!$E$8-OffsetZ)/Ecran)*'Calculs 3D'!$E$31)),0)</f>
        <v>0.21455323230332143</v>
      </c>
      <c r="K83" s="105">
        <f>IF(Body3Actif=TRUE,((((($B83*$J$4)+'Calculs 3D'!$C$8-OffsetX)/Ecran)*'Calculs 3D'!$C$32)+(((($C83*$J$4)+'Calculs 3D'!$D$8-OffsetY)/Ecran)*'Calculs 3D'!$D$32)+(((($D83*$J$4)+'Calculs 3D'!$E$8-OffsetZ)/Ecran)*'Calculs 3D'!$E$32)),0)</f>
        <v>-7.6017660656838085E-2</v>
      </c>
      <c r="L83" s="105">
        <f>IF(Body4Actif=TRUE,((((($B83*$L$4)+'Calculs 3D'!$C$9-OffsetX)/Ecran)*'Calculs 3D'!$C$31)+(((($C83*$L$4)+'Calculs 3D'!$D$9-OffsetY)/Ecran)*'Calculs 3D'!$D$31)+(((($D83*$L$4)+'Calculs 3D'!$E$9-OffsetZ)/Ecran)*'Calculs 3D'!$E$31)),0)</f>
        <v>-9.9866036465930286E-2</v>
      </c>
      <c r="M83" s="105">
        <f>IF(Body4Actif=TRUE,((((($B83*$L$4)+'Calculs 3D'!$C$9-OffsetX)/Ecran)*'Calculs 3D'!$C$32)+(((($C83*$L$4)+'Calculs 3D'!$D$9-OffsetY)/Ecran)*'Calculs 3D'!$D$32)+(((($D83*$L$4)+'Calculs 3D'!$E$9-OffsetZ)/Ecran)*'Calculs 3D'!$E$32)),0)</f>
        <v>-0.16580394480442653</v>
      </c>
      <c r="N83" s="105">
        <f>IF(Body5Actif=TRUE,((((($B83*$N$4)+'Calculs 3D'!$C$10-OffsetX)/Ecran)*'Calculs 3D'!$C$31)+(((($C83*$N$4)+'Calculs 3D'!$D$10-OffsetY)/Ecran)*'Calculs 3D'!$D$31)+(((($D83*$N$4)+'Calculs 3D'!$E$10-OffsetZ)/Ecran)*'Calculs 3D'!$E$31)),0)</f>
        <v>-5.2404159930535491E-3</v>
      </c>
      <c r="O83" s="105">
        <f>IF(Body5Actif=TRUE,((((($B83*$N$4)+'Calculs 3D'!$C$10-OffsetX)/Ecran)*'Calculs 3D'!$C$32)+(((($C83*$N$4)+'Calculs 3D'!$D$10-OffsetY)/Ecran)*'Calculs 3D'!$D$32)+(((($D83*$N$4)+'Calculs 3D'!$E$10-OffsetZ)/Ecran)*'Calculs 3D'!$E$32)),0)</f>
        <v>2.0030803089026664E-3</v>
      </c>
      <c r="P83" s="105">
        <f>IF(Body6Actif=TRUE,((((($B83*$P$4)+'Calculs 3D'!$C$11-OffsetX)/Ecran)*'Calculs 3D'!$C$31)+(((($C83*$P$4)+'Calculs 3D'!$D$11-OffsetY)/Ecran)*'Calculs 3D'!$D$31)+(((($D83*$P$4)+'Calculs 3D'!$E$11-OffsetZ)/Ecran)*'Calculs 3D'!$E$31)),0)</f>
        <v>0.16184237042440303</v>
      </c>
      <c r="Q83" s="105">
        <f>IF(Body6Actif=TRUE,((((($B83*$P$4)+'Calculs 3D'!$C$11-OffsetX)/Ecran)*'Calculs 3D'!$C$32)+(((($C83*$P$4)+'Calculs 3D'!$D$11-OffsetY)/Ecran)*'Calculs 3D'!$D$32)+(((($D83*$P$4)+'Calculs 3D'!$E$11-OffsetZ)/Ecran)*'Calculs 3D'!$E$32)),0)</f>
        <v>0.14317505603699726</v>
      </c>
      <c r="R83" s="105">
        <f>IF(Body7Actif=TRUE,((((($B83*$R$4)+'Calculs 3D'!$C$12-OffsetX)/Ecran)*'Calculs 3D'!$C$31)+(((($C83*$R$4)+'Calculs 3D'!$D$12-OffsetY)/Ecran)*'Calculs 3D'!$D$31)+(((($D83*$R$4)+'Calculs 3D'!$E$12-OffsetZ)/Ecran)*'Calculs 3D'!$E$31)),0)</f>
        <v>-0.28961039503554037</v>
      </c>
      <c r="S83" s="105">
        <f>IF(Body7Actif=TRUE,((((($B83*$R$4)+'Calculs 3D'!$C$12-OffsetX)/Ecran)*'Calculs 3D'!$C$32)+(((($C83*$R$4)+'Calculs 3D'!$D$12-OffsetY)/Ecran)*'Calculs 3D'!$D$32)+(((($D83*$R$4)+'Calculs 3D'!$E$12-OffsetZ)/Ecran)*'Calculs 3D'!$E$32)),0)</f>
        <v>7.2506932306603752E-2</v>
      </c>
      <c r="T83" s="105">
        <f>IF(Body8Actif=TRUE,((((($B83*$T$4)+'Calculs 3D'!$C$13-OffsetX)/Ecran)*'Calculs 3D'!$C$31)+(((($C83*$T$4)+'Calculs 3D'!$D$13-OffsetY)/Ecran)*'Calculs 3D'!$D$31)+(((($D83*$T$4)+'Calculs 3D'!$E$13-OffsetZ)/Ecran)*'Calculs 3D'!$E$31)),0)</f>
        <v>0.16497102106246334</v>
      </c>
      <c r="U83" s="105">
        <f>IF(Body8Actif=TRUE,((((($B83*$T$4)+'Calculs 3D'!$C$13-OffsetX)/Ecran)*'Calculs 3D'!$C$32)+(((($C83*$T$4)+'Calculs 3D'!$D$13-OffsetY)/Ecran)*'Calculs 3D'!$D$32)+(((($D83*$T$4)+'Calculs 3D'!$E$13-OffsetZ)/Ecran)*'Calculs 3D'!$E$32)),0)</f>
        <v>-0.12690566019209978</v>
      </c>
      <c r="V83" s="105">
        <f>IF(Body9Actif=TRUE,((((($B83*$V$4)+'Calculs 3D'!$C$14-OffsetX)/Ecran)*'Calculs 3D'!$C$31)+(((($C83*$V$4)+'Calculs 3D'!$D$14-OffsetY)/Ecran)*'Calculs 3D'!$D$31)+(((($D83*$V$4)+'Calculs 3D'!$E$14-OffsetZ)/Ecran)*'Calculs 3D'!$E$31)),0)</f>
        <v>-0.1820986590216544</v>
      </c>
      <c r="W83" s="105">
        <f>IF(Body9Actif=TRUE,((((($B83*$V$4)+'Calculs 3D'!$C$14-OffsetX)/Ecran)*'Calculs 3D'!$C$32)+(((($C83*$V$4)+'Calculs 3D'!$D$14-OffsetY)/Ecran)*'Calculs 3D'!$D$32)+(((($D83*$V$4)+'Calculs 3D'!$E$14-OffsetZ)/Ecran)*'Calculs 3D'!$E$32)),0)</f>
        <v>0.2937587191190798</v>
      </c>
      <c r="X83" s="105">
        <f>IF(Body10Actif=TRUE,((((($B83*$X$4)+'Calculs 3D'!$C$15-OffsetX)/Ecran)*'Calculs 3D'!$C$31)+(((($C83*$X$4)+'Calculs 3D'!$D$15-OffsetY)/Ecran)*'Calculs 3D'!$D$31)+(((($D83*$X$4)+'Calculs 3D'!$E$15-OffsetZ)/Ecran)*'Calculs 3D'!$E$31)),0)</f>
        <v>-2.21440698823865E-2</v>
      </c>
      <c r="Y83" s="105">
        <f>IF(Body10Actif=TRUE,((((($B83*$X$4)+'Calculs 3D'!$C$15-OffsetX)/Ecran)*'Calculs 3D'!$C$32)+(((($C83*$X$4)+'Calculs 3D'!$D$15-OffsetY)/Ecran)*'Calculs 3D'!$D$32)+(((($D83*$X$4)+'Calculs 3D'!$E$15-OffsetZ)/Ecran)*'Calculs 3D'!$E$32)),0)</f>
        <v>0.3002203503428662</v>
      </c>
    </row>
    <row r="84" spans="2:25" x14ac:dyDescent="0.3">
      <c r="B84" s="102">
        <v>-0.53395121628746534</v>
      </c>
      <c r="C84" s="102">
        <v>-0.38793826651303215</v>
      </c>
      <c r="D84" s="102">
        <v>0.75</v>
      </c>
      <c r="F84" s="105">
        <f>IF(Body1Actif=TRUE,((((($B84*$F$4)+'Calculs 3D'!$C$6-OffsetX)/Ecran)*'Calculs 3D'!$C$31)+(((($C84*$F$4)+'Calculs 3D'!$D$6-OffsetY)/Ecran)*'Calculs 3D'!$D$31)+(((($D84*$F$4)+'Calculs 3D'!$E$6-OffsetZ)/Ecran)*'Calculs 3D'!$E$31)),0)</f>
        <v>4.8086454852202538E-2</v>
      </c>
      <c r="G84" s="105">
        <f>IF(Body1Actif=TRUE,((((($B84*$F$4)+'Calculs 3D'!$C$6-OffsetX)/Ecran)*'Calculs 3D'!$C$32)+(((($C84*$F$4)+'Calculs 3D'!$D$6-OffsetY)/Ecran)*'Calculs 3D'!$D$32)+(((($D84*$F$4)+'Calculs 3D'!$E$6-OffsetZ)/Ecran)*'Calculs 3D'!$E$32)),0)</f>
        <v>0.26618831665066744</v>
      </c>
      <c r="H84" s="105">
        <f>IF(Body2Actif=TRUE,((((($B84*$H$4)+'Calculs 3D'!$C$7-OffsetX)/Ecran)*'Calculs 3D'!$C$31)+(((($C84*$H$4)+'Calculs 3D'!$D$7-OffsetY)/Ecran)*'Calculs 3D'!$D$31)+(((($D84*$H$4)+'Calculs 3D'!$E$7-OffsetZ)/Ecran)*'Calculs 3D'!$E$31)),0)</f>
        <v>1.553186823901807E-2</v>
      </c>
      <c r="I84" s="105">
        <f>IF(Body2Actif=TRUE,((((($B84*$H$4)+'Calculs 3D'!$C$7-OffsetX)/Ecran)*'Calculs 3D'!$C$32)+(((($C84*$H$4)+'Calculs 3D'!$D$7-OffsetY)/Ecran)*'Calculs 3D'!$D$32)+(((($D84*$H$4)+'Calculs 3D'!$E$7-OffsetZ)/Ecran)*'Calculs 3D'!$E$32)),0)</f>
        <v>3.9383526292986568E-2</v>
      </c>
      <c r="J84" s="105">
        <f>IF(Body3Actif=TRUE,((((($B84*$J$4)+'Calculs 3D'!$C$8-OffsetX)/Ecran)*'Calculs 3D'!$C$31)+(((($C84*$J$4)+'Calculs 3D'!$D$8-OffsetY)/Ecran)*'Calculs 3D'!$D$31)+(((($D84*$J$4)+'Calculs 3D'!$E$8-OffsetZ)/Ecran)*'Calculs 3D'!$E$31)),0)</f>
        <v>0.21434188716008126</v>
      </c>
      <c r="K84" s="105">
        <f>IF(Body3Actif=TRUE,((((($B84*$J$4)+'Calculs 3D'!$C$8-OffsetX)/Ecran)*'Calculs 3D'!$C$32)+(((($C84*$J$4)+'Calculs 3D'!$D$8-OffsetY)/Ecran)*'Calculs 3D'!$D$32)+(((($D84*$J$4)+'Calculs 3D'!$E$8-OffsetZ)/Ecran)*'Calculs 3D'!$E$32)),0)</f>
        <v>-7.683918745848306E-2</v>
      </c>
      <c r="L84" s="105">
        <f>IF(Body4Actif=TRUE,((((($B84*$L$4)+'Calculs 3D'!$C$9-OffsetX)/Ecran)*'Calculs 3D'!$C$31)+(((($C84*$L$4)+'Calculs 3D'!$D$9-OffsetY)/Ecran)*'Calculs 3D'!$D$31)+(((($D84*$L$4)+'Calculs 3D'!$E$9-OffsetZ)/Ecran)*'Calculs 3D'!$E$31)),0)</f>
        <v>-0.10014084699007908</v>
      </c>
      <c r="M84" s="105">
        <f>IF(Body4Actif=TRUE,((((($B84*$L$4)+'Calculs 3D'!$C$9-OffsetX)/Ecran)*'Calculs 3D'!$C$32)+(((($C84*$L$4)+'Calculs 3D'!$D$9-OffsetY)/Ecran)*'Calculs 3D'!$D$32)+(((($D84*$L$4)+'Calculs 3D'!$E$9-OffsetZ)/Ecran)*'Calculs 3D'!$E$32)),0)</f>
        <v>-0.1668721700188843</v>
      </c>
      <c r="N84" s="105">
        <f>IF(Body5Actif=TRUE,((((($B84*$N$4)+'Calculs 3D'!$C$10-OffsetX)/Ecran)*'Calculs 3D'!$C$31)+(((($C84*$N$4)+'Calculs 3D'!$D$10-OffsetY)/Ecran)*'Calculs 3D'!$D$31)+(((($D84*$N$4)+'Calculs 3D'!$E$10-OffsetZ)/Ecran)*'Calculs 3D'!$E$31)),0)</f>
        <v>-5.554137434714921E-3</v>
      </c>
      <c r="O84" s="105">
        <f>IF(Body5Actif=TRUE,((((($B84*$N$4)+'Calculs 3D'!$C$10-OffsetX)/Ecran)*'Calculs 3D'!$C$32)+(((($C84*$N$4)+'Calculs 3D'!$D$10-OffsetY)/Ecran)*'Calculs 3D'!$D$32)+(((($D84*$N$4)+'Calculs 3D'!$E$10-OffsetZ)/Ecran)*'Calculs 3D'!$E$32)),0)</f>
        <v>7.8360316065017449E-4</v>
      </c>
      <c r="P84" s="105">
        <f>IF(Body6Actif=TRUE,((((($B84*$P$4)+'Calculs 3D'!$C$11-OffsetX)/Ecran)*'Calculs 3D'!$C$31)+(((($C84*$P$4)+'Calculs 3D'!$D$11-OffsetY)/Ecran)*'Calculs 3D'!$D$31)+(((($D84*$P$4)+'Calculs 3D'!$E$11-OffsetZ)/Ecran)*'Calculs 3D'!$E$31)),0)</f>
        <v>0.1613877344972087</v>
      </c>
      <c r="Q84" s="105">
        <f>IF(Body6Actif=TRUE,((((($B84*$P$4)+'Calculs 3D'!$C$11-OffsetX)/Ecran)*'Calculs 3D'!$C$32)+(((($C84*$P$4)+'Calculs 3D'!$D$11-OffsetY)/Ecran)*'Calculs 3D'!$D$32)+(((($D84*$P$4)+'Calculs 3D'!$E$11-OffsetZ)/Ecran)*'Calculs 3D'!$E$32)),0)</f>
        <v>0.14140782546119712</v>
      </c>
      <c r="R84" s="105">
        <f>IF(Body7Actif=TRUE,((((($B84*$R$4)+'Calculs 3D'!$C$12-OffsetX)/Ecran)*'Calculs 3D'!$C$31)+(((($C84*$R$4)+'Calculs 3D'!$D$12-OffsetY)/Ecran)*'Calculs 3D'!$D$31)+(((($D84*$R$4)+'Calculs 3D'!$E$12-OffsetZ)/Ecran)*'Calculs 3D'!$E$31)),0)</f>
        <v>-0.29006696930530929</v>
      </c>
      <c r="S84" s="105">
        <f>IF(Body7Actif=TRUE,((((($B84*$R$4)+'Calculs 3D'!$C$12-OffsetX)/Ecran)*'Calculs 3D'!$C$32)+(((($C84*$R$4)+'Calculs 3D'!$D$12-OffsetY)/Ecran)*'Calculs 3D'!$D$32)+(((($D84*$R$4)+'Calculs 3D'!$E$12-OffsetZ)/Ecran)*'Calculs 3D'!$E$32)),0)</f>
        <v>7.0732167134307133E-2</v>
      </c>
      <c r="T84" s="105">
        <f>IF(Body8Actif=TRUE,((((($B84*$T$4)+'Calculs 3D'!$C$13-OffsetX)/Ecran)*'Calculs 3D'!$C$31)+(((($C84*$T$4)+'Calculs 3D'!$D$13-OffsetY)/Ecran)*'Calculs 3D'!$D$31)+(((($D84*$T$4)+'Calculs 3D'!$E$13-OffsetZ)/Ecran)*'Calculs 3D'!$E$31)),0)</f>
        <v>0.16480635276490288</v>
      </c>
      <c r="U84" s="105">
        <f>IF(Body8Actif=TRUE,((((($B84*$T$4)+'Calculs 3D'!$C$13-OffsetX)/Ecran)*'Calculs 3D'!$C$32)+(((($C84*$T$4)+'Calculs 3D'!$D$13-OffsetY)/Ecran)*'Calculs 3D'!$D$32)+(((($D84*$T$4)+'Calculs 3D'!$E$13-OffsetZ)/Ecran)*'Calculs 3D'!$E$32)),0)</f>
        <v>-0.12754574785985115</v>
      </c>
      <c r="V84" s="105">
        <f>IF(Body9Actif=TRUE,((((($B84*$V$4)+'Calculs 3D'!$C$14-OffsetX)/Ecran)*'Calculs 3D'!$C$31)+(((($C84*$V$4)+'Calculs 3D'!$D$14-OffsetY)/Ecran)*'Calculs 3D'!$D$31)+(((($D84*$V$4)+'Calculs 3D'!$E$14-OffsetZ)/Ecran)*'Calculs 3D'!$E$31)),0)</f>
        <v>-0.18232713890949517</v>
      </c>
      <c r="W84" s="105">
        <f>IF(Body9Actif=TRUE,((((($B84*$V$4)+'Calculs 3D'!$C$14-OffsetX)/Ecran)*'Calculs 3D'!$C$32)+(((($C84*$V$4)+'Calculs 3D'!$D$14-OffsetY)/Ecran)*'Calculs 3D'!$D$32)+(((($D84*$V$4)+'Calculs 3D'!$E$14-OffsetZ)/Ecran)*'Calculs 3D'!$E$32)),0)</f>
        <v>0.29287058727644388</v>
      </c>
      <c r="X84" s="105">
        <f>IF(Body10Actif=TRUE,((((($B84*$X$4)+'Calculs 3D'!$C$15-OffsetX)/Ecran)*'Calculs 3D'!$C$31)+(((($C84*$X$4)+'Calculs 3D'!$D$15-OffsetY)/Ecran)*'Calculs 3D'!$D$31)+(((($D84*$X$4)+'Calculs 3D'!$E$15-OffsetZ)/Ecran)*'Calculs 3D'!$E$31)),0)</f>
        <v>-2.2488949784994633E-2</v>
      </c>
      <c r="Y84" s="105">
        <f>IF(Body10Actif=TRUE,((((($B84*$X$4)+'Calculs 3D'!$C$15-OffsetX)/Ecran)*'Calculs 3D'!$C$32)+(((($C84*$X$4)+'Calculs 3D'!$D$15-OffsetY)/Ecran)*'Calculs 3D'!$D$32)+(((($D84*$X$4)+'Calculs 3D'!$E$15-OffsetZ)/Ecran)*'Calculs 3D'!$E$32)),0)</f>
        <v>0.29887975609500428</v>
      </c>
    </row>
    <row r="85" spans="2:25" x14ac:dyDescent="0.3">
      <c r="B85" s="102">
        <v>-0.38793826651303231</v>
      </c>
      <c r="C85" s="102">
        <v>-0.53395121628746522</v>
      </c>
      <c r="D85" s="102">
        <v>0.75</v>
      </c>
      <c r="F85" s="105">
        <f>IF(Body1Actif=TRUE,((((($B85*$F$4)+'Calculs 3D'!$C$6-OffsetX)/Ecran)*'Calculs 3D'!$C$31)+(((($C85*$F$4)+'Calculs 3D'!$D$6-OffsetY)/Ecran)*'Calculs 3D'!$D$31)+(((($D85*$F$4)+'Calculs 3D'!$E$6-OffsetZ)/Ecran)*'Calculs 3D'!$E$31)),0)</f>
        <v>4.8208457272268163E-2</v>
      </c>
      <c r="G85" s="105">
        <f>IF(Body1Actif=TRUE,((((($B85*$F$4)+'Calculs 3D'!$C$6-OffsetX)/Ecran)*'Calculs 3D'!$C$32)+(((($C85*$F$4)+'Calculs 3D'!$D$6-OffsetY)/Ecran)*'Calculs 3D'!$D$32)+(((($D85*$F$4)+'Calculs 3D'!$E$6-OffsetZ)/Ecran)*'Calculs 3D'!$E$32)),0)</f>
        <v>0.26571407694772065</v>
      </c>
      <c r="H85" s="105">
        <f>IF(Body2Actif=TRUE,((((($B85*$H$4)+'Calculs 3D'!$C$7-OffsetX)/Ecran)*'Calculs 3D'!$C$31)+(((($C85*$H$4)+'Calculs 3D'!$D$7-OffsetY)/Ecran)*'Calculs 3D'!$D$31)+(((($D85*$H$4)+'Calculs 3D'!$E$7-OffsetZ)/Ecran)*'Calculs 3D'!$E$31)),0)</f>
        <v>1.600741859801634E-2</v>
      </c>
      <c r="I85" s="105">
        <f>IF(Body2Actif=TRUE,((((($B85*$H$4)+'Calculs 3D'!$C$7-OffsetX)/Ecran)*'Calculs 3D'!$C$32)+(((($C85*$H$4)+'Calculs 3D'!$D$7-OffsetY)/Ecran)*'Calculs 3D'!$D$32)+(((($D85*$H$4)+'Calculs 3D'!$E$7-OffsetZ)/Ecran)*'Calculs 3D'!$E$32)),0)</f>
        <v>3.7534998527174422E-2</v>
      </c>
      <c r="J85" s="105">
        <f>IF(Body3Actif=TRUE,((((($B85*$J$4)+'Calculs 3D'!$C$8-OffsetX)/Ecran)*'Calculs 3D'!$C$31)+(((($C85*$J$4)+'Calculs 3D'!$D$8-OffsetY)/Ecran)*'Calculs 3D'!$D$31)+(((($D85*$J$4)+'Calculs 3D'!$E$8-OffsetZ)/Ecran)*'Calculs 3D'!$E$31)),0)</f>
        <v>0.21455323230332143</v>
      </c>
      <c r="K85" s="105">
        <f>IF(Body3Actif=TRUE,((((($B85*$J$4)+'Calculs 3D'!$C$8-OffsetX)/Ecran)*'Calculs 3D'!$C$32)+(((($C85*$J$4)+'Calculs 3D'!$D$8-OffsetY)/Ecran)*'Calculs 3D'!$D$32)+(((($D85*$J$4)+'Calculs 3D'!$E$8-OffsetZ)/Ecran)*'Calculs 3D'!$E$32)),0)</f>
        <v>-7.766071426012805E-2</v>
      </c>
      <c r="L85" s="105">
        <f>IF(Body4Actif=TRUE,((((($B85*$L$4)+'Calculs 3D'!$C$9-OffsetX)/Ecran)*'Calculs 3D'!$C$31)+(((($C85*$L$4)+'Calculs 3D'!$D$9-OffsetY)/Ecran)*'Calculs 3D'!$D$31)+(((($D85*$L$4)+'Calculs 3D'!$E$9-OffsetZ)/Ecran)*'Calculs 3D'!$E$31)),0)</f>
        <v>-9.98660364659303E-2</v>
      </c>
      <c r="M85" s="105">
        <f>IF(Body4Actif=TRUE,((((($B85*$L$4)+'Calculs 3D'!$C$9-OffsetX)/Ecran)*'Calculs 3D'!$C$32)+(((($C85*$L$4)+'Calculs 3D'!$D$9-OffsetY)/Ecran)*'Calculs 3D'!$D$32)+(((($D85*$L$4)+'Calculs 3D'!$E$9-OffsetZ)/Ecran)*'Calculs 3D'!$E$32)),0)</f>
        <v>-0.16794039523334206</v>
      </c>
      <c r="N85" s="105">
        <f>IF(Body5Actif=TRUE,((((($B85*$N$4)+'Calculs 3D'!$C$10-OffsetX)/Ecran)*'Calculs 3D'!$C$31)+(((($C85*$N$4)+'Calculs 3D'!$D$10-OffsetY)/Ecran)*'Calculs 3D'!$D$31)+(((($D85*$N$4)+'Calculs 3D'!$E$10-OffsetZ)/Ecran)*'Calculs 3D'!$E$31)),0)</f>
        <v>-5.2404159930535474E-3</v>
      </c>
      <c r="O85" s="105">
        <f>IF(Body5Actif=TRUE,((((($B85*$N$4)+'Calculs 3D'!$C$10-OffsetX)/Ecran)*'Calculs 3D'!$C$32)+(((($C85*$N$4)+'Calculs 3D'!$D$10-OffsetY)/Ecran)*'Calculs 3D'!$D$32)+(((($D85*$N$4)+'Calculs 3D'!$E$10-OffsetZ)/Ecran)*'Calculs 3D'!$E$32)),0)</f>
        <v>-4.3587398760231919E-4</v>
      </c>
      <c r="P85" s="105">
        <f>IF(Body6Actif=TRUE,((((($B85*$P$4)+'Calculs 3D'!$C$11-OffsetX)/Ecran)*'Calculs 3D'!$C$31)+(((($C85*$P$4)+'Calculs 3D'!$D$11-OffsetY)/Ecran)*'Calculs 3D'!$D$31)+(((($D85*$P$4)+'Calculs 3D'!$E$11-OffsetZ)/Ecran)*'Calculs 3D'!$E$31)),0)</f>
        <v>0.16184237042440303</v>
      </c>
      <c r="Q85" s="105">
        <f>IF(Body6Actif=TRUE,((((($B85*$P$4)+'Calculs 3D'!$C$11-OffsetX)/Ecran)*'Calculs 3D'!$C$32)+(((($C85*$P$4)+'Calculs 3D'!$D$11-OffsetY)/Ecran)*'Calculs 3D'!$D$32)+(((($D85*$P$4)+'Calculs 3D'!$E$11-OffsetZ)/Ecran)*'Calculs 3D'!$E$32)),0)</f>
        <v>0.13964059488539698</v>
      </c>
      <c r="R85" s="105">
        <f>IF(Body7Actif=TRUE,((((($B85*$R$4)+'Calculs 3D'!$C$12-OffsetX)/Ecran)*'Calculs 3D'!$C$31)+(((($C85*$R$4)+'Calculs 3D'!$D$12-OffsetY)/Ecran)*'Calculs 3D'!$D$31)+(((($D85*$R$4)+'Calculs 3D'!$E$12-OffsetZ)/Ecran)*'Calculs 3D'!$E$31)),0)</f>
        <v>-0.28961039503554042</v>
      </c>
      <c r="S85" s="105">
        <f>IF(Body7Actif=TRUE,((((($B85*$R$4)+'Calculs 3D'!$C$12-OffsetX)/Ecran)*'Calculs 3D'!$C$32)+(((($C85*$R$4)+'Calculs 3D'!$D$12-OffsetY)/Ecran)*'Calculs 3D'!$D$32)+(((($D85*$R$4)+'Calculs 3D'!$E$12-OffsetZ)/Ecran)*'Calculs 3D'!$E$32)),0)</f>
        <v>6.8957401962010501E-2</v>
      </c>
      <c r="T85" s="105">
        <f>IF(Body8Actif=TRUE,((((($B85*$T$4)+'Calculs 3D'!$C$13-OffsetX)/Ecran)*'Calculs 3D'!$C$31)+(((($C85*$T$4)+'Calculs 3D'!$D$13-OffsetY)/Ecran)*'Calculs 3D'!$D$31)+(((($D85*$T$4)+'Calculs 3D'!$E$13-OffsetZ)/Ecran)*'Calculs 3D'!$E$31)),0)</f>
        <v>0.16497102106246331</v>
      </c>
      <c r="U85" s="105">
        <f>IF(Body8Actif=TRUE,((((($B85*$T$4)+'Calculs 3D'!$C$13-OffsetX)/Ecran)*'Calculs 3D'!$C$32)+(((($C85*$T$4)+'Calculs 3D'!$D$13-OffsetY)/Ecran)*'Calculs 3D'!$D$32)+(((($D85*$T$4)+'Calculs 3D'!$E$13-OffsetZ)/Ecran)*'Calculs 3D'!$E$32)),0)</f>
        <v>-0.12818583552760252</v>
      </c>
      <c r="V85" s="105">
        <f>IF(Body9Actif=TRUE,((((($B85*$V$4)+'Calculs 3D'!$C$14-OffsetX)/Ecran)*'Calculs 3D'!$C$31)+(((($C85*$V$4)+'Calculs 3D'!$D$14-OffsetY)/Ecran)*'Calculs 3D'!$D$31)+(((($D85*$V$4)+'Calculs 3D'!$E$14-OffsetZ)/Ecran)*'Calculs 3D'!$E$31)),0)</f>
        <v>-0.18209865902165437</v>
      </c>
      <c r="W85" s="105">
        <f>IF(Body9Actif=TRUE,((((($B85*$V$4)+'Calculs 3D'!$C$14-OffsetX)/Ecran)*'Calculs 3D'!$C$32)+(((($C85*$V$4)+'Calculs 3D'!$D$14-OffsetY)/Ecran)*'Calculs 3D'!$D$32)+(((($D85*$V$4)+'Calculs 3D'!$E$14-OffsetZ)/Ecran)*'Calculs 3D'!$E$32)),0)</f>
        <v>0.29198245543380791</v>
      </c>
      <c r="X85" s="105">
        <f>IF(Body10Actif=TRUE,((((($B85*$X$4)+'Calculs 3D'!$C$15-OffsetX)/Ecran)*'Calculs 3D'!$C$31)+(((($C85*$X$4)+'Calculs 3D'!$D$15-OffsetY)/Ecran)*'Calculs 3D'!$D$31)+(((($D85*$X$4)+'Calculs 3D'!$E$15-OffsetZ)/Ecran)*'Calculs 3D'!$E$31)),0)</f>
        <v>-2.2144069882386458E-2</v>
      </c>
      <c r="Y85" s="105">
        <f>IF(Body10Actif=TRUE,((((($B85*$X$4)+'Calculs 3D'!$C$15-OffsetX)/Ecran)*'Calculs 3D'!$C$32)+(((($C85*$X$4)+'Calculs 3D'!$D$15-OffsetY)/Ecran)*'Calculs 3D'!$D$32)+(((($D85*$X$4)+'Calculs 3D'!$E$15-OffsetZ)/Ecran)*'Calculs 3D'!$E$32)),0)</f>
        <v>0.29753916184714246</v>
      </c>
    </row>
    <row r="86" spans="2:25" x14ac:dyDescent="0.3">
      <c r="B86" s="102">
        <v>-0.20395121628746538</v>
      </c>
      <c r="C86" s="102">
        <v>-0.62769730075480124</v>
      </c>
      <c r="D86" s="102">
        <v>0.75</v>
      </c>
      <c r="F86" s="105">
        <f>IF(Body1Actif=TRUE,((((($B86*$F$4)+'Calculs 3D'!$C$6-OffsetX)/Ecran)*'Calculs 3D'!$C$31)+(((($C86*$F$4)+'Calculs 3D'!$D$6-OffsetY)/Ecran)*'Calculs 3D'!$D$31)+(((($D86*$F$4)+'Calculs 3D'!$E$6-OffsetZ)/Ecran)*'Calculs 3D'!$E$31)),0)</f>
        <v>4.8562522085548128E-2</v>
      </c>
      <c r="G86" s="105">
        <f>IF(Body1Actif=TRUE,((((($B86*$F$4)+'Calculs 3D'!$C$6-OffsetX)/Ecran)*'Calculs 3D'!$C$32)+(((($C86*$F$4)+'Calculs 3D'!$D$6-OffsetY)/Ecran)*'Calculs 3D'!$D$32)+(((($D86*$F$4)+'Calculs 3D'!$E$6-OffsetZ)/Ecran)*'Calculs 3D'!$E$32)),0)</f>
        <v>0.26528625913112064</v>
      </c>
      <c r="H86" s="105">
        <f>IF(Body2Actif=TRUE,((((($B86*$H$4)+'Calculs 3D'!$C$7-OffsetX)/Ecran)*'Calculs 3D'!$C$31)+(((($C86*$H$4)+'Calculs 3D'!$D$7-OffsetY)/Ecran)*'Calculs 3D'!$D$31)+(((($D86*$H$4)+'Calculs 3D'!$E$7-OffsetZ)/Ecran)*'Calculs 3D'!$E$31)),0)</f>
        <v>1.7387519492518225E-2</v>
      </c>
      <c r="I86" s="105">
        <f>IF(Body2Actif=TRUE,((((($B86*$H$4)+'Calculs 3D'!$C$7-OffsetX)/Ecran)*'Calculs 3D'!$C$32)+(((($C86*$H$4)+'Calculs 3D'!$D$7-OffsetY)/Ecran)*'Calculs 3D'!$D$32)+(((($D86*$H$4)+'Calculs 3D'!$E$7-OffsetZ)/Ecran)*'Calculs 3D'!$E$32)),0)</f>
        <v>3.586741753853024E-2</v>
      </c>
      <c r="J86" s="105">
        <f>IF(Body3Actif=TRUE,((((($B86*$J$4)+'Calculs 3D'!$C$8-OffsetX)/Ecran)*'Calculs 3D'!$C$31)+(((($C86*$J$4)+'Calculs 3D'!$D$8-OffsetY)/Ecran)*'Calculs 3D'!$D$31)+(((($D86*$J$4)+'Calculs 3D'!$E$8-OffsetZ)/Ecran)*'Calculs 3D'!$E$31)),0)</f>
        <v>0.21516657979789339</v>
      </c>
      <c r="K86" s="105">
        <f>IF(Body3Actif=TRUE,((((($B86*$J$4)+'Calculs 3D'!$C$8-OffsetX)/Ecran)*'Calculs 3D'!$C$32)+(((($C86*$J$4)+'Calculs 3D'!$D$8-OffsetY)/Ecran)*'Calculs 3D'!$D$32)+(((($D86*$J$4)+'Calculs 3D'!$E$8-OffsetZ)/Ecran)*'Calculs 3D'!$E$32)),0)</f>
        <v>-7.8401824294514227E-2</v>
      </c>
      <c r="L86" s="105">
        <f>IF(Body4Actif=TRUE,((((($B86*$L$4)+'Calculs 3D'!$C$9-OffsetX)/Ecran)*'Calculs 3D'!$C$31)+(((($C86*$L$4)+'Calculs 3D'!$D$9-OffsetY)/Ecran)*'Calculs 3D'!$D$31)+(((($D86*$L$4)+'Calculs 3D'!$E$9-OffsetZ)/Ecran)*'Calculs 3D'!$E$31)),0)</f>
        <v>-9.9068505262305179E-2</v>
      </c>
      <c r="M86" s="105">
        <f>IF(Body4Actif=TRUE,((((($B86*$L$4)+'Calculs 3D'!$C$9-OffsetX)/Ecran)*'Calculs 3D'!$C$32)+(((($C86*$L$4)+'Calculs 3D'!$D$9-OffsetY)/Ecran)*'Calculs 3D'!$D$32)+(((($D86*$L$4)+'Calculs 3D'!$E$9-OffsetZ)/Ecran)*'Calculs 3D'!$E$32)),0)</f>
        <v>-0.168904055121046</v>
      </c>
      <c r="N86" s="105">
        <f>IF(Body5Actif=TRUE,((((($B86*$N$4)+'Calculs 3D'!$C$10-OffsetX)/Ecran)*'Calculs 3D'!$C$31)+(((($C86*$N$4)+'Calculs 3D'!$D$10-OffsetY)/Ecran)*'Calculs 3D'!$D$31)+(((($D86*$N$4)+'Calculs 3D'!$E$10-OffsetZ)/Ecran)*'Calculs 3D'!$E$31)),0)</f>
        <v>-4.32996090860506E-3</v>
      </c>
      <c r="O86" s="105">
        <f>IF(Body5Actif=TRUE,((((($B86*$N$4)+'Calculs 3D'!$C$10-OffsetX)/Ecran)*'Calculs 3D'!$C$32)+(((($C86*$N$4)+'Calculs 3D'!$D$10-OffsetY)/Ecran)*'Calculs 3D'!$D$32)+(((($D86*$N$4)+'Calculs 3D'!$E$10-OffsetZ)/Ecran)*'Calculs 3D'!$E$32)),0)</f>
        <v>-1.5359802159869559E-3</v>
      </c>
      <c r="P86" s="105">
        <f>IF(Body6Actif=TRUE,((((($B86*$P$4)+'Calculs 3D'!$C$11-OffsetX)/Ecran)*'Calculs 3D'!$C$31)+(((($C86*$P$4)+'Calculs 3D'!$D$11-OffsetY)/Ecran)*'Calculs 3D'!$D$31)+(((($D86*$P$4)+'Calculs 3D'!$E$11-OffsetZ)/Ecran)*'Calculs 3D'!$E$31)),0)</f>
        <v>0.16316177527379749</v>
      </c>
      <c r="Q86" s="105">
        <f>IF(Body6Actif=TRUE,((((($B86*$P$4)+'Calculs 3D'!$C$11-OffsetX)/Ecran)*'Calculs 3D'!$C$32)+(((($C86*$P$4)+'Calculs 3D'!$D$11-OffsetY)/Ecran)*'Calculs 3D'!$D$32)+(((($D86*$P$4)+'Calculs 3D'!$E$11-OffsetZ)/Ecran)*'Calculs 3D'!$E$32)),0)</f>
        <v>0.13804635315137559</v>
      </c>
      <c r="R86" s="105">
        <f>IF(Body7Actif=TRUE,((((($B86*$R$4)+'Calculs 3D'!$C$12-OffsetX)/Ecran)*'Calculs 3D'!$C$31)+(((($C86*$R$4)+'Calculs 3D'!$D$12-OffsetY)/Ecran)*'Calculs 3D'!$D$31)+(((($D86*$R$4)+'Calculs 3D'!$E$12-OffsetZ)/Ecran)*'Calculs 3D'!$E$31)),0)</f>
        <v>-0.28828536489689854</v>
      </c>
      <c r="S86" s="105">
        <f>IF(Body7Actif=TRUE,((((($B86*$R$4)+'Calculs 3D'!$C$12-OffsetX)/Ecran)*'Calculs 3D'!$C$32)+(((($C86*$R$4)+'Calculs 3D'!$D$12-OffsetY)/Ecran)*'Calculs 3D'!$D$32)+(((($D86*$R$4)+'Calculs 3D'!$E$12-OffsetZ)/Ecran)*'Calculs 3D'!$E$32)),0)</f>
        <v>6.7356363170294309E-2</v>
      </c>
      <c r="T86" s="105">
        <f>IF(Body8Actif=TRUE,((((($B86*$T$4)+'Calculs 3D'!$C$13-OffsetX)/Ecran)*'Calculs 3D'!$C$31)+(((($C86*$T$4)+'Calculs 3D'!$D$13-OffsetY)/Ecran)*'Calculs 3D'!$D$31)+(((($D86*$T$4)+'Calculs 3D'!$E$13-OffsetZ)/Ecran)*'Calculs 3D'!$E$31)),0)</f>
        <v>0.16544890707486801</v>
      </c>
      <c r="U86" s="105">
        <f>IF(Body8Actif=TRUE,((((($B86*$T$4)+'Calculs 3D'!$C$13-OffsetX)/Ecran)*'Calculs 3D'!$C$32)+(((($C86*$T$4)+'Calculs 3D'!$D$13-OffsetY)/Ecran)*'Calculs 3D'!$D$32)+(((($D86*$T$4)+'Calculs 3D'!$E$13-OffsetZ)/Ecran)*'Calculs 3D'!$E$32)),0)</f>
        <v>-0.12876326695468138</v>
      </c>
      <c r="V86" s="105">
        <f>IF(Body9Actif=TRUE,((((($B86*$V$4)+'Calculs 3D'!$C$14-OffsetX)/Ecran)*'Calculs 3D'!$C$31)+(((($C86*$V$4)+'Calculs 3D'!$D$14-OffsetY)/Ecran)*'Calculs 3D'!$D$31)+(((($D86*$V$4)+'Calculs 3D'!$E$14-OffsetZ)/Ecran)*'Calculs 3D'!$E$31)),0)</f>
        <v>-0.18143558456146691</v>
      </c>
      <c r="W86" s="105">
        <f>IF(Body9Actif=TRUE,((((($B86*$V$4)+'Calculs 3D'!$C$14-OffsetX)/Ecran)*'Calculs 3D'!$C$32)+(((($C86*$V$4)+'Calculs 3D'!$D$14-OffsetY)/Ecran)*'Calculs 3D'!$D$32)+(((($D86*$V$4)+'Calculs 3D'!$E$14-OffsetZ)/Ecran)*'Calculs 3D'!$E$32)),0)</f>
        <v>0.2911812601239076</v>
      </c>
      <c r="X86" s="105">
        <f>IF(Body10Actif=TRUE,((((($B86*$X$4)+'Calculs 3D'!$C$15-OffsetX)/Ecran)*'Calculs 3D'!$C$31)+(((($C86*$X$4)+'Calculs 3D'!$D$15-OffsetY)/Ecran)*'Calculs 3D'!$D$31)+(((($D86*$X$4)+'Calculs 3D'!$E$15-OffsetZ)/Ecran)*'Calculs 3D'!$E$31)),0)</f>
        <v>-2.1143189422348954E-2</v>
      </c>
      <c r="Y86" s="105">
        <f>IF(Body10Actif=TRUE,((((($B86*$X$4)+'Calculs 3D'!$C$15-OffsetX)/Ecran)*'Calculs 3D'!$C$32)+(((($C86*$X$4)+'Calculs 3D'!$D$15-OffsetY)/Ecran)*'Calculs 3D'!$D$32)+(((($D86*$X$4)+'Calculs 3D'!$E$15-OffsetZ)/Ecran)*'Calculs 3D'!$E$32)),0)</f>
        <v>0.29632979430473061</v>
      </c>
    </row>
    <row r="87" spans="2:25" x14ac:dyDescent="0.3">
      <c r="B87" s="102">
        <v>-1.2128969703595336E-16</v>
      </c>
      <c r="C87" s="102">
        <v>-0.65999999999999992</v>
      </c>
      <c r="D87" s="102">
        <v>0.75</v>
      </c>
      <c r="F87" s="105">
        <f>IF(Body1Actif=TRUE,((((($B87*$F$4)+'Calculs 3D'!$C$6-OffsetX)/Ecran)*'Calculs 3D'!$C$31)+(((($C87*$F$4)+'Calculs 3D'!$D$6-OffsetY)/Ecran)*'Calculs 3D'!$D$31)+(((($D87*$F$4)+'Calculs 3D'!$E$6-OffsetZ)/Ecran)*'Calculs 3D'!$E$31)),0)</f>
        <v>4.9113990961204008E-2</v>
      </c>
      <c r="G87" s="105">
        <f>IF(Body1Actif=TRUE,((((($B87*$F$4)+'Calculs 3D'!$C$6-OffsetX)/Ecran)*'Calculs 3D'!$C$32)+(((($C87*$F$4)+'Calculs 3D'!$D$6-OffsetY)/Ecran)*'Calculs 3D'!$D$32)+(((($D87*$F$4)+'Calculs 3D'!$E$6-OffsetZ)/Ecran)*'Calculs 3D'!$E$32)),0)</f>
        <v>0.26494674098953819</v>
      </c>
      <c r="H87" s="105">
        <f>IF(Body2Actif=TRUE,((((($B87*$H$4)+'Calculs 3D'!$C$7-OffsetX)/Ecran)*'Calculs 3D'!$C$31)+(((($C87*$H$4)+'Calculs 3D'!$D$7-OffsetY)/Ecran)*'Calculs 3D'!$D$31)+(((($D87*$H$4)+'Calculs 3D'!$E$7-OffsetZ)/Ecran)*'Calculs 3D'!$E$31)),0)</f>
        <v>1.953707703124153E-2</v>
      </c>
      <c r="I87" s="105">
        <f>IF(Body2Actif=TRUE,((((($B87*$H$4)+'Calculs 3D'!$C$7-OffsetX)/Ecran)*'Calculs 3D'!$C$32)+(((($C87*$H$4)+'Calculs 3D'!$D$7-OffsetY)/Ecran)*'Calculs 3D'!$D$32)+(((($D87*$H$4)+'Calculs 3D'!$E$7-OffsetZ)/Ecran)*'Calculs 3D'!$E$32)),0)</f>
        <v>3.4544017772942456E-2</v>
      </c>
      <c r="J87" s="105">
        <f>IF(Body3Actif=TRUE,((((($B87*$J$4)+'Calculs 3D'!$C$8-OffsetX)/Ecran)*'Calculs 3D'!$C$31)+(((($C87*$J$4)+'Calculs 3D'!$D$8-OffsetY)/Ecran)*'Calculs 3D'!$D$31)+(((($D87*$J$4)+'Calculs 3D'!$E$8-OffsetZ)/Ecran)*'Calculs 3D'!$E$31)),0)</f>
        <v>0.21612189091758507</v>
      </c>
      <c r="K87" s="105">
        <f>IF(Body3Actif=TRUE,((((($B87*$J$4)+'Calculs 3D'!$C$8-OffsetX)/Ecran)*'Calculs 3D'!$C$32)+(((($C87*$J$4)+'Calculs 3D'!$D$8-OffsetY)/Ecran)*'Calculs 3D'!$D$32)+(((($D87*$J$4)+'Calculs 3D'!$E$8-OffsetZ)/Ecran)*'Calculs 3D'!$E$32)),0)</f>
        <v>-7.8989972547858639E-2</v>
      </c>
      <c r="L87" s="105">
        <f>IF(Body4Actif=TRUE,((((($B87*$L$4)+'Calculs 3D'!$C$9-OffsetX)/Ecran)*'Calculs 3D'!$C$31)+(((($C87*$L$4)+'Calculs 3D'!$D$9-OffsetY)/Ecran)*'Calculs 3D'!$D$31)+(((($D87*$L$4)+'Calculs 3D'!$E$9-OffsetZ)/Ecran)*'Calculs 3D'!$E$31)),0)</f>
        <v>-9.7826321290141155E-2</v>
      </c>
      <c r="M87" s="105">
        <f>IF(Body4Actif=TRUE,((((($B87*$L$4)+'Calculs 3D'!$C$9-OffsetX)/Ecran)*'Calculs 3D'!$C$32)+(((($C87*$L$4)+'Calculs 3D'!$D$9-OffsetY)/Ecran)*'Calculs 3D'!$D$32)+(((($D87*$L$4)+'Calculs 3D'!$E$9-OffsetZ)/Ecran)*'Calculs 3D'!$E$32)),0)</f>
        <v>-0.16966881993797439</v>
      </c>
      <c r="N87" s="105">
        <f>IF(Body5Actif=TRUE,((((($B87*$N$4)+'Calculs 3D'!$C$10-OffsetX)/Ecran)*'Calculs 3D'!$C$31)+(((($C87*$N$4)+'Calculs 3D'!$D$10-OffsetY)/Ecran)*'Calculs 3D'!$D$31)+(((($D87*$N$4)+'Calculs 3D'!$E$10-OffsetZ)/Ecran)*'Calculs 3D'!$E$31)),0)</f>
        <v>-2.9118938685488553E-3</v>
      </c>
      <c r="O87" s="105">
        <f>IF(Body5Actif=TRUE,((((($B87*$N$4)+'Calculs 3D'!$C$10-OffsetX)/Ecran)*'Calculs 3D'!$C$32)+(((($C87*$N$4)+'Calculs 3D'!$D$10-OffsetY)/Ecran)*'Calculs 3D'!$D$32)+(((($D87*$N$4)+'Calculs 3D'!$E$10-OffsetZ)/Ecran)*'Calculs 3D'!$E$32)),0)</f>
        <v>-2.4090294619786489E-3</v>
      </c>
      <c r="P87" s="105">
        <f>IF(Body6Actif=TRUE,((((($B87*$P$4)+'Calculs 3D'!$C$11-OffsetX)/Ecran)*'Calculs 3D'!$C$31)+(((($C87*$P$4)+'Calculs 3D'!$D$11-OffsetY)/Ecran)*'Calculs 3D'!$D$31)+(((($D87*$P$4)+'Calculs 3D'!$E$11-OffsetZ)/Ecran)*'Calculs 3D'!$E$31)),0)</f>
        <v>0.16521679650589921</v>
      </c>
      <c r="Q87" s="105">
        <f>IF(Body6Actif=TRUE,((((($B87*$P$4)+'Calculs 3D'!$C$11-OffsetX)/Ecran)*'Calculs 3D'!$C$32)+(((($C87*$P$4)+'Calculs 3D'!$D$11-OffsetY)/Ecran)*'Calculs 3D'!$D$32)+(((($D87*$P$4)+'Calculs 3D'!$E$11-OffsetZ)/Ecran)*'Calculs 3D'!$E$32)),0)</f>
        <v>0.13678115574779429</v>
      </c>
      <c r="R87" s="105">
        <f>IF(Body7Actif=TRUE,((((($B87*$R$4)+'Calculs 3D'!$C$12-OffsetX)/Ecran)*'Calculs 3D'!$C$31)+(((($C87*$R$4)+'Calculs 3D'!$D$12-OffsetY)/Ecran)*'Calculs 3D'!$D$31)+(((($D87*$R$4)+'Calculs 3D'!$E$12-OffsetZ)/Ecran)*'Calculs 3D'!$E$31)),0)</f>
        <v>-0.28622158207138187</v>
      </c>
      <c r="S87" s="105">
        <f>IF(Body7Actif=TRUE,((((($B87*$R$4)+'Calculs 3D'!$C$12-OffsetX)/Ecran)*'Calculs 3D'!$C$32)+(((($C87*$R$4)+'Calculs 3D'!$D$12-OffsetY)/Ecran)*'Calculs 3D'!$D$32)+(((($D87*$R$4)+'Calculs 3D'!$E$12-OffsetZ)/Ecran)*'Calculs 3D'!$E$32)),0)</f>
        <v>6.6085771591184991E-2</v>
      </c>
      <c r="T87" s="105">
        <f>IF(Body8Actif=TRUE,((((($B87*$T$4)+'Calculs 3D'!$C$13-OffsetX)/Ecran)*'Calculs 3D'!$C$31)+(((($C87*$T$4)+'Calculs 3D'!$D$13-OffsetY)/Ecran)*'Calculs 3D'!$D$31)+(((($D87*$T$4)+'Calculs 3D'!$E$13-OffsetZ)/Ecran)*'Calculs 3D'!$E$31)),0)</f>
        <v>0.16619323198959507</v>
      </c>
      <c r="U87" s="105">
        <f>IF(Body8Actif=TRUE,((((($B87*$T$4)+'Calculs 3D'!$C$13-OffsetX)/Ecran)*'Calculs 3D'!$C$32)+(((($C87*$T$4)+'Calculs 3D'!$D$13-OffsetY)/Ecran)*'Calculs 3D'!$D$32)+(((($D87*$T$4)+'Calculs 3D'!$E$13-OffsetZ)/Ecran)*'Calculs 3D'!$E$32)),0)</f>
        <v>-0.1292215191298039</v>
      </c>
      <c r="V87" s="105">
        <f>IF(Body9Actif=TRUE,((((($B87*$V$4)+'Calculs 3D'!$C$14-OffsetX)/Ecran)*'Calculs 3D'!$C$31)+(((($C87*$V$4)+'Calculs 3D'!$D$14-OffsetY)/Ecran)*'Calculs 3D'!$D$31)+(((($D87*$V$4)+'Calculs 3D'!$E$14-OffsetZ)/Ecran)*'Calculs 3D'!$E$31)),0)</f>
        <v>-0.18040282187700726</v>
      </c>
      <c r="W87" s="105">
        <f>IF(Body9Actif=TRUE,((((($B87*$V$4)+'Calculs 3D'!$C$14-OffsetX)/Ecran)*'Calculs 3D'!$C$32)+(((($C87*$V$4)+'Calculs 3D'!$D$14-OffsetY)/Ecran)*'Calculs 3D'!$D$32)+(((($D87*$V$4)+'Calculs 3D'!$E$14-OffsetZ)/Ecran)*'Calculs 3D'!$E$32)),0)</f>
        <v>0.29054542792593185</v>
      </c>
      <c r="X87" s="105">
        <f>IF(Body10Actif=TRUE,((((($B87*$X$4)+'Calculs 3D'!$C$15-OffsetX)/Ecran)*'Calculs 3D'!$C$31)+(((($C87*$X$4)+'Calculs 3D'!$D$15-OffsetY)/Ecran)*'Calculs 3D'!$D$31)+(((($D87*$X$4)+'Calculs 3D'!$E$15-OffsetZ)/Ecran)*'Calculs 3D'!$E$31)),0)</f>
        <v>-1.9584281557854633E-2</v>
      </c>
      <c r="Y87" s="105">
        <f>IF(Body10Actif=TRUE,((((($B87*$X$4)+'Calculs 3D'!$C$15-OffsetX)/Ecran)*'Calculs 3D'!$C$32)+(((($C87*$X$4)+'Calculs 3D'!$D$15-OffsetY)/Ecran)*'Calculs 3D'!$D$32)+(((($D87*$X$4)+'Calculs 3D'!$E$15-OffsetZ)/Ecran)*'Calculs 3D'!$E$32)),0)</f>
        <v>0.29537003478897927</v>
      </c>
    </row>
    <row r="88" spans="2:25" x14ac:dyDescent="0.3">
      <c r="B88" s="102">
        <v>0.20395121628746515</v>
      </c>
      <c r="C88" s="102">
        <v>-0.62769730075480135</v>
      </c>
      <c r="D88" s="102">
        <v>0.75</v>
      </c>
      <c r="F88" s="105">
        <f>IF(Body1Actif=TRUE,((((($B88*$F$4)+'Calculs 3D'!$C$6-OffsetX)/Ecran)*'Calculs 3D'!$C$31)+(((($C88*$F$4)+'Calculs 3D'!$D$6-OffsetY)/Ecran)*'Calculs 3D'!$D$31)+(((($D88*$F$4)+'Calculs 3D'!$E$6-OffsetZ)/Ecran)*'Calculs 3D'!$E$31)),0)</f>
        <v>4.9808882283376994E-2</v>
      </c>
      <c r="G88" s="105">
        <f>IF(Body1Actif=TRUE,((((($B88*$F$4)+'Calculs 3D'!$C$6-OffsetX)/Ecran)*'Calculs 3D'!$C$32)+(((($C88*$F$4)+'Calculs 3D'!$D$6-OffsetY)/Ecran)*'Calculs 3D'!$D$32)+(((($D88*$F$4)+'Calculs 3D'!$E$6-OffsetZ)/Ecran)*'Calculs 3D'!$E$32)),0)</f>
        <v>0.26472875692423331</v>
      </c>
      <c r="H88" s="105">
        <f>IF(Body2Actif=TRUE,((((($B88*$H$4)+'Calculs 3D'!$C$7-OffsetX)/Ecran)*'Calculs 3D'!$C$31)+(((($C88*$H$4)+'Calculs 3D'!$D$7-OffsetY)/Ecran)*'Calculs 3D'!$D$31)+(((($D88*$H$4)+'Calculs 3D'!$E$7-OffsetZ)/Ecran)*'Calculs 3D'!$E$31)),0)</f>
        <v>2.2245677545447987E-2</v>
      </c>
      <c r="I88" s="105">
        <f>IF(Body2Actif=TRUE,((((($B88*$H$4)+'Calculs 3D'!$C$7-OffsetX)/Ecran)*'Calculs 3D'!$C$32)+(((($C88*$H$4)+'Calculs 3D'!$D$7-OffsetY)/Ecran)*'Calculs 3D'!$D$32)+(((($D88*$H$4)+'Calculs 3D'!$E$7-OffsetZ)/Ecran)*'Calculs 3D'!$E$32)),0)</f>
        <v>3.3694342820135163E-2</v>
      </c>
      <c r="J88" s="105">
        <f>IF(Body3Actif=TRUE,((((($B88*$J$4)+'Calculs 3D'!$C$8-OffsetX)/Ecran)*'Calculs 3D'!$C$31)+(((($C88*$J$4)+'Calculs 3D'!$D$8-OffsetY)/Ecran)*'Calculs 3D'!$D$31)+(((($D88*$J$4)+'Calculs 3D'!$E$8-OffsetZ)/Ecran)*'Calculs 3D'!$E$31)),0)</f>
        <v>0.21732565315395722</v>
      </c>
      <c r="K88" s="105">
        <f>IF(Body3Actif=TRUE,((((($B88*$J$4)+'Calculs 3D'!$C$8-OffsetX)/Ecran)*'Calculs 3D'!$C$32)+(((($C88*$J$4)+'Calculs 3D'!$D$8-OffsetY)/Ecran)*'Calculs 3D'!$D$32)+(((($D88*$J$4)+'Calculs 3D'!$E$8-OffsetZ)/Ecran)*'Calculs 3D'!$E$32)),0)</f>
        <v>-7.9367586971254095E-2</v>
      </c>
      <c r="L88" s="105">
        <f>IF(Body4Actif=TRUE,((((($B88*$L$4)+'Calculs 3D'!$C$9-OffsetX)/Ecran)*'Calculs 3D'!$C$31)+(((($C88*$L$4)+'Calculs 3D'!$D$9-OffsetY)/Ecran)*'Calculs 3D'!$D$31)+(((($D88*$L$4)+'Calculs 3D'!$E$9-OffsetZ)/Ecran)*'Calculs 3D'!$E$31)),0)</f>
        <v>-9.6261078171438308E-2</v>
      </c>
      <c r="M88" s="105">
        <f>IF(Body4Actif=TRUE,((((($B88*$L$4)+'Calculs 3D'!$C$9-OffsetX)/Ecran)*'Calculs 3D'!$C$32)+(((($C88*$L$4)+'Calculs 3D'!$D$9-OffsetY)/Ecran)*'Calculs 3D'!$D$32)+(((($D88*$L$4)+'Calculs 3D'!$E$9-OffsetZ)/Ecran)*'Calculs 3D'!$E$32)),0)</f>
        <v>-0.17015982917541647</v>
      </c>
      <c r="N88" s="105">
        <f>IF(Body5Actif=TRUE,((((($B88*$N$4)+'Calculs 3D'!$C$10-OffsetX)/Ecran)*'Calculs 3D'!$C$31)+(((($C88*$N$4)+'Calculs 3D'!$D$10-OffsetY)/Ecran)*'Calculs 3D'!$D$31)+(((($D88*$N$4)+'Calculs 3D'!$E$10-OffsetZ)/Ecran)*'Calculs 3D'!$E$31)),0)</f>
        <v>-1.1250251550196737E-3</v>
      </c>
      <c r="O88" s="105">
        <f>IF(Body5Actif=TRUE,((((($B88*$N$4)+'Calculs 3D'!$C$10-OffsetX)/Ecran)*'Calculs 3D'!$C$32)+(((($C88*$N$4)+'Calculs 3D'!$D$10-OffsetY)/Ecran)*'Calculs 3D'!$D$32)+(((($D88*$N$4)+'Calculs 3D'!$E$10-OffsetZ)/Ecran)*'Calculs 3D'!$E$32)),0)</f>
        <v>-2.9695615824879519E-3</v>
      </c>
      <c r="P88" s="105">
        <f>IF(Body6Actif=TRUE,((((($B88*$P$4)+'Calculs 3D'!$C$11-OffsetX)/Ecran)*'Calculs 3D'!$C$31)+(((($C88*$P$4)+'Calculs 3D'!$D$11-OffsetY)/Ecran)*'Calculs 3D'!$D$31)+(((($D88*$P$4)+'Calculs 3D'!$E$11-OffsetZ)/Ecran)*'Calculs 3D'!$E$31)),0)</f>
        <v>0.16780627432433526</v>
      </c>
      <c r="Q88" s="105">
        <f>IF(Body6Actif=TRUE,((((($B88*$P$4)+'Calculs 3D'!$C$11-OffsetX)/Ecran)*'Calculs 3D'!$C$32)+(((($C88*$P$4)+'Calculs 3D'!$D$11-OffsetY)/Ecran)*'Calculs 3D'!$D$32)+(((($D88*$P$4)+'Calculs 3D'!$E$11-OffsetZ)/Ecran)*'Calculs 3D'!$E$32)),0)</f>
        <v>0.13596884901166428</v>
      </c>
      <c r="R88" s="105">
        <f>IF(Body7Actif=TRUE,((((($B88*$R$4)+'Calculs 3D'!$C$12-OffsetX)/Ecran)*'Calculs 3D'!$C$31)+(((($C88*$R$4)+'Calculs 3D'!$D$12-OffsetY)/Ecran)*'Calculs 3D'!$D$31)+(((($D88*$R$4)+'Calculs 3D'!$E$12-OffsetZ)/Ecran)*'Calculs 3D'!$E$31)),0)</f>
        <v>-0.28362106400117248</v>
      </c>
      <c r="S88" s="105">
        <f>IF(Body7Actif=TRUE,((((($B88*$R$4)+'Calculs 3D'!$C$12-OffsetX)/Ecran)*'Calculs 3D'!$C$32)+(((($C88*$R$4)+'Calculs 3D'!$D$12-OffsetY)/Ecran)*'Calculs 3D'!$D$32)+(((($D88*$R$4)+'Calculs 3D'!$E$12-OffsetZ)/Ecran)*'Calculs 3D'!$E$32)),0)</f>
        <v>6.5270001581177781E-2</v>
      </c>
      <c r="T88" s="105">
        <f>IF(Body8Actif=TRUE,((((($B88*$T$4)+'Calculs 3D'!$C$13-OffsetX)/Ecran)*'Calculs 3D'!$C$31)+(((($C88*$T$4)+'Calculs 3D'!$D$13-OffsetY)/Ecran)*'Calculs 3D'!$D$31)+(((($D88*$T$4)+'Calculs 3D'!$E$13-OffsetZ)/Ecran)*'Calculs 3D'!$E$31)),0)</f>
        <v>0.16713113609797445</v>
      </c>
      <c r="U88" s="105">
        <f>IF(Body8Actif=TRUE,((((($B88*$T$4)+'Calculs 3D'!$C$13-OffsetX)/Ecran)*'Calculs 3D'!$C$32)+(((($C88*$T$4)+'Calculs 3D'!$D$13-OffsetY)/Ecran)*'Calculs 3D'!$D$32)+(((($D88*$T$4)+'Calculs 3D'!$E$13-OffsetZ)/Ecran)*'Calculs 3D'!$E$32)),0)</f>
        <v>-0.12951573513723844</v>
      </c>
      <c r="V88" s="105">
        <f>IF(Body9Actif=TRUE,((((($B88*$V$4)+'Calculs 3D'!$C$14-OffsetX)/Ecran)*'Calculs 3D'!$C$31)+(((($C88*$V$4)+'Calculs 3D'!$D$14-OffsetY)/Ecran)*'Calculs 3D'!$D$31)+(((($D88*$V$4)+'Calculs 3D'!$E$14-OffsetZ)/Ecran)*'Calculs 3D'!$E$31)),0)</f>
        <v>-0.17910146497551116</v>
      </c>
      <c r="W88" s="105">
        <f>IF(Body9Actif=TRUE,((((($B88*$V$4)+'Calculs 3D'!$C$14-OffsetX)/Ecran)*'Calculs 3D'!$C$32)+(((($C88*$V$4)+'Calculs 3D'!$D$14-OffsetY)/Ecran)*'Calculs 3D'!$D$32)+(((($D88*$V$4)+'Calculs 3D'!$E$14-OffsetZ)/Ecran)*'Calculs 3D'!$E$32)),0)</f>
        <v>0.29013719852552211</v>
      </c>
      <c r="X88" s="105">
        <f>IF(Body10Actif=TRUE,((((($B88*$X$4)+'Calculs 3D'!$C$15-OffsetX)/Ecran)*'Calculs 3D'!$C$31)+(((($C88*$X$4)+'Calculs 3D'!$D$15-OffsetY)/Ecran)*'Calculs 3D'!$D$31)+(((($D88*$X$4)+'Calculs 3D'!$E$15-OffsetZ)/Ecran)*'Calculs 3D'!$E$31)),0)</f>
        <v>-1.7619943052230039E-2</v>
      </c>
      <c r="Y88" s="105">
        <f>IF(Body10Actif=TRUE,((((($B88*$X$4)+'Calculs 3D'!$C$15-OffsetX)/Ecran)*'Calculs 3D'!$C$32)+(((($C88*$X$4)+'Calculs 3D'!$D$15-OffsetY)/Ecran)*'Calculs 3D'!$D$32)+(((($D88*$X$4)+'Calculs 3D'!$E$15-OffsetZ)/Ecran)*'Calculs 3D'!$E$32)),0)</f>
        <v>0.29475383124832788</v>
      </c>
    </row>
    <row r="89" spans="2:25" x14ac:dyDescent="0.3">
      <c r="B89" s="102">
        <v>0.38793826651303209</v>
      </c>
      <c r="C89" s="102">
        <v>-0.53395121628746534</v>
      </c>
      <c r="D89" s="102">
        <v>0.75</v>
      </c>
      <c r="F89" s="105">
        <f>IF(Body1Actif=TRUE,((((($B89*$F$4)+'Calculs 3D'!$C$6-OffsetX)/Ecran)*'Calculs 3D'!$C$31)+(((($C89*$F$4)+'Calculs 3D'!$D$6-OffsetY)/Ecran)*'Calculs 3D'!$D$31)+(((($D89*$F$4)+'Calculs 3D'!$E$6-OffsetZ)/Ecran)*'Calculs 3D'!$E$31)),0)</f>
        <v>5.0579175247860285E-2</v>
      </c>
      <c r="G89" s="105">
        <f>IF(Body1Actif=TRUE,((((($B89*$F$4)+'Calculs 3D'!$C$6-OffsetX)/Ecran)*'Calculs 3D'!$C$32)+(((($C89*$F$4)+'Calculs 3D'!$D$6-OffsetY)/Ecran)*'Calculs 3D'!$D$32)+(((($D89*$F$4)+'Calculs 3D'!$E$6-OffsetZ)/Ecran)*'Calculs 3D'!$E$32)),0)</f>
        <v>0.26465364473430242</v>
      </c>
      <c r="H89" s="105">
        <f>IF(Body2Actif=TRUE,((((($B89*$H$4)+'Calculs 3D'!$C$7-OffsetX)/Ecran)*'Calculs 3D'!$C$31)+(((($C89*$H$4)+'Calculs 3D'!$D$7-OffsetY)/Ecran)*'Calculs 3D'!$D$31)+(((($D89*$H$4)+'Calculs 3D'!$E$7-OffsetZ)/Ecran)*'Calculs 3D'!$E$31)),0)</f>
        <v>2.5248184344877588E-2</v>
      </c>
      <c r="I89" s="105">
        <f>IF(Body2Actif=TRUE,((((($B89*$H$4)+'Calculs 3D'!$C$7-OffsetX)/Ecran)*'Calculs 3D'!$C$32)+(((($C89*$H$4)+'Calculs 3D'!$D$7-OffsetY)/Ecran)*'Calculs 3D'!$D$32)+(((($D89*$H$4)+'Calculs 3D'!$E$7-OffsetZ)/Ecran)*'Calculs 3D'!$E$32)),0)</f>
        <v>3.3401564784522643E-2</v>
      </c>
      <c r="J89" s="105">
        <f>IF(Body3Actif=TRUE,((((($B89*$J$4)+'Calculs 3D'!$C$8-OffsetX)/Ecran)*'Calculs 3D'!$C$31)+(((($C89*$J$4)+'Calculs 3D'!$D$8-OffsetY)/Ecran)*'Calculs 3D'!$D$31)+(((($D89*$J$4)+'Calculs 3D'!$E$8-OffsetZ)/Ecran)*'Calculs 3D'!$E$31)),0)</f>
        <v>0.21866003387220898</v>
      </c>
      <c r="K89" s="105">
        <f>IF(Body3Actif=TRUE,((((($B89*$J$4)+'Calculs 3D'!$C$8-OffsetX)/Ecran)*'Calculs 3D'!$C$32)+(((($C89*$J$4)+'Calculs 3D'!$D$8-OffsetY)/Ecran)*'Calculs 3D'!$D$32)+(((($D89*$J$4)+'Calculs 3D'!$E$8-OffsetZ)/Ecran)*'Calculs 3D'!$E$32)),0)</f>
        <v>-7.9497704033944239E-2</v>
      </c>
      <c r="L89" s="105">
        <f>IF(Body4Actif=TRUE,((((($B89*$L$4)+'Calculs 3D'!$C$9-OffsetX)/Ecran)*'Calculs 3D'!$C$31)+(((($C89*$L$4)+'Calculs 3D'!$D$9-OffsetY)/Ecran)*'Calculs 3D'!$D$31)+(((($D89*$L$4)+'Calculs 3D'!$E$9-OffsetZ)/Ecran)*'Calculs 3D'!$E$31)),0)</f>
        <v>-9.4525992808345366E-2</v>
      </c>
      <c r="M89" s="105">
        <f>IF(Body4Actif=TRUE,((((($B89*$L$4)+'Calculs 3D'!$C$9-OffsetX)/Ecran)*'Calculs 3D'!$C$32)+(((($C89*$L$4)+'Calculs 3D'!$D$9-OffsetY)/Ecran)*'Calculs 3D'!$D$32)+(((($D89*$L$4)+'Calculs 3D'!$E$9-OffsetZ)/Ecran)*'Calculs 3D'!$E$32)),0)</f>
        <v>-0.17032901942814893</v>
      </c>
      <c r="N89" s="105">
        <f>IF(Body5Actif=TRUE,((((($B89*$N$4)+'Calculs 3D'!$C$10-OffsetX)/Ecran)*'Calculs 3D'!$C$31)+(((($C89*$N$4)+'Calculs 3D'!$D$10-OffsetY)/Ecran)*'Calculs 3D'!$D$31)+(((($D89*$N$4)+'Calculs 3D'!$E$10-OffsetZ)/Ecran)*'Calculs 3D'!$E$31)),0)</f>
        <v>8.5573407245585114E-4</v>
      </c>
      <c r="O89" s="105">
        <f>IF(Body5Actif=TRUE,((((($B89*$N$4)+'Calculs 3D'!$C$10-OffsetX)/Ecran)*'Calculs 3D'!$C$32)+(((($C89*$N$4)+'Calculs 3D'!$D$10-OffsetY)/Ecran)*'Calculs 3D'!$D$32)+(((($D89*$N$4)+'Calculs 3D'!$E$10-OffsetZ)/Ecran)*'Calculs 3D'!$E$32)),0)</f>
        <v>-3.162707788102485E-3</v>
      </c>
      <c r="P89" s="105">
        <f>IF(Body6Actif=TRUE,((((($B89*$P$4)+'Calculs 3D'!$C$11-OffsetX)/Ecran)*'Calculs 3D'!$C$31)+(((($C89*$P$4)+'Calculs 3D'!$D$11-OffsetY)/Ecran)*'Calculs 3D'!$D$31)+(((($D89*$P$4)+'Calculs 3D'!$E$11-OffsetZ)/Ecran)*'Calculs 3D'!$E$31)),0)</f>
        <v>0.1706767325982842</v>
      </c>
      <c r="Q89" s="105">
        <f>IF(Body6Actif=TRUE,((((($B89*$P$4)+'Calculs 3D'!$C$11-OffsetX)/Ecran)*'Calculs 3D'!$C$32)+(((($C89*$P$4)+'Calculs 3D'!$D$11-OffsetY)/Ecran)*'Calculs 3D'!$D$32)+(((($D89*$P$4)+'Calculs 3D'!$E$11-OffsetZ)/Ecran)*'Calculs 3D'!$E$32)),0)</f>
        <v>0.13568894718599175</v>
      </c>
      <c r="R89" s="105">
        <f>IF(Body7Actif=TRUE,((((($B89*$R$4)+'Calculs 3D'!$C$12-OffsetX)/Ecran)*'Calculs 3D'!$C$31)+(((($C89*$R$4)+'Calculs 3D'!$D$12-OffsetY)/Ecran)*'Calculs 3D'!$D$31)+(((($D89*$R$4)+'Calculs 3D'!$E$12-OffsetZ)/Ecran)*'Calculs 3D'!$E$31)),0)</f>
        <v>-0.28073836751385717</v>
      </c>
      <c r="S89" s="105">
        <f>IF(Body7Actif=TRUE,((((($B89*$R$4)+'Calculs 3D'!$C$12-OffsetX)/Ecran)*'Calculs 3D'!$C$32)+(((($C89*$R$4)+'Calculs 3D'!$D$12-OffsetY)/Ecran)*'Calculs 3D'!$D$32)+(((($D89*$R$4)+'Calculs 3D'!$E$12-OffsetZ)/Ecran)*'Calculs 3D'!$E$32)),0)</f>
        <v>6.4988906392656101E-2</v>
      </c>
      <c r="T89" s="105">
        <f>IF(Body8Actif=TRUE,((((($B89*$T$4)+'Calculs 3D'!$C$13-OffsetX)/Ecran)*'Calculs 3D'!$C$31)+(((($C89*$T$4)+'Calculs 3D'!$D$13-OffsetY)/Ecran)*'Calculs 3D'!$D$31)+(((($D89*$T$4)+'Calculs 3D'!$E$13-OffsetZ)/Ecran)*'Calculs 3D'!$E$31)),0)</f>
        <v>0.16817081081111576</v>
      </c>
      <c r="U89" s="105">
        <f>IF(Body8Actif=TRUE,((((($B89*$T$4)+'Calculs 3D'!$C$13-OffsetX)/Ecran)*'Calculs 3D'!$C$32)+(((($C89*$T$4)+'Calculs 3D'!$D$13-OffsetY)/Ecran)*'Calculs 3D'!$D$32)+(((($D89*$T$4)+'Calculs 3D'!$E$13-OffsetZ)/Ecran)*'Calculs 3D'!$E$32)),0)</f>
        <v>-0.12961711506425388</v>
      </c>
      <c r="V89" s="105">
        <f>IF(Body9Actif=TRUE,((((($B89*$V$4)+'Calculs 3D'!$C$14-OffsetX)/Ecran)*'Calculs 3D'!$C$31)+(((($C89*$V$4)+'Calculs 3D'!$D$14-OffsetY)/Ecran)*'Calculs 3D'!$D$31)+(((($D89*$V$4)+'Calculs 3D'!$E$14-OffsetZ)/Ecran)*'Calculs 3D'!$E$31)),0)</f>
        <v>-0.17765889973758367</v>
      </c>
      <c r="W89" s="105">
        <f>IF(Body9Actif=TRUE,((((($B89*$V$4)+'Calculs 3D'!$C$14-OffsetX)/Ecran)*'Calculs 3D'!$C$32)+(((($C89*$V$4)+'Calculs 3D'!$D$14-OffsetY)/Ecran)*'Calculs 3D'!$D$32)+(((($D89*$V$4)+'Calculs 3D'!$E$14-OffsetZ)/Ecran)*'Calculs 3D'!$E$32)),0)</f>
        <v>0.28999653226069178</v>
      </c>
      <c r="X89" s="105">
        <f>IF(Body10Actif=TRUE,((((($B89*$X$4)+'Calculs 3D'!$C$15-OffsetX)/Ecran)*'Calculs 3D'!$C$31)+(((($C89*$X$4)+'Calculs 3D'!$D$15-OffsetY)/Ecran)*'Calculs 3D'!$D$31)+(((($D89*$X$4)+'Calculs 3D'!$E$15-OffsetZ)/Ecran)*'Calculs 3D'!$E$31)),0)</f>
        <v>-1.5442457044756885E-2</v>
      </c>
      <c r="Y89" s="105">
        <f>IF(Body10Actif=TRUE,((((($B89*$X$4)+'Calculs 3D'!$C$15-OffsetX)/Ecran)*'Calculs 3D'!$C$32)+(((($C89*$X$4)+'Calculs 3D'!$D$15-OffsetY)/Ecran)*'Calculs 3D'!$D$32)+(((($D89*$X$4)+'Calculs 3D'!$E$15-OffsetZ)/Ecran)*'Calculs 3D'!$E$32)),0)</f>
        <v>0.29454150197867801</v>
      </c>
    </row>
    <row r="90" spans="2:25" x14ac:dyDescent="0.3">
      <c r="B90" s="102">
        <v>0.53395121628746522</v>
      </c>
      <c r="C90" s="102">
        <v>-0.38793826651303237</v>
      </c>
      <c r="D90" s="102">
        <v>0.75</v>
      </c>
      <c r="F90" s="105">
        <f>IF(Body1Actif=TRUE,((((($B90*$F$4)+'Calculs 3D'!$C$6-OffsetX)/Ecran)*'Calculs 3D'!$C$31)+(((($C90*$F$4)+'Calculs 3D'!$D$6-OffsetY)/Ecran)*'Calculs 3D'!$D$31)+(((($D90*$F$4)+'Calculs 3D'!$E$6-OffsetZ)/Ecran)*'Calculs 3D'!$E$31)),0)</f>
        <v>5.1349468212343555E-2</v>
      </c>
      <c r="G90" s="105">
        <f>IF(Body1Actif=TRUE,((((($B90*$F$4)+'Calculs 3D'!$C$6-OffsetX)/Ecran)*'Calculs 3D'!$C$32)+(((($C90*$F$4)+'Calculs 3D'!$D$6-OffsetY)/Ecran)*'Calculs 3D'!$D$32)+(((($D90*$F$4)+'Calculs 3D'!$E$6-OffsetZ)/Ecran)*'Calculs 3D'!$E$32)),0)</f>
        <v>0.26472875692423331</v>
      </c>
      <c r="H90" s="105">
        <f>IF(Body2Actif=TRUE,((((($B90*$H$4)+'Calculs 3D'!$C$7-OffsetX)/Ecran)*'Calculs 3D'!$C$31)+(((($C90*$H$4)+'Calculs 3D'!$D$7-OffsetY)/Ecran)*'Calculs 3D'!$D$31)+(((($D90*$H$4)+'Calculs 3D'!$E$7-OffsetZ)/Ecran)*'Calculs 3D'!$E$31)),0)</f>
        <v>2.8250691144307186E-2</v>
      </c>
      <c r="I90" s="105">
        <f>IF(Body2Actif=TRUE,((((($B90*$H$4)+'Calculs 3D'!$C$7-OffsetX)/Ecran)*'Calculs 3D'!$C$32)+(((($C90*$H$4)+'Calculs 3D'!$D$7-OffsetY)/Ecran)*'Calculs 3D'!$D$32)+(((($D90*$H$4)+'Calculs 3D'!$E$7-OffsetZ)/Ecran)*'Calculs 3D'!$E$32)),0)</f>
        <v>3.369434282013517E-2</v>
      </c>
      <c r="J90" s="105">
        <f>IF(Body3Actif=TRUE,((((($B90*$J$4)+'Calculs 3D'!$C$8-OffsetX)/Ecran)*'Calculs 3D'!$C$31)+(((($C90*$J$4)+'Calculs 3D'!$D$8-OffsetY)/Ecran)*'Calculs 3D'!$D$31)+(((($D90*$J$4)+'Calculs 3D'!$E$8-OffsetZ)/Ecran)*'Calculs 3D'!$E$31)),0)</f>
        <v>0.21999441459046071</v>
      </c>
      <c r="K90" s="105">
        <f>IF(Body3Actif=TRUE,((((($B90*$J$4)+'Calculs 3D'!$C$8-OffsetX)/Ecran)*'Calculs 3D'!$C$32)+(((($C90*$J$4)+'Calculs 3D'!$D$8-OffsetY)/Ecran)*'Calculs 3D'!$D$32)+(((($D90*$J$4)+'Calculs 3D'!$E$8-OffsetZ)/Ecran)*'Calculs 3D'!$E$32)),0)</f>
        <v>-7.9367586971254109E-2</v>
      </c>
      <c r="L90" s="105">
        <f>IF(Body4Actif=TRUE,((((($B90*$L$4)+'Calculs 3D'!$C$9-OffsetX)/Ecran)*'Calculs 3D'!$C$31)+(((($C90*$L$4)+'Calculs 3D'!$D$9-OffsetY)/Ecran)*'Calculs 3D'!$D$31)+(((($D90*$L$4)+'Calculs 3D'!$E$9-OffsetZ)/Ecran)*'Calculs 3D'!$E$31)),0)</f>
        <v>-9.2790907445252396E-2</v>
      </c>
      <c r="M90" s="105">
        <f>IF(Body4Actif=TRUE,((((($B90*$L$4)+'Calculs 3D'!$C$9-OffsetX)/Ecran)*'Calculs 3D'!$C$32)+(((($C90*$L$4)+'Calculs 3D'!$D$9-OffsetY)/Ecran)*'Calculs 3D'!$D$32)+(((($D90*$L$4)+'Calculs 3D'!$E$9-OffsetZ)/Ecran)*'Calculs 3D'!$E$32)),0)</f>
        <v>-0.17015982917541647</v>
      </c>
      <c r="N90" s="105">
        <f>IF(Body5Actif=TRUE,((((($B90*$N$4)+'Calculs 3D'!$C$10-OffsetX)/Ecran)*'Calculs 3D'!$C$31)+(((($C90*$N$4)+'Calculs 3D'!$D$10-OffsetY)/Ecran)*'Calculs 3D'!$D$31)+(((($D90*$N$4)+'Calculs 3D'!$E$10-OffsetZ)/Ecran)*'Calculs 3D'!$E$31)),0)</f>
        <v>2.8364932999313786E-3</v>
      </c>
      <c r="O90" s="105">
        <f>IF(Body5Actif=TRUE,((((($B90*$N$4)+'Calculs 3D'!$C$10-OffsetX)/Ecran)*'Calculs 3D'!$C$32)+(((($C90*$N$4)+'Calculs 3D'!$D$10-OffsetY)/Ecran)*'Calculs 3D'!$D$32)+(((($D90*$N$4)+'Calculs 3D'!$E$10-OffsetZ)/Ecran)*'Calculs 3D'!$E$32)),0)</f>
        <v>-2.9695615824879536E-3</v>
      </c>
      <c r="P90" s="105">
        <f>IF(Body6Actif=TRUE,((((($B90*$P$4)+'Calculs 3D'!$C$11-OffsetX)/Ecran)*'Calculs 3D'!$C$31)+(((($C90*$P$4)+'Calculs 3D'!$D$11-OffsetY)/Ecran)*'Calculs 3D'!$D$31)+(((($D90*$P$4)+'Calculs 3D'!$E$11-OffsetZ)/Ecran)*'Calculs 3D'!$E$31)),0)</f>
        <v>0.17354719087223311</v>
      </c>
      <c r="Q90" s="105">
        <f>IF(Body6Actif=TRUE,((((($B90*$P$4)+'Calculs 3D'!$C$11-OffsetX)/Ecran)*'Calculs 3D'!$C$32)+(((($C90*$P$4)+'Calculs 3D'!$D$11-OffsetY)/Ecran)*'Calculs 3D'!$D$32)+(((($D90*$P$4)+'Calculs 3D'!$E$11-OffsetZ)/Ecran)*'Calculs 3D'!$E$32)),0)</f>
        <v>0.13596884901166426</v>
      </c>
      <c r="R90" s="105">
        <f>IF(Body7Actif=TRUE,((((($B90*$R$4)+'Calculs 3D'!$C$12-OffsetX)/Ecran)*'Calculs 3D'!$C$31)+(((($C90*$R$4)+'Calculs 3D'!$D$12-OffsetY)/Ecran)*'Calculs 3D'!$D$31)+(((($D90*$R$4)+'Calculs 3D'!$E$12-OffsetZ)/Ecran)*'Calculs 3D'!$E$31)),0)</f>
        <v>-0.27785567102654185</v>
      </c>
      <c r="S90" s="105">
        <f>IF(Body7Actif=TRUE,((((($B90*$R$4)+'Calculs 3D'!$C$12-OffsetX)/Ecran)*'Calculs 3D'!$C$32)+(((($C90*$R$4)+'Calculs 3D'!$D$12-OffsetY)/Ecran)*'Calculs 3D'!$D$32)+(((($D90*$R$4)+'Calculs 3D'!$E$12-OffsetZ)/Ecran)*'Calculs 3D'!$E$32)),0)</f>
        <v>6.5270001581177794E-2</v>
      </c>
      <c r="T90" s="105">
        <f>IF(Body8Actif=TRUE,((((($B90*$T$4)+'Calculs 3D'!$C$13-OffsetX)/Ecran)*'Calculs 3D'!$C$31)+(((($C90*$T$4)+'Calculs 3D'!$D$13-OffsetY)/Ecran)*'Calculs 3D'!$D$31)+(((($D90*$T$4)+'Calculs 3D'!$E$13-OffsetZ)/Ecran)*'Calculs 3D'!$E$31)),0)</f>
        <v>0.16921048552425708</v>
      </c>
      <c r="U90" s="105">
        <f>IF(Body8Actif=TRUE,((((($B90*$T$4)+'Calculs 3D'!$C$13-OffsetX)/Ecran)*'Calculs 3D'!$C$32)+(((($C90*$T$4)+'Calculs 3D'!$D$13-OffsetY)/Ecran)*'Calculs 3D'!$D$32)+(((($D90*$T$4)+'Calculs 3D'!$E$13-OffsetZ)/Ecran)*'Calculs 3D'!$E$32)),0)</f>
        <v>-0.12951573513723841</v>
      </c>
      <c r="V90" s="105">
        <f>IF(Body9Actif=TRUE,((((($B90*$V$4)+'Calculs 3D'!$C$14-OffsetX)/Ecran)*'Calculs 3D'!$C$31)+(((($C90*$V$4)+'Calculs 3D'!$D$14-OffsetY)/Ecran)*'Calculs 3D'!$D$31)+(((($D90*$V$4)+'Calculs 3D'!$E$14-OffsetZ)/Ecran)*'Calculs 3D'!$E$31)),0)</f>
        <v>-0.17621633449965621</v>
      </c>
      <c r="W90" s="105">
        <f>IF(Body9Actif=TRUE,((((($B90*$V$4)+'Calculs 3D'!$C$14-OffsetX)/Ecran)*'Calculs 3D'!$C$32)+(((($C90*$V$4)+'Calculs 3D'!$D$14-OffsetY)/Ecran)*'Calculs 3D'!$D$32)+(((($D90*$V$4)+'Calculs 3D'!$E$14-OffsetZ)/Ecran)*'Calculs 3D'!$E$32)),0)</f>
        <v>0.29013719852552211</v>
      </c>
      <c r="X90" s="105">
        <f>IF(Body10Actif=TRUE,((((($B90*$X$4)+'Calculs 3D'!$C$15-OffsetX)/Ecran)*'Calculs 3D'!$C$31)+(((($C90*$X$4)+'Calculs 3D'!$D$15-OffsetY)/Ecran)*'Calculs 3D'!$D$31)+(((($D90*$X$4)+'Calculs 3D'!$E$15-OffsetZ)/Ecran)*'Calculs 3D'!$E$31)),0)</f>
        <v>-1.3264971037283774E-2</v>
      </c>
      <c r="Y90" s="105">
        <f>IF(Body10Actif=TRUE,((((($B90*$X$4)+'Calculs 3D'!$C$15-OffsetX)/Ecran)*'Calculs 3D'!$C$32)+(((($C90*$X$4)+'Calculs 3D'!$D$15-OffsetY)/Ecran)*'Calculs 3D'!$D$32)+(((($D90*$X$4)+'Calculs 3D'!$E$15-OffsetZ)/Ecran)*'Calculs 3D'!$E$32)),0)</f>
        <v>0.29475383124832788</v>
      </c>
    </row>
    <row r="91" spans="2:25" x14ac:dyDescent="0.3">
      <c r="B91" s="102">
        <v>0.62769730075480124</v>
      </c>
      <c r="C91" s="102">
        <v>-0.2039512162874654</v>
      </c>
      <c r="D91" s="102">
        <v>0.75</v>
      </c>
      <c r="F91" s="105">
        <f>IF(Body1Actif=TRUE,((((($B91*$F$4)+'Calculs 3D'!$C$6-OffsetX)/Ecran)*'Calculs 3D'!$C$31)+(((($C91*$F$4)+'Calculs 3D'!$D$6-OffsetY)/Ecran)*'Calculs 3D'!$D$31)+(((($D91*$F$4)+'Calculs 3D'!$E$6-OffsetZ)/Ecran)*'Calculs 3D'!$E$31)),0)</f>
        <v>5.2044359534516554E-2</v>
      </c>
      <c r="G91" s="105">
        <f>IF(Body1Actif=TRUE,((((($B91*$F$4)+'Calculs 3D'!$C$6-OffsetX)/Ecran)*'Calculs 3D'!$C$32)+(((($C91*$F$4)+'Calculs 3D'!$D$6-OffsetY)/Ecran)*'Calculs 3D'!$D$32)+(((($D91*$F$4)+'Calculs 3D'!$E$6-OffsetZ)/Ecran)*'Calculs 3D'!$E$32)),0)</f>
        <v>0.26494674098953819</v>
      </c>
      <c r="H91" s="105">
        <f>IF(Body2Actif=TRUE,((((($B91*$H$4)+'Calculs 3D'!$C$7-OffsetX)/Ecran)*'Calculs 3D'!$C$31)+(((($C91*$H$4)+'Calculs 3D'!$D$7-OffsetY)/Ecran)*'Calculs 3D'!$D$31)+(((($D91*$H$4)+'Calculs 3D'!$E$7-OffsetZ)/Ecran)*'Calculs 3D'!$E$31)),0)</f>
        <v>3.0959291658513643E-2</v>
      </c>
      <c r="I91" s="105">
        <f>IF(Body2Actif=TRUE,((((($B91*$H$4)+'Calculs 3D'!$C$7-OffsetX)/Ecran)*'Calculs 3D'!$C$32)+(((($C91*$H$4)+'Calculs 3D'!$D$7-OffsetY)/Ecran)*'Calculs 3D'!$D$32)+(((($D91*$H$4)+'Calculs 3D'!$E$7-OffsetZ)/Ecran)*'Calculs 3D'!$E$32)),0)</f>
        <v>3.4544017772942456E-2</v>
      </c>
      <c r="J91" s="105">
        <f>IF(Body3Actif=TRUE,((((($B91*$J$4)+'Calculs 3D'!$C$8-OffsetX)/Ecran)*'Calculs 3D'!$C$31)+(((($C91*$J$4)+'Calculs 3D'!$D$8-OffsetY)/Ecran)*'Calculs 3D'!$D$31)+(((($D91*$J$4)+'Calculs 3D'!$E$8-OffsetZ)/Ecran)*'Calculs 3D'!$E$31)),0)</f>
        <v>0.22119817682683285</v>
      </c>
      <c r="K91" s="105">
        <f>IF(Body3Actif=TRUE,((((($B91*$J$4)+'Calculs 3D'!$C$8-OffsetX)/Ecran)*'Calculs 3D'!$C$32)+(((($C91*$J$4)+'Calculs 3D'!$D$8-OffsetY)/Ecran)*'Calculs 3D'!$D$32)+(((($D91*$J$4)+'Calculs 3D'!$E$8-OffsetZ)/Ecran)*'Calculs 3D'!$E$32)),0)</f>
        <v>-7.8989972547858653E-2</v>
      </c>
      <c r="L91" s="105">
        <f>IF(Body4Actif=TRUE,((((($B91*$L$4)+'Calculs 3D'!$C$9-OffsetX)/Ecran)*'Calculs 3D'!$C$31)+(((($C91*$L$4)+'Calculs 3D'!$D$9-OffsetY)/Ecran)*'Calculs 3D'!$D$31)+(((($D91*$L$4)+'Calculs 3D'!$E$9-OffsetZ)/Ecran)*'Calculs 3D'!$E$31)),0)</f>
        <v>-9.1225664326549563E-2</v>
      </c>
      <c r="M91" s="105">
        <f>IF(Body4Actif=TRUE,((((($B91*$L$4)+'Calculs 3D'!$C$9-OffsetX)/Ecran)*'Calculs 3D'!$C$32)+(((($C91*$L$4)+'Calculs 3D'!$D$9-OffsetY)/Ecran)*'Calculs 3D'!$D$32)+(((($D91*$L$4)+'Calculs 3D'!$E$9-OffsetZ)/Ecran)*'Calculs 3D'!$E$32)),0)</f>
        <v>-0.16966881993797439</v>
      </c>
      <c r="N91" s="105">
        <f>IF(Body5Actif=TRUE,((((($B91*$N$4)+'Calculs 3D'!$C$10-OffsetX)/Ecran)*'Calculs 3D'!$C$31)+(((($C91*$N$4)+'Calculs 3D'!$D$10-OffsetY)/Ecran)*'Calculs 3D'!$D$31)+(((($D91*$N$4)+'Calculs 3D'!$E$10-OffsetZ)/Ecran)*'Calculs 3D'!$E$31)),0)</f>
        <v>4.623362013460558E-3</v>
      </c>
      <c r="O91" s="105">
        <f>IF(Body5Actif=TRUE,((((($B91*$N$4)+'Calculs 3D'!$C$10-OffsetX)/Ecran)*'Calculs 3D'!$C$32)+(((($C91*$N$4)+'Calculs 3D'!$D$10-OffsetY)/Ecran)*'Calculs 3D'!$D$32)+(((($D91*$N$4)+'Calculs 3D'!$E$10-OffsetZ)/Ecran)*'Calculs 3D'!$E$32)),0)</f>
        <v>-2.4090294619786498E-3</v>
      </c>
      <c r="P91" s="105">
        <f>IF(Body6Actif=TRUE,((((($B91*$P$4)+'Calculs 3D'!$C$11-OffsetX)/Ecran)*'Calculs 3D'!$C$31)+(((($C91*$P$4)+'Calculs 3D'!$D$11-OffsetY)/Ecran)*'Calculs 3D'!$D$31)+(((($D91*$P$4)+'Calculs 3D'!$E$11-OffsetZ)/Ecran)*'Calculs 3D'!$E$31)),0)</f>
        <v>0.17613666869066913</v>
      </c>
      <c r="Q91" s="105">
        <f>IF(Body6Actif=TRUE,((((($B91*$P$4)+'Calculs 3D'!$C$11-OffsetX)/Ecran)*'Calculs 3D'!$C$32)+(((($C91*$P$4)+'Calculs 3D'!$D$11-OffsetY)/Ecran)*'Calculs 3D'!$D$32)+(((($D91*$P$4)+'Calculs 3D'!$E$11-OffsetZ)/Ecran)*'Calculs 3D'!$E$32)),0)</f>
        <v>0.13678115574779429</v>
      </c>
      <c r="R91" s="105">
        <f>IF(Body7Actif=TRUE,((((($B91*$R$4)+'Calculs 3D'!$C$12-OffsetX)/Ecran)*'Calculs 3D'!$C$31)+(((($C91*$R$4)+'Calculs 3D'!$D$12-OffsetY)/Ecran)*'Calculs 3D'!$D$31)+(((($D91*$R$4)+'Calculs 3D'!$E$12-OffsetZ)/Ecran)*'Calculs 3D'!$E$31)),0)</f>
        <v>-0.27525515295633246</v>
      </c>
      <c r="S91" s="105">
        <f>IF(Body7Actif=TRUE,((((($B91*$R$4)+'Calculs 3D'!$C$12-OffsetX)/Ecran)*'Calculs 3D'!$C$32)+(((($C91*$R$4)+'Calculs 3D'!$D$12-OffsetY)/Ecran)*'Calculs 3D'!$D$32)+(((($D91*$R$4)+'Calculs 3D'!$E$12-OffsetZ)/Ecran)*'Calculs 3D'!$E$32)),0)</f>
        <v>6.6085771591184977E-2</v>
      </c>
      <c r="T91" s="105">
        <f>IF(Body8Actif=TRUE,((((($B91*$T$4)+'Calculs 3D'!$C$13-OffsetX)/Ecran)*'Calculs 3D'!$C$31)+(((($C91*$T$4)+'Calculs 3D'!$D$13-OffsetY)/Ecran)*'Calculs 3D'!$D$31)+(((($D91*$T$4)+'Calculs 3D'!$E$13-OffsetZ)/Ecran)*'Calculs 3D'!$E$31)),0)</f>
        <v>0.17014838963263645</v>
      </c>
      <c r="U91" s="105">
        <f>IF(Body8Actif=TRUE,((((($B91*$T$4)+'Calculs 3D'!$C$13-OffsetX)/Ecran)*'Calculs 3D'!$C$32)+(((($C91*$T$4)+'Calculs 3D'!$D$13-OffsetY)/Ecran)*'Calculs 3D'!$D$32)+(((($D91*$T$4)+'Calculs 3D'!$E$13-OffsetZ)/Ecran)*'Calculs 3D'!$E$32)),0)</f>
        <v>-0.12922151912980387</v>
      </c>
      <c r="V91" s="105">
        <f>IF(Body9Actif=TRUE,((((($B91*$V$4)+'Calculs 3D'!$C$14-OffsetX)/Ecran)*'Calculs 3D'!$C$31)+(((($C91*$V$4)+'Calculs 3D'!$D$14-OffsetY)/Ecran)*'Calculs 3D'!$D$31)+(((($D91*$V$4)+'Calculs 3D'!$E$14-OffsetZ)/Ecran)*'Calculs 3D'!$E$31)),0)</f>
        <v>-0.17491497759816008</v>
      </c>
      <c r="W91" s="105">
        <f>IF(Body9Actif=TRUE,((((($B91*$V$4)+'Calculs 3D'!$C$14-OffsetX)/Ecran)*'Calculs 3D'!$C$32)+(((($C91*$V$4)+'Calculs 3D'!$D$14-OffsetY)/Ecran)*'Calculs 3D'!$D$32)+(((($D91*$V$4)+'Calculs 3D'!$E$14-OffsetZ)/Ecran)*'Calculs 3D'!$E$32)),0)</f>
        <v>0.29054542792593191</v>
      </c>
      <c r="X91" s="105">
        <f>IF(Body10Actif=TRUE,((((($B91*$X$4)+'Calculs 3D'!$C$15-OffsetX)/Ecran)*'Calculs 3D'!$C$31)+(((($C91*$X$4)+'Calculs 3D'!$D$15-OffsetY)/Ecran)*'Calculs 3D'!$D$31)+(((($D91*$X$4)+'Calculs 3D'!$E$15-OffsetZ)/Ecran)*'Calculs 3D'!$E$31)),0)</f>
        <v>-1.130063253165918E-2</v>
      </c>
      <c r="Y91" s="105">
        <f>IF(Body10Actif=TRUE,((((($B91*$X$4)+'Calculs 3D'!$C$15-OffsetX)/Ecran)*'Calculs 3D'!$C$32)+(((($C91*$X$4)+'Calculs 3D'!$D$15-OffsetY)/Ecran)*'Calculs 3D'!$D$32)+(((($D91*$X$4)+'Calculs 3D'!$E$15-OffsetZ)/Ecran)*'Calculs 3D'!$E$32)),0)</f>
        <v>0.29537003478897927</v>
      </c>
    </row>
    <row r="92" spans="2:25" x14ac:dyDescent="0.3">
      <c r="B92" s="103">
        <v>0.65999999999999992</v>
      </c>
      <c r="C92" s="103">
        <v>-1.6171959604793783E-16</v>
      </c>
      <c r="D92" s="103">
        <v>0.75</v>
      </c>
      <c r="F92" s="105">
        <f>IF(Body1Actif=TRUE,((((($B92*$F$4)+'Calculs 3D'!$C$6-OffsetX)/Ecran)*'Calculs 3D'!$C$31)+(((($C92*$F$4)+'Calculs 3D'!$D$6-OffsetY)/Ecran)*'Calculs 3D'!$D$31)+(((($D92*$F$4)+'Calculs 3D'!$E$6-OffsetZ)/Ecran)*'Calculs 3D'!$E$31)),0)</f>
        <v>5.2595828410172435E-2</v>
      </c>
      <c r="G92" s="105">
        <f>IF(Body1Actif=TRUE,((((($B92*$F$4)+'Calculs 3D'!$C$6-OffsetX)/Ecran)*'Calculs 3D'!$C$32)+(((($C92*$F$4)+'Calculs 3D'!$D$6-OffsetY)/Ecran)*'Calculs 3D'!$D$32)+(((($D92*$F$4)+'Calculs 3D'!$E$6-OffsetZ)/Ecran)*'Calculs 3D'!$E$32)),0)</f>
        <v>0.26528625913112064</v>
      </c>
      <c r="H92" s="105">
        <f>IF(Body2Actif=TRUE,((((($B92*$H$4)+'Calculs 3D'!$C$7-OffsetX)/Ecran)*'Calculs 3D'!$C$31)+(((($C92*$H$4)+'Calculs 3D'!$D$7-OffsetY)/Ecran)*'Calculs 3D'!$D$31)+(((($D92*$H$4)+'Calculs 3D'!$E$7-OffsetZ)/Ecran)*'Calculs 3D'!$E$31)),0)</f>
        <v>3.3108849197236952E-2</v>
      </c>
      <c r="I92" s="105">
        <f>IF(Body2Actif=TRUE,((((($B92*$H$4)+'Calculs 3D'!$C$7-OffsetX)/Ecran)*'Calculs 3D'!$C$32)+(((($C92*$H$4)+'Calculs 3D'!$D$7-OffsetY)/Ecran)*'Calculs 3D'!$D$32)+(((($D92*$H$4)+'Calculs 3D'!$E$7-OffsetZ)/Ecran)*'Calculs 3D'!$E$32)),0)</f>
        <v>3.5867417538530233E-2</v>
      </c>
      <c r="J92" s="105">
        <f>IF(Body3Actif=TRUE,((((($B92*$J$4)+'Calculs 3D'!$C$8-OffsetX)/Ecran)*'Calculs 3D'!$C$31)+(((($C92*$J$4)+'Calculs 3D'!$D$8-OffsetY)/Ecran)*'Calculs 3D'!$D$31)+(((($D92*$J$4)+'Calculs 3D'!$E$8-OffsetZ)/Ecran)*'Calculs 3D'!$E$31)),0)</f>
        <v>0.22215348794652456</v>
      </c>
      <c r="K92" s="105">
        <f>IF(Body3Actif=TRUE,((((($B92*$J$4)+'Calculs 3D'!$C$8-OffsetX)/Ecran)*'Calculs 3D'!$C$32)+(((($C92*$J$4)+'Calculs 3D'!$D$8-OffsetY)/Ecran)*'Calculs 3D'!$D$32)+(((($D92*$J$4)+'Calculs 3D'!$E$8-OffsetZ)/Ecran)*'Calculs 3D'!$E$32)),0)</f>
        <v>-7.8401824294514241E-2</v>
      </c>
      <c r="L92" s="105">
        <f>IF(Body4Actif=TRUE,((((($B92*$L$4)+'Calculs 3D'!$C$9-OffsetX)/Ecran)*'Calculs 3D'!$C$31)+(((($C92*$L$4)+'Calculs 3D'!$D$9-OffsetY)/Ecran)*'Calculs 3D'!$D$31)+(((($D92*$L$4)+'Calculs 3D'!$E$9-OffsetZ)/Ecran)*'Calculs 3D'!$E$31)),0)</f>
        <v>-8.9983480354385539E-2</v>
      </c>
      <c r="M92" s="105">
        <f>IF(Body4Actif=TRUE,((((($B92*$L$4)+'Calculs 3D'!$C$9-OffsetX)/Ecran)*'Calculs 3D'!$C$32)+(((($C92*$L$4)+'Calculs 3D'!$D$9-OffsetY)/Ecran)*'Calculs 3D'!$D$32)+(((($D92*$L$4)+'Calculs 3D'!$E$9-OffsetZ)/Ecran)*'Calculs 3D'!$E$32)),0)</f>
        <v>-0.168904055121046</v>
      </c>
      <c r="N92" s="105">
        <f>IF(Body5Actif=TRUE,((((($B92*$N$4)+'Calculs 3D'!$C$10-OffsetX)/Ecran)*'Calculs 3D'!$C$31)+(((($C92*$N$4)+'Calculs 3D'!$D$10-OffsetY)/Ecran)*'Calculs 3D'!$D$31)+(((($D92*$N$4)+'Calculs 3D'!$E$10-OffsetZ)/Ecran)*'Calculs 3D'!$E$31)),0)</f>
        <v>6.0414290535167649E-3</v>
      </c>
      <c r="O92" s="105">
        <f>IF(Body5Actif=TRUE,((((($B92*$N$4)+'Calculs 3D'!$C$10-OffsetX)/Ecran)*'Calculs 3D'!$C$32)+(((($C92*$N$4)+'Calculs 3D'!$D$10-OffsetY)/Ecran)*'Calculs 3D'!$D$32)+(((($D92*$N$4)+'Calculs 3D'!$E$10-OffsetZ)/Ecran)*'Calculs 3D'!$E$32)),0)</f>
        <v>-1.5359802159869576E-3</v>
      </c>
      <c r="P92" s="105">
        <f>IF(Body6Actif=TRUE,((((($B92*$P$4)+'Calculs 3D'!$C$11-OffsetX)/Ecran)*'Calculs 3D'!$C$31)+(((($C92*$P$4)+'Calculs 3D'!$D$11-OffsetY)/Ecran)*'Calculs 3D'!$D$31)+(((($D92*$P$4)+'Calculs 3D'!$E$11-OffsetZ)/Ecran)*'Calculs 3D'!$E$31)),0)</f>
        <v>0.17819168992277087</v>
      </c>
      <c r="Q92" s="105">
        <f>IF(Body6Actif=TRUE,((((($B92*$P$4)+'Calculs 3D'!$C$11-OffsetX)/Ecran)*'Calculs 3D'!$C$32)+(((($C92*$P$4)+'Calculs 3D'!$D$11-OffsetY)/Ecran)*'Calculs 3D'!$D$32)+(((($D92*$P$4)+'Calculs 3D'!$E$11-OffsetZ)/Ecran)*'Calculs 3D'!$E$32)),0)</f>
        <v>0.13804635315137559</v>
      </c>
      <c r="R92" s="105">
        <f>IF(Body7Actif=TRUE,((((($B92*$R$4)+'Calculs 3D'!$C$12-OffsetX)/Ecran)*'Calculs 3D'!$C$31)+(((($C92*$R$4)+'Calculs 3D'!$D$12-OffsetY)/Ecran)*'Calculs 3D'!$D$31)+(((($D92*$R$4)+'Calculs 3D'!$E$12-OffsetZ)/Ecran)*'Calculs 3D'!$E$31)),0)</f>
        <v>-0.27319137013081574</v>
      </c>
      <c r="S92" s="105">
        <f>IF(Body7Actif=TRUE,((((($B92*$R$4)+'Calculs 3D'!$C$12-OffsetX)/Ecran)*'Calculs 3D'!$C$32)+(((($C92*$R$4)+'Calculs 3D'!$D$12-OffsetY)/Ecran)*'Calculs 3D'!$D$32)+(((($D92*$R$4)+'Calculs 3D'!$E$12-OffsetZ)/Ecran)*'Calculs 3D'!$E$32)),0)</f>
        <v>6.7356363170294323E-2</v>
      </c>
      <c r="T92" s="105">
        <f>IF(Body8Actif=TRUE,((((($B92*$T$4)+'Calculs 3D'!$C$13-OffsetX)/Ecran)*'Calculs 3D'!$C$31)+(((($C92*$T$4)+'Calculs 3D'!$D$13-OffsetY)/Ecran)*'Calculs 3D'!$D$31)+(((($D92*$T$4)+'Calculs 3D'!$E$13-OffsetZ)/Ecran)*'Calculs 3D'!$E$31)),0)</f>
        <v>0.17089271454736357</v>
      </c>
      <c r="U92" s="105">
        <f>IF(Body8Actif=TRUE,((((($B92*$T$4)+'Calculs 3D'!$C$13-OffsetX)/Ecran)*'Calculs 3D'!$C$32)+(((($C92*$T$4)+'Calculs 3D'!$D$13-OffsetY)/Ecran)*'Calculs 3D'!$D$32)+(((($D92*$T$4)+'Calculs 3D'!$E$13-OffsetZ)/Ecran)*'Calculs 3D'!$E$32)),0)</f>
        <v>-0.12876326695468138</v>
      </c>
      <c r="V92" s="105">
        <f>IF(Body9Actif=TRUE,((((($B92*$V$4)+'Calculs 3D'!$C$14-OffsetX)/Ecran)*'Calculs 3D'!$C$31)+(((($C92*$V$4)+'Calculs 3D'!$D$14-OffsetY)/Ecran)*'Calculs 3D'!$D$31)+(((($D92*$V$4)+'Calculs 3D'!$E$14-OffsetZ)/Ecran)*'Calculs 3D'!$E$31)),0)</f>
        <v>-0.17388221491370046</v>
      </c>
      <c r="W92" s="105">
        <f>IF(Body9Actif=TRUE,((((($B92*$V$4)+'Calculs 3D'!$C$14-OffsetX)/Ecran)*'Calculs 3D'!$C$32)+(((($C92*$V$4)+'Calculs 3D'!$D$14-OffsetY)/Ecran)*'Calculs 3D'!$D$32)+(((($D92*$V$4)+'Calculs 3D'!$E$14-OffsetZ)/Ecran)*'Calculs 3D'!$E$32)),0)</f>
        <v>0.2911812601239076</v>
      </c>
      <c r="X92" s="105">
        <f>IF(Body10Actif=TRUE,((((($B92*$X$4)+'Calculs 3D'!$C$15-OffsetX)/Ecran)*'Calculs 3D'!$C$31)+(((($C92*$X$4)+'Calculs 3D'!$D$15-OffsetY)/Ecran)*'Calculs 3D'!$D$31)+(((($D92*$X$4)+'Calculs 3D'!$E$15-OffsetZ)/Ecran)*'Calculs 3D'!$E$31)),0)</f>
        <v>-9.7417246671648861E-3</v>
      </c>
      <c r="Y92" s="105">
        <f>IF(Body10Actif=TRUE,((((($B92*$X$4)+'Calculs 3D'!$C$15-OffsetX)/Ecran)*'Calculs 3D'!$C$32)+(((($C92*$X$4)+'Calculs 3D'!$D$15-OffsetY)/Ecran)*'Calculs 3D'!$D$32)+(((($D92*$X$4)+'Calculs 3D'!$E$15-OffsetZ)/Ecran)*'Calculs 3D'!$E$32)),0)</f>
        <v>0.29632979430473061</v>
      </c>
    </row>
    <row r="93" spans="2:25" x14ac:dyDescent="0.3">
      <c r="B93" s="19"/>
      <c r="C93" s="19"/>
      <c r="D93" s="19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2:25" x14ac:dyDescent="0.3">
      <c r="B94" s="101">
        <v>0.30000000000000004</v>
      </c>
      <c r="C94" s="101">
        <v>0</v>
      </c>
      <c r="D94" s="101">
        <v>0.95</v>
      </c>
      <c r="F94" s="105">
        <f>IF(Body1Actif=TRUE,((((($B94*$F$4)+'Calculs 3D'!$C$6-OffsetX)/Ecran)*'Calculs 3D'!$C$31)+(((($C94*$F$4)+'Calculs 3D'!$D$6-OffsetY)/Ecran)*'Calculs 3D'!$D$31)+(((($D94*$F$4)+'Calculs 3D'!$E$6-OffsetZ)/Ecran)*'Calculs 3D'!$E$31)),0)</f>
        <v>5.1495835776183989E-2</v>
      </c>
      <c r="G94" s="105">
        <f>IF(Body1Actif=TRUE,((((($B94*$F$4)+'Calculs 3D'!$C$6-OffsetX)/Ecran)*'Calculs 3D'!$C$32)+(((($C94*$F$4)+'Calculs 3D'!$D$6-OffsetY)/Ecran)*'Calculs 3D'!$D$32)+(((($D94*$F$4)+'Calculs 3D'!$E$6-OffsetZ)/Ecran)*'Calculs 3D'!$E$32)),0)</f>
        <v>0.26637353004405923</v>
      </c>
      <c r="H94" s="105">
        <f>IF(Body2Actif=TRUE,((((($B94*$H$4)+'Calculs 3D'!$C$7-OffsetX)/Ecran)*'Calculs 3D'!$C$31)+(((($C94*$H$4)+'Calculs 3D'!$D$7-OffsetY)/Ecran)*'Calculs 3D'!$D$31)+(((($D94*$H$4)+'Calculs 3D'!$E$7-OffsetZ)/Ecran)*'Calculs 3D'!$E$31)),0)</f>
        <v>2.8821213823222752E-2</v>
      </c>
      <c r="I94" s="105">
        <f>IF(Body2Actif=TRUE,((((($B94*$H$4)+'Calculs 3D'!$C$7-OffsetX)/Ecran)*'Calculs 3D'!$C$32)+(((($C94*$H$4)+'Calculs 3D'!$D$7-OffsetY)/Ecran)*'Calculs 3D'!$D$32)+(((($D94*$H$4)+'Calculs 3D'!$E$7-OffsetZ)/Ecran)*'Calculs 3D'!$E$32)),0)</f>
        <v>4.010546521576687E-2</v>
      </c>
      <c r="J94" s="105">
        <f>IF(Body3Actif=TRUE,((((($B94*$J$4)+'Calculs 3D'!$C$8-OffsetX)/Ecran)*'Calculs 3D'!$C$31)+(((($C94*$J$4)+'Calculs 3D'!$D$8-OffsetY)/Ecran)*'Calculs 3D'!$D$31)+(((($D94*$J$4)+'Calculs 3D'!$E$8-OffsetZ)/Ecran)*'Calculs 3D'!$E$31)),0)</f>
        <v>0.22024796754235243</v>
      </c>
      <c r="K94" s="105">
        <f>IF(Body3Actif=TRUE,((((($B94*$J$4)+'Calculs 3D'!$C$8-OffsetX)/Ecran)*'Calculs 3D'!$C$32)+(((($C94*$J$4)+'Calculs 3D'!$D$8-OffsetY)/Ecran)*'Calculs 3D'!$D$32)+(((($D94*$J$4)+'Calculs 3D'!$E$8-OffsetZ)/Ecran)*'Calculs 3D'!$E$32)),0)</f>
        <v>-7.6518341764312992E-2</v>
      </c>
      <c r="L94" s="105">
        <f>IF(Body4Actif=TRUE,((((($B94*$L$4)+'Calculs 3D'!$C$9-OffsetX)/Ecran)*'Calculs 3D'!$C$31)+(((($C94*$L$4)+'Calculs 3D'!$D$9-OffsetY)/Ecran)*'Calculs 3D'!$D$31)+(((($D94*$L$4)+'Calculs 3D'!$E$9-OffsetZ)/Ecran)*'Calculs 3D'!$E$31)),0)</f>
        <v>-9.2461214420181806E-2</v>
      </c>
      <c r="M94" s="105">
        <f>IF(Body4Actif=TRUE,((((($B94*$L$4)+'Calculs 3D'!$C$9-OffsetX)/Ecran)*'Calculs 3D'!$C$32)+(((($C94*$L$4)+'Calculs 3D'!$D$9-OffsetY)/Ecran)*'Calculs 3D'!$D$32)+(((($D94*$L$4)+'Calculs 3D'!$E$9-OffsetZ)/Ecran)*'Calculs 3D'!$E$32)),0)</f>
        <v>-0.16645497673952148</v>
      </c>
      <c r="N94" s="105">
        <f>IF(Body5Actif=TRUE,((((($B94*$N$4)+'Calculs 3D'!$C$10-OffsetX)/Ecran)*'Calculs 3D'!$C$31)+(((($C94*$N$4)+'Calculs 3D'!$D$10-OffsetY)/Ecran)*'Calculs 3D'!$D$31)+(((($D94*$N$4)+'Calculs 3D'!$E$10-OffsetZ)/Ecran)*'Calculs 3D'!$E$31)),0)</f>
        <v>3.2128681547562684E-3</v>
      </c>
      <c r="O94" s="105">
        <f>IF(Body5Actif=TRUE,((((($B94*$N$4)+'Calculs 3D'!$C$10-OffsetX)/Ecran)*'Calculs 3D'!$C$32)+(((($C94*$N$4)+'Calculs 3D'!$D$10-OffsetY)/Ecran)*'Calculs 3D'!$D$32)+(((($D94*$N$4)+'Calculs 3D'!$E$10-OffsetZ)/Ecran)*'Calculs 3D'!$E$32)),0)</f>
        <v>1.2598675885084152E-3</v>
      </c>
      <c r="P94" s="105">
        <f>IF(Body6Actif=TRUE,((((($B94*$P$4)+'Calculs 3D'!$C$11-OffsetX)/Ecran)*'Calculs 3D'!$C$31)+(((($C94*$P$4)+'Calculs 3D'!$D$11-OffsetY)/Ecran)*'Calculs 3D'!$D$31)+(((($D94*$P$4)+'Calculs 3D'!$E$11-OffsetZ)/Ecran)*'Calculs 3D'!$E$31)),0)</f>
        <v>0.17409262229123268</v>
      </c>
      <c r="Q94" s="105">
        <f>IF(Body6Actif=TRUE,((((($B94*$P$4)+'Calculs 3D'!$C$11-OffsetX)/Ecran)*'Calculs 3D'!$C$32)+(((($C94*$P$4)+'Calculs 3D'!$D$11-OffsetY)/Ecran)*'Calculs 3D'!$D$32)+(((($D94*$P$4)+'Calculs 3D'!$E$11-OffsetZ)/Ecran)*'Calculs 3D'!$E$32)),0)</f>
        <v>0.14209801392457519</v>
      </c>
      <c r="R94" s="105">
        <f>IF(Body7Actif=TRUE,((((($B94*$R$4)+'Calculs 3D'!$C$12-OffsetX)/Ecran)*'Calculs 3D'!$C$31)+(((($C94*$R$4)+'Calculs 3D'!$D$12-OffsetY)/Ecran)*'Calculs 3D'!$D$31)+(((($D94*$R$4)+'Calculs 3D'!$E$12-OffsetZ)/Ecran)*'Calculs 3D'!$E$31)),0)</f>
        <v>-0.27730791415792921</v>
      </c>
      <c r="S94" s="105">
        <f>IF(Body7Actif=TRUE,((((($B94*$R$4)+'Calculs 3D'!$C$12-OffsetX)/Ecran)*'Calculs 3D'!$C$32)+(((($C94*$R$4)+'Calculs 3D'!$D$12-OffsetY)/Ecran)*'Calculs 3D'!$D$32)+(((($D94*$R$4)+'Calculs 3D'!$E$12-OffsetZ)/Ecran)*'Calculs 3D'!$E$32)),0)</f>
        <v>7.1425298219688946E-2</v>
      </c>
      <c r="T94" s="105">
        <f>IF(Body8Actif=TRUE,((((($B94*$T$4)+'Calculs 3D'!$C$13-OffsetX)/Ecran)*'Calculs 3D'!$C$31)+(((($C94*$T$4)+'Calculs 3D'!$D$13-OffsetY)/Ecran)*'Calculs 3D'!$D$31)+(((($D94*$T$4)+'Calculs 3D'!$E$13-OffsetZ)/Ecran)*'Calculs 3D'!$E$31)),0)</f>
        <v>0.1694080397821375</v>
      </c>
      <c r="U94" s="105">
        <f>IF(Body8Actif=TRUE,((((($B94*$T$4)+'Calculs 3D'!$C$13-OffsetX)/Ecran)*'Calculs 3D'!$C$32)+(((($C94*$T$4)+'Calculs 3D'!$D$13-OffsetY)/Ecran)*'Calculs 3D'!$D$32)+(((($D94*$T$4)+'Calculs 3D'!$E$13-OffsetZ)/Ecran)*'Calculs 3D'!$E$32)),0)</f>
        <v>-0.12729576286644836</v>
      </c>
      <c r="V94" s="105">
        <f>IF(Body9Actif=TRUE,((((($B94*$V$4)+'Calculs 3D'!$C$14-OffsetX)/Ecran)*'Calculs 3D'!$C$31)+(((($C94*$V$4)+'Calculs 3D'!$D$14-OffsetY)/Ecran)*'Calculs 3D'!$D$31)+(((($D94*$V$4)+'Calculs 3D'!$E$14-OffsetZ)/Ecran)*'Calculs 3D'!$E$31)),0)</f>
        <v>-0.17594222481763677</v>
      </c>
      <c r="W94" s="105">
        <f>IF(Body9Actif=TRUE,((((($B94*$V$4)+'Calculs 3D'!$C$14-OffsetX)/Ecran)*'Calculs 3D'!$C$32)+(((($C94*$V$4)+'Calculs 3D'!$D$14-OffsetY)/Ecran)*'Calculs 3D'!$D$32)+(((($D94*$V$4)+'Calculs 3D'!$E$14-OffsetZ)/Ecran)*'Calculs 3D'!$E$32)),0)</f>
        <v>0.29321744543979839</v>
      </c>
      <c r="X94" s="105">
        <f>IF(Body10Actif=TRUE,((((($B94*$X$4)+'Calculs 3D'!$C$15-OffsetX)/Ecran)*'Calculs 3D'!$C$31)+(((($C94*$X$4)+'Calculs 3D'!$D$15-OffsetY)/Ecran)*'Calculs 3D'!$D$31)+(((($D94*$X$4)+'Calculs 3D'!$E$15-OffsetZ)/Ecran)*'Calculs 3D'!$E$31)),0)</f>
        <v>-1.2851215054942328E-2</v>
      </c>
      <c r="Y94" s="105">
        <f>IF(Body10Actif=TRUE,((((($B94*$X$4)+'Calculs 3D'!$C$15-OffsetX)/Ecran)*'Calculs 3D'!$C$32)+(((($C94*$X$4)+'Calculs 3D'!$D$15-OffsetY)/Ecran)*'Calculs 3D'!$D$32)+(((($D94*$X$4)+'Calculs 3D'!$E$15-OffsetZ)/Ecran)*'Calculs 3D'!$E$32)),0)</f>
        <v>0.29940332257049174</v>
      </c>
    </row>
    <row r="95" spans="2:25" x14ac:dyDescent="0.3">
      <c r="B95" s="102">
        <v>0.28531695488854608</v>
      </c>
      <c r="C95" s="102">
        <v>9.2705098312484233E-2</v>
      </c>
      <c r="D95" s="102">
        <v>0.95</v>
      </c>
      <c r="F95" s="105">
        <f>IF(Body1Actif=TRUE,((((($B95*$F$4)+'Calculs 3D'!$C$6-OffsetX)/Ecran)*'Calculs 3D'!$C$31)+(((($C95*$F$4)+'Calculs 3D'!$D$6-OffsetY)/Ecran)*'Calculs 3D'!$D$31)+(((($D95*$F$4)+'Calculs 3D'!$E$6-OffsetZ)/Ecran)*'Calculs 3D'!$E$31)),0)</f>
        <v>5.1656774327674883E-2</v>
      </c>
      <c r="G95" s="105">
        <f>IF(Body1Actif=TRUE,((((($B95*$F$4)+'Calculs 3D'!$C$6-OffsetX)/Ecran)*'Calculs 3D'!$C$32)+(((($C95*$F$4)+'Calculs 3D'!$D$6-OffsetY)/Ecran)*'Calculs 3D'!$D$32)+(((($D95*$F$4)+'Calculs 3D'!$E$6-OffsetZ)/Ecran)*'Calculs 3D'!$E$32)),0)</f>
        <v>0.26656799268796838</v>
      </c>
      <c r="H95" s="105">
        <f>IF(Body2Actif=TRUE,((((($B95*$H$4)+'Calculs 3D'!$C$7-OffsetX)/Ecran)*'Calculs 3D'!$C$31)+(((($C95*$H$4)+'Calculs 3D'!$D$7-OffsetY)/Ecran)*'Calculs 3D'!$D$31)+(((($D95*$H$4)+'Calculs 3D'!$E$7-OffsetZ)/Ecran)*'Calculs 3D'!$E$31)),0)</f>
        <v>2.9448532411632703E-2</v>
      </c>
      <c r="I95" s="105">
        <f>IF(Body2Actif=TRUE,((((($B95*$H$4)+'Calculs 3D'!$C$7-OffsetX)/Ecran)*'Calculs 3D'!$C$32)+(((($C95*$H$4)+'Calculs 3D'!$D$7-OffsetY)/Ecran)*'Calculs 3D'!$D$32)+(((($D95*$H$4)+'Calculs 3D'!$E$7-OffsetZ)/Ecran)*'Calculs 3D'!$E$32)),0)</f>
        <v>4.0863456574241501E-2</v>
      </c>
      <c r="J95" s="105">
        <f>IF(Body3Actif=TRUE,((((($B95*$J$4)+'Calculs 3D'!$C$8-OffsetX)/Ecran)*'Calculs 3D'!$C$31)+(((($C95*$J$4)+'Calculs 3D'!$D$8-OffsetY)/Ecran)*'Calculs 3D'!$D$31)+(((($D95*$J$4)+'Calculs 3D'!$E$8-OffsetZ)/Ecran)*'Calculs 3D'!$E$31)),0)</f>
        <v>0.22052676185806697</v>
      </c>
      <c r="K95" s="105">
        <f>IF(Body3Actif=TRUE,((((($B95*$J$4)+'Calculs 3D'!$C$8-OffsetX)/Ecran)*'Calculs 3D'!$C$32)+(((($C95*$J$4)+'Calculs 3D'!$D$8-OffsetY)/Ecran)*'Calculs 3D'!$D$32)+(((($D95*$J$4)+'Calculs 3D'!$E$8-OffsetZ)/Ecran)*'Calculs 3D'!$E$32)),0)</f>
        <v>-7.6181473566864721E-2</v>
      </c>
      <c r="L95" s="105">
        <f>IF(Body4Actif=TRUE,((((($B95*$L$4)+'Calculs 3D'!$C$9-OffsetX)/Ecran)*'Calculs 3D'!$C$31)+(((($C95*$L$4)+'Calculs 3D'!$D$9-OffsetY)/Ecran)*'Calculs 3D'!$D$31)+(((($D95*$L$4)+'Calculs 3D'!$E$9-OffsetZ)/Ecran)*'Calculs 3D'!$E$31)),0)</f>
        <v>-9.2098700236715847E-2</v>
      </c>
      <c r="M95" s="105">
        <f>IF(Body4Actif=TRUE,((((($B95*$L$4)+'Calculs 3D'!$C$9-OffsetX)/Ecran)*'Calculs 3D'!$C$32)+(((($C95*$L$4)+'Calculs 3D'!$D$9-OffsetY)/Ecran)*'Calculs 3D'!$D$32)+(((($D95*$L$4)+'Calculs 3D'!$E$9-OffsetZ)/Ecran)*'Calculs 3D'!$E$32)),0)</f>
        <v>-0.16601694951783788</v>
      </c>
      <c r="N95" s="105">
        <f>IF(Body5Actif=TRUE,((((($B95*$N$4)+'Calculs 3D'!$C$10-OffsetX)/Ecran)*'Calculs 3D'!$C$31)+(((($C95*$N$4)+'Calculs 3D'!$D$10-OffsetY)/Ecran)*'Calculs 3D'!$D$31)+(((($D95*$N$4)+'Calculs 3D'!$E$10-OffsetZ)/Ecran)*'Calculs 3D'!$E$31)),0)</f>
        <v>3.6267113749601271E-3</v>
      </c>
      <c r="O95" s="105">
        <f>IF(Body5Actif=TRUE,((((($B95*$N$4)+'Calculs 3D'!$C$10-OffsetX)/Ecran)*'Calculs 3D'!$C$32)+(((($C95*$N$4)+'Calculs 3D'!$D$10-OffsetY)/Ecran)*'Calculs 3D'!$D$32)+(((($D95*$N$4)+'Calculs 3D'!$E$10-OffsetZ)/Ecran)*'Calculs 3D'!$E$32)),0)</f>
        <v>1.7599158741377977E-3</v>
      </c>
      <c r="P95" s="105">
        <f>IF(Body6Actif=TRUE,((((($B95*$P$4)+'Calculs 3D'!$C$11-OffsetX)/Ecran)*'Calculs 3D'!$C$31)+(((($C95*$P$4)+'Calculs 3D'!$D$11-OffsetY)/Ecran)*'Calculs 3D'!$D$31)+(((($D95*$P$4)+'Calculs 3D'!$E$11-OffsetZ)/Ecran)*'Calculs 3D'!$E$31)),0)</f>
        <v>0.17469235176823017</v>
      </c>
      <c r="Q95" s="105">
        <f>IF(Body6Actif=TRUE,((((($B95*$P$4)+'Calculs 3D'!$C$11-OffsetX)/Ecran)*'Calculs 3D'!$C$32)+(((($C95*$P$4)+'Calculs 3D'!$D$11-OffsetY)/Ecran)*'Calculs 3D'!$D$32)+(((($D95*$P$4)+'Calculs 3D'!$E$11-OffsetZ)/Ecran)*'Calculs 3D'!$E$32)),0)</f>
        <v>0.14282266925822126</v>
      </c>
      <c r="R95" s="105">
        <f>IF(Body7Actif=TRUE,((((($B95*$R$4)+'Calculs 3D'!$C$12-OffsetX)/Ecran)*'Calculs 3D'!$C$31)+(((($C95*$R$4)+'Calculs 3D'!$D$12-OffsetY)/Ecran)*'Calculs 3D'!$D$31)+(((($D95*$R$4)+'Calculs 3D'!$E$12-OffsetZ)/Ecran)*'Calculs 3D'!$E$31)),0)</f>
        <v>-0.27670562773127383</v>
      </c>
      <c r="S95" s="105">
        <f>IF(Body7Actif=TRUE,((((($B95*$R$4)+'Calculs 3D'!$C$12-OffsetX)/Ecran)*'Calculs 3D'!$C$32)+(((($C95*$R$4)+'Calculs 3D'!$D$12-OffsetY)/Ecran)*'Calculs 3D'!$D$32)+(((($D95*$R$4)+'Calculs 3D'!$E$12-OffsetZ)/Ecran)*'Calculs 3D'!$E$32)),0)</f>
        <v>7.2153043125014499E-2</v>
      </c>
      <c r="T95" s="105">
        <f>IF(Body8Actif=TRUE,((((($B95*$T$4)+'Calculs 3D'!$C$13-OffsetX)/Ecran)*'Calculs 3D'!$C$31)+(((($C95*$T$4)+'Calculs 3D'!$D$13-OffsetY)/Ecran)*'Calculs 3D'!$D$31)+(((($D95*$T$4)+'Calculs 3D'!$E$13-OffsetZ)/Ecran)*'Calculs 3D'!$E$31)),0)</f>
        <v>0.16962526069686693</v>
      </c>
      <c r="U95" s="105">
        <f>IF(Body8Actif=TRUE,((((($B95*$T$4)+'Calculs 3D'!$C$13-OffsetX)/Ecran)*'Calculs 3D'!$C$32)+(((($C95*$T$4)+'Calculs 3D'!$D$13-OffsetY)/Ecran)*'Calculs 3D'!$D$32)+(((($D95*$T$4)+'Calculs 3D'!$E$13-OffsetZ)/Ecran)*'Calculs 3D'!$E$32)),0)</f>
        <v>-0.12703329403595798</v>
      </c>
      <c r="V95" s="105">
        <f>IF(Body9Actif=TRUE,((((($B95*$V$4)+'Calculs 3D'!$C$14-OffsetX)/Ecran)*'Calculs 3D'!$C$31)+(((($C95*$V$4)+'Calculs 3D'!$D$14-OffsetY)/Ecran)*'Calculs 3D'!$D$31)+(((($D95*$V$4)+'Calculs 3D'!$E$14-OffsetZ)/Ecran)*'Calculs 3D'!$E$31)),0)</f>
        <v>-0.17564082733573336</v>
      </c>
      <c r="W95" s="105">
        <f>IF(Body9Actif=TRUE,((((($B95*$V$4)+'Calculs 3D'!$C$14-OffsetX)/Ecran)*'Calculs 3D'!$C$32)+(((($C95*$V$4)+'Calculs 3D'!$D$14-OffsetY)/Ecran)*'Calculs 3D'!$D$32)+(((($D95*$V$4)+'Calculs 3D'!$E$14-OffsetZ)/Ecran)*'Calculs 3D'!$E$32)),0)</f>
        <v>0.29358162512611674</v>
      </c>
      <c r="X95" s="105">
        <f>IF(Body10Actif=TRUE,((((($B95*$X$4)+'Calculs 3D'!$C$15-OffsetX)/Ecran)*'Calculs 3D'!$C$31)+(((($C95*$X$4)+'Calculs 3D'!$D$15-OffsetY)/Ecran)*'Calculs 3D'!$D$31)+(((($D95*$X$4)+'Calculs 3D'!$E$15-OffsetZ)/Ecran)*'Calculs 3D'!$E$31)),0)</f>
        <v>-1.2396269391288933E-2</v>
      </c>
      <c r="Y95" s="105">
        <f>IF(Body10Actif=TRUE,((((($B95*$X$4)+'Calculs 3D'!$C$15-OffsetX)/Ecran)*'Calculs 3D'!$C$32)+(((($C95*$X$4)+'Calculs 3D'!$D$15-OffsetY)/Ecran)*'Calculs 3D'!$D$32)+(((($D95*$X$4)+'Calculs 3D'!$E$15-OffsetZ)/Ecran)*'Calculs 3D'!$E$32)),0)</f>
        <v>0.29995303508976978</v>
      </c>
    </row>
    <row r="96" spans="2:25" x14ac:dyDescent="0.3">
      <c r="B96" s="102">
        <v>0.24270509831248427</v>
      </c>
      <c r="C96" s="102">
        <v>0.17633557568774197</v>
      </c>
      <c r="D96" s="102">
        <v>0.95</v>
      </c>
      <c r="F96" s="105">
        <f>IF(Body1Actif=TRUE,((((($B96*$F$4)+'Calculs 3D'!$C$6-OffsetX)/Ecran)*'Calculs 3D'!$C$31)+(((($C96*$F$4)+'Calculs 3D'!$D$6-OffsetY)/Ecran)*'Calculs 3D'!$D$31)+(((($D96*$F$4)+'Calculs 3D'!$E$6-OffsetZ)/Ecran)*'Calculs 3D'!$E$31)),0)</f>
        <v>5.1712229973159253E-2</v>
      </c>
      <c r="G96" s="105">
        <f>IF(Body1Actif=TRUE,((((($B96*$F$4)+'Calculs 3D'!$C$6-OffsetX)/Ecran)*'Calculs 3D'!$C$32)+(((($C96*$F$4)+'Calculs 3D'!$D$6-OffsetY)/Ecran)*'Calculs 3D'!$D$32)+(((($D96*$F$4)+'Calculs 3D'!$E$6-OffsetZ)/Ecran)*'Calculs 3D'!$E$32)),0)</f>
        <v>0.26678355618930777</v>
      </c>
      <c r="H96" s="105">
        <f>IF(Body2Actif=TRUE,((((($B96*$H$4)+'Calculs 3D'!$C$7-OffsetX)/Ecran)*'Calculs 3D'!$C$31)+(((($C96*$H$4)+'Calculs 3D'!$D$7-OffsetY)/Ecran)*'Calculs 3D'!$D$31)+(((($D96*$H$4)+'Calculs 3D'!$E$7-OffsetZ)/Ecran)*'Calculs 3D'!$E$31)),0)</f>
        <v>2.9664691665722824E-2</v>
      </c>
      <c r="I96" s="105">
        <f>IF(Body2Actif=TRUE,((((($B96*$H$4)+'Calculs 3D'!$C$7-OffsetX)/Ecran)*'Calculs 3D'!$C$32)+(((($C96*$H$4)+'Calculs 3D'!$D$7-OffsetY)/Ecran)*'Calculs 3D'!$D$32)+(((($D96*$H$4)+'Calculs 3D'!$E$7-OffsetZ)/Ecran)*'Calculs 3D'!$E$32)),0)</f>
        <v>4.1703696467792477E-2</v>
      </c>
      <c r="J96" s="105">
        <f>IF(Body3Actif=TRUE,((((($B96*$J$4)+'Calculs 3D'!$C$8-OffsetX)/Ecran)*'Calculs 3D'!$C$31)+(((($C96*$J$4)+'Calculs 3D'!$D$8-OffsetY)/Ecran)*'Calculs 3D'!$D$31)+(((($D96*$J$4)+'Calculs 3D'!$E$8-OffsetZ)/Ecran)*'Calculs 3D'!$E$31)),0)</f>
        <v>0.220622827832267</v>
      </c>
      <c r="K96" s="105">
        <f>IF(Body3Actif=TRUE,((((($B96*$J$4)+'Calculs 3D'!$C$8-OffsetX)/Ecran)*'Calculs 3D'!$C$32)+(((($C96*$J$4)+'Calculs 3D'!$D$8-OffsetY)/Ecran)*'Calculs 3D'!$D$32)+(((($D96*$J$4)+'Calculs 3D'!$E$8-OffsetZ)/Ecran)*'Calculs 3D'!$E$32)),0)</f>
        <v>-7.5808052293389716E-2</v>
      </c>
      <c r="L96" s="105">
        <f>IF(Body4Actif=TRUE,((((($B96*$L$4)+'Calculs 3D'!$C$9-OffsetX)/Ecran)*'Calculs 3D'!$C$31)+(((($C96*$L$4)+'Calculs 3D'!$D$9-OffsetY)/Ecran)*'Calculs 3D'!$D$31)+(((($D96*$L$4)+'Calculs 3D'!$E$9-OffsetZ)/Ecran)*'Calculs 3D'!$E$31)),0)</f>
        <v>-9.1973786362102766E-2</v>
      </c>
      <c r="M96" s="105">
        <f>IF(Body4Actif=TRUE,((((($B96*$L$4)+'Calculs 3D'!$C$9-OffsetX)/Ecran)*'Calculs 3D'!$C$32)+(((($C96*$L$4)+'Calculs 3D'!$D$9-OffsetY)/Ecran)*'Calculs 3D'!$D$32)+(((($D96*$L$4)+'Calculs 3D'!$E$9-OffsetZ)/Ecran)*'Calculs 3D'!$E$32)),0)</f>
        <v>-0.16553139260217525</v>
      </c>
      <c r="N96" s="105">
        <f>IF(Body5Actif=TRUE,((((($B96*$N$4)+'Calculs 3D'!$C$10-OffsetX)/Ecran)*'Calculs 3D'!$C$31)+(((($C96*$N$4)+'Calculs 3D'!$D$10-OffsetY)/Ecran)*'Calculs 3D'!$D$31)+(((($D96*$N$4)+'Calculs 3D'!$E$10-OffsetZ)/Ecran)*'Calculs 3D'!$E$31)),0)</f>
        <v>3.7693120302607509E-3</v>
      </c>
      <c r="O96" s="105">
        <f>IF(Body5Actif=TRUE,((((($B96*$N$4)+'Calculs 3D'!$C$10-OffsetX)/Ecran)*'Calculs 3D'!$C$32)+(((($C96*$N$4)+'Calculs 3D'!$D$10-OffsetY)/Ecran)*'Calculs 3D'!$D$32)+(((($D96*$N$4)+'Calculs 3D'!$E$10-OffsetZ)/Ecran)*'Calculs 3D'!$E$32)),0)</f>
        <v>2.3142236687980211E-3</v>
      </c>
      <c r="P96" s="105">
        <f>IF(Body6Actif=TRUE,((((($B96*$P$4)+'Calculs 3D'!$C$11-OffsetX)/Ecran)*'Calculs 3D'!$C$31)+(((($C96*$P$4)+'Calculs 3D'!$D$11-OffsetY)/Ecran)*'Calculs 3D'!$D$31)+(((($D96*$P$4)+'Calculs 3D'!$E$11-OffsetZ)/Ecran)*'Calculs 3D'!$E$31)),0)</f>
        <v>0.17489900446240941</v>
      </c>
      <c r="Q96" s="105">
        <f>IF(Body6Actif=TRUE,((((($B96*$P$4)+'Calculs 3D'!$C$11-OffsetX)/Ecran)*'Calculs 3D'!$C$32)+(((($C96*$P$4)+'Calculs 3D'!$D$11-OffsetY)/Ecran)*'Calculs 3D'!$D$32)+(((($D96*$P$4)+'Calculs 3D'!$E$11-OffsetZ)/Ecran)*'Calculs 3D'!$E$32)),0)</f>
        <v>0.14362595588358495</v>
      </c>
      <c r="R96" s="105">
        <f>IF(Body7Actif=TRUE,((((($B96*$R$4)+'Calculs 3D'!$C$12-OffsetX)/Ecran)*'Calculs 3D'!$C$31)+(((($C96*$R$4)+'Calculs 3D'!$D$12-OffsetY)/Ecran)*'Calculs 3D'!$D$31)+(((($D96*$R$4)+'Calculs 3D'!$E$12-OffsetZ)/Ecran)*'Calculs 3D'!$E$31)),0)</f>
        <v>-0.27649809397228797</v>
      </c>
      <c r="S96" s="105">
        <f>IF(Body7Actif=TRUE,((((($B96*$R$4)+'Calculs 3D'!$C$12-OffsetX)/Ecran)*'Calculs 3D'!$C$32)+(((($C96*$R$4)+'Calculs 3D'!$D$12-OffsetY)/Ecran)*'Calculs 3D'!$D$32)+(((($D96*$R$4)+'Calculs 3D'!$E$12-OffsetZ)/Ecran)*'Calculs 3D'!$E$32)),0)</f>
        <v>7.2959754566967502E-2</v>
      </c>
      <c r="T96" s="105">
        <f>IF(Body8Actif=TRUE,((((($B96*$T$4)+'Calculs 3D'!$C$13-OffsetX)/Ecran)*'Calculs 3D'!$C$31)+(((($C96*$T$4)+'Calculs 3D'!$D$13-OffsetY)/Ecran)*'Calculs 3D'!$D$31)+(((($D96*$T$4)+'Calculs 3D'!$E$13-OffsetZ)/Ecran)*'Calculs 3D'!$E$31)),0)</f>
        <v>0.16970010992303075</v>
      </c>
      <c r="U96" s="105">
        <f>IF(Body8Actif=TRUE,((((($B96*$T$4)+'Calculs 3D'!$C$13-OffsetX)/Ecran)*'Calculs 3D'!$C$32)+(((($C96*$T$4)+'Calculs 3D'!$D$13-OffsetY)/Ecran)*'Calculs 3D'!$D$32)+(((($D96*$T$4)+'Calculs 3D'!$E$13-OffsetZ)/Ecran)*'Calculs 3D'!$E$32)),0)</f>
        <v>-0.12674234509607102</v>
      </c>
      <c r="V96" s="105">
        <f>IF(Body9Actif=TRUE,((((($B96*$V$4)+'Calculs 3D'!$C$14-OffsetX)/Ecran)*'Calculs 3D'!$C$31)+(((($C96*$V$4)+'Calculs 3D'!$D$14-OffsetY)/Ecran)*'Calculs 3D'!$D$31)+(((($D96*$V$4)+'Calculs 3D'!$E$14-OffsetZ)/Ecran)*'Calculs 3D'!$E$31)),0)</f>
        <v>-0.17553697284126024</v>
      </c>
      <c r="W96" s="105">
        <f>IF(Body9Actif=TRUE,((((($B96*$V$4)+'Calculs 3D'!$C$14-OffsetX)/Ecran)*'Calculs 3D'!$C$32)+(((($C96*$V$4)+'Calculs 3D'!$D$14-OffsetY)/Ecran)*'Calculs 3D'!$D$32)+(((($D96*$V$4)+'Calculs 3D'!$E$14-OffsetZ)/Ecran)*'Calculs 3D'!$E$32)),0)</f>
        <v>0.29398532141822398</v>
      </c>
      <c r="X96" s="105">
        <f>IF(Body10Actif=TRUE,((((($B96*$X$4)+'Calculs 3D'!$C$15-OffsetX)/Ecran)*'Calculs 3D'!$C$31)+(((($C96*$X$4)+'Calculs 3D'!$D$15-OffsetY)/Ecran)*'Calculs 3D'!$D$31)+(((($D96*$X$4)+'Calculs 3D'!$E$15-OffsetZ)/Ecran)*'Calculs 3D'!$E$31)),0)</f>
        <v>-1.2239505799194306E-2</v>
      </c>
      <c r="Y96" s="105">
        <f>IF(Body10Actif=TRUE,((((($B96*$X$4)+'Calculs 3D'!$C$15-OffsetX)/Ecran)*'Calculs 3D'!$C$32)+(((($C96*$X$4)+'Calculs 3D'!$D$15-OffsetY)/Ecran)*'Calculs 3D'!$D$32)+(((($D96*$X$4)+'Calculs 3D'!$E$15-OffsetZ)/Ecran)*'Calculs 3D'!$E$32)),0)</f>
        <v>0.30056239611152524</v>
      </c>
    </row>
    <row r="97" spans="2:25" x14ac:dyDescent="0.3">
      <c r="B97" s="102">
        <v>0.17633557568774197</v>
      </c>
      <c r="C97" s="102">
        <v>0.24270509831248427</v>
      </c>
      <c r="D97" s="102">
        <v>0.95</v>
      </c>
      <c r="F97" s="105">
        <f>IF(Body1Actif=TRUE,((((($B97*$F$4)+'Calculs 3D'!$C$6-OffsetX)/Ecran)*'Calculs 3D'!$C$31)+(((($C97*$F$4)+'Calculs 3D'!$D$6-OffsetY)/Ecran)*'Calculs 3D'!$D$31)+(((($D97*$F$4)+'Calculs 3D'!$E$6-OffsetZ)/Ecran)*'Calculs 3D'!$E$31)),0)</f>
        <v>5.1656774327674876E-2</v>
      </c>
      <c r="G97" s="105">
        <f>IF(Body1Actif=TRUE,((((($B97*$F$4)+'Calculs 3D'!$C$6-OffsetX)/Ecran)*'Calculs 3D'!$C$32)+(((($C97*$F$4)+'Calculs 3D'!$D$6-OffsetY)/Ecran)*'Calculs 3D'!$D$32)+(((($D97*$F$4)+'Calculs 3D'!$E$6-OffsetZ)/Ecran)*'Calculs 3D'!$E$32)),0)</f>
        <v>0.26699911969064721</v>
      </c>
      <c r="H97" s="105">
        <f>IF(Body2Actif=TRUE,((((($B97*$H$4)+'Calculs 3D'!$C$7-OffsetX)/Ecran)*'Calculs 3D'!$C$31)+(((($C97*$H$4)+'Calculs 3D'!$D$7-OffsetY)/Ecran)*'Calculs 3D'!$D$31)+(((($D97*$H$4)+'Calculs 3D'!$E$7-OffsetZ)/Ecran)*'Calculs 3D'!$E$31)),0)</f>
        <v>2.9448532411632707E-2</v>
      </c>
      <c r="I97" s="105">
        <f>IF(Body2Actif=TRUE,((((($B97*$H$4)+'Calculs 3D'!$C$7-OffsetX)/Ecran)*'Calculs 3D'!$C$32)+(((($C97*$H$4)+'Calculs 3D'!$D$7-OffsetY)/Ecran)*'Calculs 3D'!$D$32)+(((($D97*$H$4)+'Calculs 3D'!$E$7-OffsetZ)/Ecran)*'Calculs 3D'!$E$32)),0)</f>
        <v>4.254393636134346E-2</v>
      </c>
      <c r="J97" s="105">
        <f>IF(Body3Actif=TRUE,((((($B97*$J$4)+'Calculs 3D'!$C$8-OffsetX)/Ecran)*'Calculs 3D'!$C$31)+(((($C97*$J$4)+'Calculs 3D'!$D$8-OffsetY)/Ecran)*'Calculs 3D'!$D$31)+(((($D97*$J$4)+'Calculs 3D'!$E$8-OffsetZ)/Ecran)*'Calculs 3D'!$E$31)),0)</f>
        <v>0.22052676185806694</v>
      </c>
      <c r="K97" s="105">
        <f>IF(Body3Actif=TRUE,((((($B97*$J$4)+'Calculs 3D'!$C$8-OffsetX)/Ecran)*'Calculs 3D'!$C$32)+(((($C97*$J$4)+'Calculs 3D'!$D$8-OffsetY)/Ecran)*'Calculs 3D'!$D$32)+(((($D97*$J$4)+'Calculs 3D'!$E$8-OffsetZ)/Ecran)*'Calculs 3D'!$E$32)),0)</f>
        <v>-7.5434631019914711E-2</v>
      </c>
      <c r="L97" s="105">
        <f>IF(Body4Actif=TRUE,((((($B97*$L$4)+'Calculs 3D'!$C$9-OffsetX)/Ecran)*'Calculs 3D'!$C$31)+(((($C97*$L$4)+'Calculs 3D'!$D$9-OffsetY)/Ecran)*'Calculs 3D'!$D$31)+(((($D97*$L$4)+'Calculs 3D'!$E$9-OffsetZ)/Ecran)*'Calculs 3D'!$E$31)),0)</f>
        <v>-9.2098700236715833E-2</v>
      </c>
      <c r="M97" s="105">
        <f>IF(Body4Actif=TRUE,((((($B97*$L$4)+'Calculs 3D'!$C$9-OffsetX)/Ecran)*'Calculs 3D'!$C$32)+(((($C97*$L$4)+'Calculs 3D'!$D$9-OffsetY)/Ecran)*'Calculs 3D'!$D$32)+(((($D97*$L$4)+'Calculs 3D'!$E$9-OffsetZ)/Ecran)*'Calculs 3D'!$E$32)),0)</f>
        <v>-0.16504583568651265</v>
      </c>
      <c r="N97" s="105">
        <f>IF(Body5Actif=TRUE,((((($B97*$N$4)+'Calculs 3D'!$C$10-OffsetX)/Ecran)*'Calculs 3D'!$C$31)+(((($C97*$N$4)+'Calculs 3D'!$D$10-OffsetY)/Ecran)*'Calculs 3D'!$D$31)+(((($D97*$N$4)+'Calculs 3D'!$E$10-OffsetZ)/Ecran)*'Calculs 3D'!$E$31)),0)</f>
        <v>3.6267113749601275E-3</v>
      </c>
      <c r="O97" s="105">
        <f>IF(Body5Actif=TRUE,((((($B97*$N$4)+'Calculs 3D'!$C$10-OffsetX)/Ecran)*'Calculs 3D'!$C$32)+(((($C97*$N$4)+'Calculs 3D'!$D$10-OffsetY)/Ecran)*'Calculs 3D'!$D$32)+(((($D97*$N$4)+'Calculs 3D'!$E$10-OffsetZ)/Ecran)*'Calculs 3D'!$E$32)),0)</f>
        <v>2.8685314634582446E-3</v>
      </c>
      <c r="P97" s="105">
        <f>IF(Body6Actif=TRUE,((((($B97*$P$4)+'Calculs 3D'!$C$11-OffsetX)/Ecran)*'Calculs 3D'!$C$31)+(((($C97*$P$4)+'Calculs 3D'!$D$11-OffsetY)/Ecran)*'Calculs 3D'!$D$31)+(((($D97*$P$4)+'Calculs 3D'!$E$11-OffsetZ)/Ecran)*'Calculs 3D'!$E$31)),0)</f>
        <v>0.17469235176823017</v>
      </c>
      <c r="Q97" s="105">
        <f>IF(Body6Actif=TRUE,((((($B97*$P$4)+'Calculs 3D'!$C$11-OffsetX)/Ecran)*'Calculs 3D'!$C$32)+(((($C97*$P$4)+'Calculs 3D'!$D$11-OffsetY)/Ecran)*'Calculs 3D'!$D$32)+(((($D97*$P$4)+'Calculs 3D'!$E$11-OffsetZ)/Ecran)*'Calculs 3D'!$E$32)),0)</f>
        <v>0.14442924250894867</v>
      </c>
      <c r="R97" s="105">
        <f>IF(Body7Actif=TRUE,((((($B97*$R$4)+'Calculs 3D'!$C$12-OffsetX)/Ecran)*'Calculs 3D'!$C$31)+(((($C97*$R$4)+'Calculs 3D'!$D$12-OffsetY)/Ecran)*'Calculs 3D'!$D$31)+(((($D97*$R$4)+'Calculs 3D'!$E$12-OffsetZ)/Ecran)*'Calculs 3D'!$E$31)),0)</f>
        <v>-0.27670562773127388</v>
      </c>
      <c r="S97" s="105">
        <f>IF(Body7Actif=TRUE,((((($B97*$R$4)+'Calculs 3D'!$C$12-OffsetX)/Ecran)*'Calculs 3D'!$C$32)+(((($C97*$R$4)+'Calculs 3D'!$D$12-OffsetY)/Ecran)*'Calculs 3D'!$D$32)+(((($D97*$R$4)+'Calculs 3D'!$E$12-OffsetZ)/Ecran)*'Calculs 3D'!$E$32)),0)</f>
        <v>7.3766466008920506E-2</v>
      </c>
      <c r="T97" s="105">
        <f>IF(Body8Actif=TRUE,((((($B97*$T$4)+'Calculs 3D'!$C$13-OffsetX)/Ecran)*'Calculs 3D'!$C$31)+(((($C97*$T$4)+'Calculs 3D'!$D$13-OffsetY)/Ecran)*'Calculs 3D'!$D$31)+(((($D97*$T$4)+'Calculs 3D'!$E$13-OffsetZ)/Ecran)*'Calculs 3D'!$E$31)),0)</f>
        <v>0.1696252606968669</v>
      </c>
      <c r="U97" s="105">
        <f>IF(Body8Actif=TRUE,((((($B97*$T$4)+'Calculs 3D'!$C$13-OffsetX)/Ecran)*'Calculs 3D'!$C$32)+(((($C97*$T$4)+'Calculs 3D'!$D$13-OffsetY)/Ecran)*'Calculs 3D'!$D$32)+(((($D97*$T$4)+'Calculs 3D'!$E$13-OffsetZ)/Ecran)*'Calculs 3D'!$E$32)),0)</f>
        <v>-0.126451396156184</v>
      </c>
      <c r="V97" s="105">
        <f>IF(Body9Actif=TRUE,((((($B97*$V$4)+'Calculs 3D'!$C$14-OffsetX)/Ecran)*'Calculs 3D'!$C$31)+(((($C97*$V$4)+'Calculs 3D'!$D$14-OffsetY)/Ecran)*'Calculs 3D'!$D$31)+(((($D97*$V$4)+'Calculs 3D'!$E$14-OffsetZ)/Ecran)*'Calculs 3D'!$E$31)),0)</f>
        <v>-0.17564082733573333</v>
      </c>
      <c r="W97" s="105">
        <f>IF(Body9Actif=TRUE,((((($B97*$V$4)+'Calculs 3D'!$C$14-OffsetX)/Ecran)*'Calculs 3D'!$C$32)+(((($C97*$V$4)+'Calculs 3D'!$D$14-OffsetY)/Ecran)*'Calculs 3D'!$D$32)+(((($D97*$V$4)+'Calculs 3D'!$E$14-OffsetZ)/Ecran)*'Calculs 3D'!$E$32)),0)</f>
        <v>0.29438901771033121</v>
      </c>
      <c r="X97" s="105">
        <f>IF(Body10Actif=TRUE,((((($B97*$X$4)+'Calculs 3D'!$C$15-OffsetX)/Ecran)*'Calculs 3D'!$C$31)+(((($C97*$X$4)+'Calculs 3D'!$D$15-OffsetY)/Ecran)*'Calculs 3D'!$D$31)+(((($D97*$X$4)+'Calculs 3D'!$E$15-OffsetZ)/Ecran)*'Calculs 3D'!$E$31)),0)</f>
        <v>-1.2396269391288905E-2</v>
      </c>
      <c r="Y97" s="105">
        <f>IF(Body10Actif=TRUE,((((($B97*$X$4)+'Calculs 3D'!$C$15-OffsetX)/Ecran)*'Calculs 3D'!$C$32)+(((($C97*$X$4)+'Calculs 3D'!$D$15-OffsetY)/Ecran)*'Calculs 3D'!$D$32)+(((($D97*$X$4)+'Calculs 3D'!$E$15-OffsetZ)/Ecran)*'Calculs 3D'!$E$32)),0)</f>
        <v>0.30117175713328059</v>
      </c>
    </row>
    <row r="98" spans="2:25" x14ac:dyDescent="0.3">
      <c r="B98" s="102">
        <v>9.2705098312484246E-2</v>
      </c>
      <c r="C98" s="102">
        <v>0.28531695488854608</v>
      </c>
      <c r="D98" s="102">
        <v>0.95</v>
      </c>
      <c r="F98" s="105">
        <f>IF(Body1Actif=TRUE,((((($B98*$F$4)+'Calculs 3D'!$C$6-OffsetX)/Ecran)*'Calculs 3D'!$C$31)+(((($C98*$F$4)+'Calculs 3D'!$D$6-OffsetY)/Ecran)*'Calculs 3D'!$D$31)+(((($D98*$F$4)+'Calculs 3D'!$E$6-OffsetZ)/Ecran)*'Calculs 3D'!$E$31)),0)</f>
        <v>5.1495835776183989E-2</v>
      </c>
      <c r="G98" s="105">
        <f>IF(Body1Actif=TRUE,((((($B98*$F$4)+'Calculs 3D'!$C$6-OffsetX)/Ecran)*'Calculs 3D'!$C$32)+(((($C98*$F$4)+'Calculs 3D'!$D$6-OffsetY)/Ecran)*'Calculs 3D'!$D$32)+(((($D98*$F$4)+'Calculs 3D'!$E$6-OffsetZ)/Ecran)*'Calculs 3D'!$E$32)),0)</f>
        <v>0.26719358233455631</v>
      </c>
      <c r="H98" s="105">
        <f>IF(Body2Actif=TRUE,((((($B98*$H$4)+'Calculs 3D'!$C$7-OffsetX)/Ecran)*'Calculs 3D'!$C$31)+(((($C98*$H$4)+'Calculs 3D'!$D$7-OffsetY)/Ecran)*'Calculs 3D'!$D$31)+(((($D98*$H$4)+'Calculs 3D'!$E$7-OffsetZ)/Ecran)*'Calculs 3D'!$E$31)),0)</f>
        <v>2.8821213823222752E-2</v>
      </c>
      <c r="I98" s="105">
        <f>IF(Body2Actif=TRUE,((((($B98*$H$4)+'Calculs 3D'!$C$7-OffsetX)/Ecran)*'Calculs 3D'!$C$32)+(((($C98*$H$4)+'Calculs 3D'!$D$7-OffsetY)/Ecran)*'Calculs 3D'!$D$32)+(((($D98*$H$4)+'Calculs 3D'!$E$7-OffsetZ)/Ecran)*'Calculs 3D'!$E$32)),0)</f>
        <v>4.3301927719818084E-2</v>
      </c>
      <c r="J98" s="105">
        <f>IF(Body3Actif=TRUE,((((($B98*$J$4)+'Calculs 3D'!$C$8-OffsetX)/Ecran)*'Calculs 3D'!$C$31)+(((($C98*$J$4)+'Calculs 3D'!$D$8-OffsetY)/Ecran)*'Calculs 3D'!$D$31)+(((($D98*$J$4)+'Calculs 3D'!$E$8-OffsetZ)/Ecran)*'Calculs 3D'!$E$31)),0)</f>
        <v>0.22024796754235243</v>
      </c>
      <c r="K98" s="105">
        <f>IF(Body3Actif=TRUE,((((($B98*$J$4)+'Calculs 3D'!$C$8-OffsetX)/Ecran)*'Calculs 3D'!$C$32)+(((($C98*$J$4)+'Calculs 3D'!$D$8-OffsetY)/Ecran)*'Calculs 3D'!$D$32)+(((($D98*$J$4)+'Calculs 3D'!$E$8-OffsetZ)/Ecran)*'Calculs 3D'!$E$32)),0)</f>
        <v>-7.5097762822466468E-2</v>
      </c>
      <c r="L98" s="105">
        <f>IF(Body4Actif=TRUE,((((($B98*$L$4)+'Calculs 3D'!$C$9-OffsetX)/Ecran)*'Calculs 3D'!$C$31)+(((($C98*$L$4)+'Calculs 3D'!$D$9-OffsetY)/Ecran)*'Calculs 3D'!$D$31)+(((($D98*$L$4)+'Calculs 3D'!$E$9-OffsetZ)/Ecran)*'Calculs 3D'!$E$31)),0)</f>
        <v>-9.246121442018182E-2</v>
      </c>
      <c r="M98" s="105">
        <f>IF(Body4Actif=TRUE,((((($B98*$L$4)+'Calculs 3D'!$C$9-OffsetX)/Ecran)*'Calculs 3D'!$C$32)+(((($C98*$L$4)+'Calculs 3D'!$D$9-OffsetY)/Ecran)*'Calculs 3D'!$D$32)+(((($D98*$L$4)+'Calculs 3D'!$E$9-OffsetZ)/Ecran)*'Calculs 3D'!$E$32)),0)</f>
        <v>-0.16460780846482903</v>
      </c>
      <c r="N98" s="105">
        <f>IF(Body5Actif=TRUE,((((($B98*$N$4)+'Calculs 3D'!$C$10-OffsetX)/Ecran)*'Calculs 3D'!$C$31)+(((($C98*$N$4)+'Calculs 3D'!$D$10-OffsetY)/Ecran)*'Calculs 3D'!$D$31)+(((($D98*$N$4)+'Calculs 3D'!$E$10-OffsetZ)/Ecran)*'Calculs 3D'!$E$31)),0)</f>
        <v>3.2128681547562675E-3</v>
      </c>
      <c r="O98" s="105">
        <f>IF(Body5Actif=TRUE,((((($B98*$N$4)+'Calculs 3D'!$C$10-OffsetX)/Ecran)*'Calculs 3D'!$C$32)+(((($C98*$N$4)+'Calculs 3D'!$D$10-OffsetY)/Ecran)*'Calculs 3D'!$D$32)+(((($D98*$N$4)+'Calculs 3D'!$E$10-OffsetZ)/Ecran)*'Calculs 3D'!$E$32)),0)</f>
        <v>3.3685797490876253E-3</v>
      </c>
      <c r="P98" s="105">
        <f>IF(Body6Actif=TRUE,((((($B98*$P$4)+'Calculs 3D'!$C$11-OffsetX)/Ecran)*'Calculs 3D'!$C$31)+(((($C98*$P$4)+'Calculs 3D'!$D$11-OffsetY)/Ecran)*'Calculs 3D'!$D$31)+(((($D98*$P$4)+'Calculs 3D'!$E$11-OffsetZ)/Ecran)*'Calculs 3D'!$E$31)),0)</f>
        <v>0.17409262229123268</v>
      </c>
      <c r="Q98" s="105">
        <f>IF(Body6Actif=TRUE,((((($B98*$P$4)+'Calculs 3D'!$C$11-OffsetX)/Ecran)*'Calculs 3D'!$C$32)+(((($C98*$P$4)+'Calculs 3D'!$D$11-OffsetY)/Ecran)*'Calculs 3D'!$D$32)+(((($D98*$P$4)+'Calculs 3D'!$E$11-OffsetZ)/Ecran)*'Calculs 3D'!$E$32)),0)</f>
        <v>0.14515389784259475</v>
      </c>
      <c r="R98" s="105">
        <f>IF(Body7Actif=TRUE,((((($B98*$R$4)+'Calculs 3D'!$C$12-OffsetX)/Ecran)*'Calculs 3D'!$C$31)+(((($C98*$R$4)+'Calculs 3D'!$D$12-OffsetY)/Ecran)*'Calculs 3D'!$D$31)+(((($D98*$R$4)+'Calculs 3D'!$E$12-OffsetZ)/Ecran)*'Calculs 3D'!$E$31)),0)</f>
        <v>-0.27730791415792921</v>
      </c>
      <c r="S98" s="105">
        <f>IF(Body7Actif=TRUE,((((($B98*$R$4)+'Calculs 3D'!$C$12-OffsetX)/Ecran)*'Calculs 3D'!$C$32)+(((($C98*$R$4)+'Calculs 3D'!$D$12-OffsetY)/Ecran)*'Calculs 3D'!$D$32)+(((($D98*$R$4)+'Calculs 3D'!$E$12-OffsetZ)/Ecran)*'Calculs 3D'!$E$32)),0)</f>
        <v>7.4494210914246045E-2</v>
      </c>
      <c r="T98" s="105">
        <f>IF(Body8Actif=TRUE,((((($B98*$T$4)+'Calculs 3D'!$C$13-OffsetX)/Ecran)*'Calculs 3D'!$C$31)+(((($C98*$T$4)+'Calculs 3D'!$D$13-OffsetY)/Ecran)*'Calculs 3D'!$D$31)+(((($D98*$T$4)+'Calculs 3D'!$E$13-OffsetZ)/Ecran)*'Calculs 3D'!$E$31)),0)</f>
        <v>0.16940803978213748</v>
      </c>
      <c r="U98" s="105">
        <f>IF(Body8Actif=TRUE,((((($B98*$T$4)+'Calculs 3D'!$C$13-OffsetX)/Ecran)*'Calculs 3D'!$C$32)+(((($C98*$T$4)+'Calculs 3D'!$D$13-OffsetY)/Ecran)*'Calculs 3D'!$D$32)+(((($D98*$T$4)+'Calculs 3D'!$E$13-OffsetZ)/Ecran)*'Calculs 3D'!$E$32)),0)</f>
        <v>-0.12618892732569365</v>
      </c>
      <c r="V98" s="105">
        <f>IF(Body9Actif=TRUE,((((($B98*$V$4)+'Calculs 3D'!$C$14-OffsetX)/Ecran)*'Calculs 3D'!$C$31)+(((($C98*$V$4)+'Calculs 3D'!$D$14-OffsetY)/Ecran)*'Calculs 3D'!$D$31)+(((($D98*$V$4)+'Calculs 3D'!$E$14-OffsetZ)/Ecran)*'Calculs 3D'!$E$31)),0)</f>
        <v>-0.17594222481763677</v>
      </c>
      <c r="W98" s="105">
        <f>IF(Body9Actif=TRUE,((((($B98*$V$4)+'Calculs 3D'!$C$14-OffsetX)/Ecran)*'Calculs 3D'!$C$32)+(((($C98*$V$4)+'Calculs 3D'!$D$14-OffsetY)/Ecran)*'Calculs 3D'!$D$32)+(((($D98*$V$4)+'Calculs 3D'!$E$14-OffsetZ)/Ecran)*'Calculs 3D'!$E$32)),0)</f>
        <v>0.29475319739664957</v>
      </c>
      <c r="X98" s="105">
        <f>IF(Body10Actif=TRUE,((((($B98*$X$4)+'Calculs 3D'!$C$15-OffsetX)/Ecran)*'Calculs 3D'!$C$31)+(((($C98*$X$4)+'Calculs 3D'!$D$15-OffsetY)/Ecran)*'Calculs 3D'!$D$31)+(((($D98*$X$4)+'Calculs 3D'!$E$15-OffsetZ)/Ecran)*'Calculs 3D'!$E$31)),0)</f>
        <v>-1.2851215054942328E-2</v>
      </c>
      <c r="Y98" s="105">
        <f>IF(Body10Actif=TRUE,((((($B98*$X$4)+'Calculs 3D'!$C$15-OffsetX)/Ecran)*'Calculs 3D'!$C$32)+(((($C98*$X$4)+'Calculs 3D'!$D$15-OffsetY)/Ecran)*'Calculs 3D'!$D$32)+(((($D98*$X$4)+'Calculs 3D'!$E$15-OffsetZ)/Ecran)*'Calculs 3D'!$E$32)),0)</f>
        <v>0.30172146965255875</v>
      </c>
    </row>
    <row r="99" spans="2:25" x14ac:dyDescent="0.3">
      <c r="B99" s="102">
        <v>1.8377226823629303E-17</v>
      </c>
      <c r="C99" s="102">
        <v>0.30000000000000004</v>
      </c>
      <c r="D99" s="102">
        <v>0.95</v>
      </c>
      <c r="F99" s="105">
        <f>IF(Body1Actif=TRUE,((((($B99*$F$4)+'Calculs 3D'!$C$6-OffsetX)/Ecran)*'Calculs 3D'!$C$31)+(((($C99*$F$4)+'Calculs 3D'!$D$6-OffsetY)/Ecran)*'Calculs 3D'!$D$31)+(((($D99*$F$4)+'Calculs 3D'!$E$6-OffsetZ)/Ecran)*'Calculs 3D'!$E$31)),0)</f>
        <v>5.1245168105431317E-2</v>
      </c>
      <c r="G99" s="105">
        <f>IF(Body1Actif=TRUE,((((($B99*$F$4)+'Calculs 3D'!$C$6-OffsetX)/Ecran)*'Calculs 3D'!$C$32)+(((($C99*$F$4)+'Calculs 3D'!$D$6-OffsetY)/Ecran)*'Calculs 3D'!$D$32)+(((($D99*$F$4)+'Calculs 3D'!$E$6-OffsetZ)/Ecran)*'Calculs 3D'!$E$32)),0)</f>
        <v>0.26734790876254833</v>
      </c>
      <c r="H99" s="105">
        <f>IF(Body2Actif=TRUE,((((($B99*$H$4)+'Calculs 3D'!$C$7-OffsetX)/Ecran)*'Calculs 3D'!$C$31)+(((($C99*$H$4)+'Calculs 3D'!$D$7-OffsetY)/Ecran)*'Calculs 3D'!$D$31)+(((($D99*$H$4)+'Calculs 3D'!$E$7-OffsetZ)/Ecran)*'Calculs 3D'!$E$31)),0)</f>
        <v>2.784414221471216E-2</v>
      </c>
      <c r="I99" s="105">
        <f>IF(Body2Actif=TRUE,((((($B99*$H$4)+'Calculs 3D'!$C$7-OffsetX)/Ecran)*'Calculs 3D'!$C$32)+(((($C99*$H$4)+'Calculs 3D'!$D$7-OffsetY)/Ecran)*'Calculs 3D'!$D$32)+(((($D99*$H$4)+'Calculs 3D'!$E$7-OffsetZ)/Ecran)*'Calculs 3D'!$E$32)),0)</f>
        <v>4.3903473067812532E-2</v>
      </c>
      <c r="J99" s="105">
        <f>IF(Body3Actif=TRUE,((((($B99*$J$4)+'Calculs 3D'!$C$8-OffsetX)/Ecran)*'Calculs 3D'!$C$31)+(((($C99*$J$4)+'Calculs 3D'!$D$8-OffsetY)/Ecran)*'Calculs 3D'!$D$31)+(((($D99*$J$4)+'Calculs 3D'!$E$8-OffsetZ)/Ecran)*'Calculs 3D'!$E$31)),0)</f>
        <v>0.21981373521521982</v>
      </c>
      <c r="K99" s="105">
        <f>IF(Body3Actif=TRUE,((((($B99*$J$4)+'Calculs 3D'!$C$8-OffsetX)/Ecran)*'Calculs 3D'!$C$32)+(((($C99*$J$4)+'Calculs 3D'!$D$8-OffsetY)/Ecran)*'Calculs 3D'!$D$32)+(((($D99*$J$4)+'Calculs 3D'!$E$8-OffsetZ)/Ecran)*'Calculs 3D'!$E$32)),0)</f>
        <v>-7.4830422707309913E-2</v>
      </c>
      <c r="L99" s="105">
        <f>IF(Body4Actif=TRUE,((((($B99*$L$4)+'Calculs 3D'!$C$9-OffsetX)/Ecran)*'Calculs 3D'!$C$31)+(((($C99*$L$4)+'Calculs 3D'!$D$9-OffsetY)/Ecran)*'Calculs 3D'!$D$31)+(((($D99*$L$4)+'Calculs 3D'!$E$9-OffsetZ)/Ecran)*'Calculs 3D'!$E$31)),0)</f>
        <v>-9.3025843498438177E-2</v>
      </c>
      <c r="M99" s="105">
        <f>IF(Body4Actif=TRUE,((((($B99*$L$4)+'Calculs 3D'!$C$9-OffsetX)/Ecran)*'Calculs 3D'!$C$32)+(((($C99*$L$4)+'Calculs 3D'!$D$9-OffsetY)/Ecran)*'Calculs 3D'!$D$32)+(((($D99*$L$4)+'Calculs 3D'!$E$9-OffsetZ)/Ecran)*'Calculs 3D'!$E$32)),0)</f>
        <v>-0.16426018809349796</v>
      </c>
      <c r="N99" s="105">
        <f>IF(Body5Actif=TRUE,((((($B99*$N$4)+'Calculs 3D'!$C$10-OffsetX)/Ecran)*'Calculs 3D'!$C$31)+(((($C99*$N$4)+'Calculs 3D'!$D$10-OffsetY)/Ecran)*'Calculs 3D'!$D$31)+(((($D99*$N$4)+'Calculs 3D'!$E$10-OffsetZ)/Ecran)*'Calculs 3D'!$E$31)),0)</f>
        <v>2.5682922274579915E-3</v>
      </c>
      <c r="O99" s="105">
        <f>IF(Body5Actif=TRUE,((((($B99*$N$4)+'Calculs 3D'!$C$10-OffsetX)/Ecran)*'Calculs 3D'!$C$32)+(((($C99*$N$4)+'Calculs 3D'!$D$10-OffsetY)/Ecran)*'Calculs 3D'!$D$32)+(((($D99*$N$4)+'Calculs 3D'!$E$10-OffsetZ)/Ecran)*'Calculs 3D'!$E$32)),0)</f>
        <v>3.7654203154474861E-3</v>
      </c>
      <c r="P99" s="105">
        <f>IF(Body6Actif=TRUE,((((($B99*$P$4)+'Calculs 3D'!$C$11-OffsetX)/Ecran)*'Calculs 3D'!$C$31)+(((($C99*$P$4)+'Calculs 3D'!$D$11-OffsetY)/Ecran)*'Calculs 3D'!$D$31)+(((($D99*$P$4)+'Calculs 3D'!$E$11-OffsetZ)/Ecran)*'Calculs 3D'!$E$31)),0)</f>
        <v>0.17315852173118643</v>
      </c>
      <c r="Q99" s="105">
        <f>IF(Body6Actif=TRUE,((((($B99*$P$4)+'Calculs 3D'!$C$11-OffsetX)/Ecran)*'Calculs 3D'!$C$32)+(((($C99*$P$4)+'Calculs 3D'!$D$11-OffsetY)/Ecran)*'Calculs 3D'!$D$32)+(((($D99*$P$4)+'Calculs 3D'!$E$11-OffsetZ)/Ecran)*'Calculs 3D'!$E$32)),0)</f>
        <v>0.14572898757149533</v>
      </c>
      <c r="R99" s="105">
        <f>IF(Body7Actif=TRUE,((((($B99*$R$4)+'Calculs 3D'!$C$12-OffsetX)/Ecran)*'Calculs 3D'!$C$31)+(((($C99*$R$4)+'Calculs 3D'!$D$12-OffsetY)/Ecran)*'Calculs 3D'!$D$31)+(((($D99*$R$4)+'Calculs 3D'!$E$12-OffsetZ)/Ecran)*'Calculs 3D'!$E$31)),0)</f>
        <v>-0.27824599726043681</v>
      </c>
      <c r="S99" s="105">
        <f>IF(Body7Actif=TRUE,((((($B99*$R$4)+'Calculs 3D'!$C$12-OffsetX)/Ecran)*'Calculs 3D'!$C$32)+(((($C99*$R$4)+'Calculs 3D'!$D$12-OffsetY)/Ecran)*'Calculs 3D'!$D$32)+(((($D99*$R$4)+'Calculs 3D'!$E$12-OffsetZ)/Ecran)*'Calculs 3D'!$E$32)),0)</f>
        <v>7.5071752541113937E-2</v>
      </c>
      <c r="T99" s="105">
        <f>IF(Body8Actif=TRUE,((((($B99*$T$4)+'Calculs 3D'!$C$13-OffsetX)/Ecran)*'Calculs 3D'!$C$31)+(((($C99*$T$4)+'Calculs 3D'!$D$13-OffsetY)/Ecran)*'Calculs 3D'!$D$31)+(((($D99*$T$4)+'Calculs 3D'!$E$13-OffsetZ)/Ecran)*'Calculs 3D'!$E$31)),0)</f>
        <v>0.16906971027544337</v>
      </c>
      <c r="U99" s="105">
        <f>IF(Body8Actif=TRUE,((((($B99*$T$4)+'Calculs 3D'!$C$13-OffsetX)/Ecran)*'Calculs 3D'!$C$32)+(((($C99*$T$4)+'Calculs 3D'!$D$13-OffsetY)/Ecran)*'Calculs 3D'!$D$32)+(((($D99*$T$4)+'Calculs 3D'!$E$13-OffsetZ)/Ecran)*'Calculs 3D'!$E$32)),0)</f>
        <v>-0.12598063088245615</v>
      </c>
      <c r="V99" s="105">
        <f>IF(Body9Actif=TRUE,((((($B99*$V$4)+'Calculs 3D'!$C$14-OffsetX)/Ecran)*'Calculs 3D'!$C$31)+(((($C99*$V$4)+'Calculs 3D'!$D$14-OffsetY)/Ecran)*'Calculs 3D'!$D$31)+(((($D99*$V$4)+'Calculs 3D'!$E$14-OffsetZ)/Ecran)*'Calculs 3D'!$E$31)),0)</f>
        <v>-0.17641166240148201</v>
      </c>
      <c r="W99" s="105">
        <f>IF(Body9Actif=TRUE,((((($B99*$V$4)+'Calculs 3D'!$C$14-OffsetX)/Ecran)*'Calculs 3D'!$C$32)+(((($C99*$V$4)+'Calculs 3D'!$D$14-OffsetY)/Ecran)*'Calculs 3D'!$D$32)+(((($D99*$V$4)+'Calculs 3D'!$E$14-OffsetZ)/Ecran)*'Calculs 3D'!$E$32)),0)</f>
        <v>0.29504221203209308</v>
      </c>
      <c r="X99" s="105">
        <f>IF(Body10Actif=TRUE,((((($B99*$X$4)+'Calculs 3D'!$C$15-OffsetX)/Ecran)*'Calculs 3D'!$C$31)+(((($C99*$X$4)+'Calculs 3D'!$D$15-OffsetY)/Ecran)*'Calculs 3D'!$D$31)+(((($D99*$X$4)+'Calculs 3D'!$E$15-OffsetZ)/Ecran)*'Calculs 3D'!$E$31)),0)</f>
        <v>-1.3559809538803397E-2</v>
      </c>
      <c r="Y99" s="105">
        <f>IF(Body10Actif=TRUE,((((($B99*$X$4)+'Calculs 3D'!$C$15-OffsetX)/Ecran)*'Calculs 3D'!$C$32)+(((($C99*$X$4)+'Calculs 3D'!$D$15-OffsetY)/Ecran)*'Calculs 3D'!$D$32)+(((($D99*$X$4)+'Calculs 3D'!$E$15-OffsetZ)/Ecran)*'Calculs 3D'!$E$32)),0)</f>
        <v>0.30215772397790025</v>
      </c>
    </row>
    <row r="100" spans="2:25" x14ac:dyDescent="0.3">
      <c r="B100" s="102">
        <v>-9.2705098312484219E-2</v>
      </c>
      <c r="C100" s="102">
        <v>0.28531695488854614</v>
      </c>
      <c r="D100" s="102">
        <v>0.95</v>
      </c>
      <c r="F100" s="105">
        <f>IF(Body1Actif=TRUE,((((($B100*$F$4)+'Calculs 3D'!$C$6-OffsetX)/Ecran)*'Calculs 3D'!$C$31)+(((($C100*$F$4)+'Calculs 3D'!$D$6-OffsetY)/Ecran)*'Calculs 3D'!$D$31)+(((($D100*$F$4)+'Calculs 3D'!$E$6-OffsetZ)/Ecran)*'Calculs 3D'!$E$31)),0)</f>
        <v>5.0929308413534512E-2</v>
      </c>
      <c r="G100" s="105">
        <f>IF(Body1Actif=TRUE,((((($B100*$F$4)+'Calculs 3D'!$C$6-OffsetX)/Ecran)*'Calculs 3D'!$C$32)+(((($C100*$F$4)+'Calculs 3D'!$D$6-OffsetY)/Ecran)*'Calculs 3D'!$D$32)+(((($D100*$F$4)+'Calculs 3D'!$E$6-OffsetZ)/Ecran)*'Calculs 3D'!$E$32)),0)</f>
        <v>0.26744699242859604</v>
      </c>
      <c r="H100" s="105">
        <f>IF(Body2Actif=TRUE,((((($B100*$H$4)+'Calculs 3D'!$C$7-OffsetX)/Ecran)*'Calculs 3D'!$C$31)+(((($C100*$H$4)+'Calculs 3D'!$D$7-OffsetY)/Ecran)*'Calculs 3D'!$D$31)+(((($D100*$H$4)+'Calculs 3D'!$E$7-OffsetZ)/Ecran)*'Calculs 3D'!$E$31)),0)</f>
        <v>2.6612960162800139E-2</v>
      </c>
      <c r="I100" s="105">
        <f>IF(Body2Actif=TRUE,((((($B100*$H$4)+'Calculs 3D'!$C$7-OffsetX)/Ecran)*'Calculs 3D'!$C$32)+(((($C100*$H$4)+'Calculs 3D'!$D$7-OffsetY)/Ecran)*'Calculs 3D'!$D$32)+(((($D100*$H$4)+'Calculs 3D'!$E$7-OffsetZ)/Ecran)*'Calculs 3D'!$E$32)),0)</f>
        <v>4.4289688955452211E-2</v>
      </c>
      <c r="J100" s="105">
        <f>IF(Body3Actif=TRUE,((((($B100*$J$4)+'Calculs 3D'!$C$8-OffsetX)/Ecran)*'Calculs 3D'!$C$31)+(((($C100*$J$4)+'Calculs 3D'!$D$8-OffsetY)/Ecran)*'Calculs 3D'!$D$31)+(((($D100*$J$4)+'Calculs 3D'!$E$8-OffsetZ)/Ecran)*'Calculs 3D'!$E$31)),0)</f>
        <v>0.2192665705623234</v>
      </c>
      <c r="K100" s="105">
        <f>IF(Body3Actif=TRUE,((((($B100*$J$4)+'Calculs 3D'!$C$8-OffsetX)/Ecran)*'Calculs 3D'!$C$32)+(((($C100*$J$4)+'Calculs 3D'!$D$8-OffsetY)/Ecran)*'Calculs 3D'!$D$32)+(((($D100*$J$4)+'Calculs 3D'!$E$8-OffsetZ)/Ecran)*'Calculs 3D'!$E$32)),0)</f>
        <v>-7.46587797875847E-2</v>
      </c>
      <c r="L100" s="105">
        <f>IF(Body4Actif=TRUE,((((($B100*$L$4)+'Calculs 3D'!$C$9-OffsetX)/Ecran)*'Calculs 3D'!$C$31)+(((($C100*$L$4)+'Calculs 3D'!$D$9-OffsetY)/Ecran)*'Calculs 3D'!$D$31)+(((($D100*$L$4)+'Calculs 3D'!$E$9-OffsetZ)/Ecran)*'Calculs 3D'!$E$31)),0)</f>
        <v>-9.3737317643303092E-2</v>
      </c>
      <c r="M100" s="105">
        <f>IF(Body4Actif=TRUE,((((($B100*$L$4)+'Calculs 3D'!$C$9-OffsetX)/Ecran)*'Calculs 3D'!$C$32)+(((($C100*$L$4)+'Calculs 3D'!$D$9-OffsetY)/Ecran)*'Calculs 3D'!$D$32)+(((($D100*$L$4)+'Calculs 3D'!$E$9-OffsetZ)/Ecran)*'Calculs 3D'!$E$32)),0)</f>
        <v>-0.16403700207647881</v>
      </c>
      <c r="N100" s="105">
        <f>IF(Body5Actif=TRUE,((((($B100*$N$4)+'Calculs 3D'!$C$10-OffsetX)/Ecran)*'Calculs 3D'!$C$31)+(((($C100*$N$4)+'Calculs 3D'!$D$10-OffsetY)/Ecran)*'Calculs 3D'!$D$31)+(((($D100*$N$4)+'Calculs 3D'!$E$10-OffsetZ)/Ecran)*'Calculs 3D'!$E$31)),0)</f>
        <v>1.7560791758538209E-3</v>
      </c>
      <c r="O100" s="105">
        <f>IF(Body5Actif=TRUE,((((($B100*$N$4)+'Calculs 3D'!$C$10-OffsetX)/Ecran)*'Calculs 3D'!$C$32)+(((($C100*$N$4)+'Calculs 3D'!$D$10-OffsetY)/Ecran)*'Calculs 3D'!$D$32)+(((($D100*$N$4)+'Calculs 3D'!$E$10-OffsetZ)/Ecran)*'Calculs 3D'!$E$32)),0)</f>
        <v>4.020207642951714E-3</v>
      </c>
      <c r="P100" s="105">
        <f>IF(Body6Actif=TRUE,((((($B100*$P$4)+'Calculs 3D'!$C$11-OffsetX)/Ecran)*'Calculs 3D'!$C$31)+(((($C100*$P$4)+'Calculs 3D'!$D$11-OffsetY)/Ecran)*'Calculs 3D'!$D$31)+(((($D100*$P$4)+'Calculs 3D'!$E$11-OffsetZ)/Ecran)*'Calculs 3D'!$E$31)),0)</f>
        <v>0.17198148635917004</v>
      </c>
      <c r="Q100" s="105">
        <f>IF(Body6Actif=TRUE,((((($B100*$P$4)+'Calculs 3D'!$C$11-OffsetX)/Ecran)*'Calculs 3D'!$C$32)+(((($C100*$P$4)+'Calculs 3D'!$D$11-OffsetY)/Ecran)*'Calculs 3D'!$D$32)+(((($D100*$P$4)+'Calculs 3D'!$E$11-OffsetZ)/Ecran)*'Calculs 3D'!$E$32)),0)</f>
        <v>0.14609821790609992</v>
      </c>
      <c r="R100" s="105">
        <f>IF(Body7Actif=TRUE,((((($B100*$R$4)+'Calculs 3D'!$C$12-OffsetX)/Ecran)*'Calculs 3D'!$C$31)+(((($C100*$R$4)+'Calculs 3D'!$D$12-OffsetY)/Ecran)*'Calculs 3D'!$D$31)+(((($D100*$R$4)+'Calculs 3D'!$E$12-OffsetZ)/Ecran)*'Calculs 3D'!$E$31)),0)</f>
        <v>-0.27942805092871387</v>
      </c>
      <c r="S100" s="105">
        <f>IF(Body7Actif=TRUE,((((($B100*$R$4)+'Calculs 3D'!$C$12-OffsetX)/Ecran)*'Calculs 3D'!$C$32)+(((($C100*$R$4)+'Calculs 3D'!$D$12-OffsetY)/Ecran)*'Calculs 3D'!$D$32)+(((($D100*$R$4)+'Calculs 3D'!$E$12-OffsetZ)/Ecran)*'Calculs 3D'!$E$32)),0)</f>
        <v>7.5442557091117204E-2</v>
      </c>
      <c r="T100" s="105">
        <f>IF(Body8Actif=TRUE,((((($B100*$T$4)+'Calculs 3D'!$C$13-OffsetX)/Ecran)*'Calculs 3D'!$C$31)+(((($C100*$T$4)+'Calculs 3D'!$D$13-OffsetY)/Ecran)*'Calculs 3D'!$D$31)+(((($D100*$T$4)+'Calculs 3D'!$E$13-OffsetZ)/Ecran)*'Calculs 3D'!$E$31)),0)</f>
        <v>0.16864339022618</v>
      </c>
      <c r="U100" s="105">
        <f>IF(Body8Actif=TRUE,((((($B100*$T$4)+'Calculs 3D'!$C$13-OffsetX)/Ecran)*'Calculs 3D'!$C$32)+(((($C100*$T$4)+'Calculs 3D'!$D$13-OffsetY)/Ecran)*'Calculs 3D'!$D$32)+(((($D100*$T$4)+'Calculs 3D'!$E$13-OffsetZ)/Ecran)*'Calculs 3D'!$E$32)),0)</f>
        <v>-0.12584689633362223</v>
      </c>
      <c r="V100" s="105">
        <f>IF(Body9Actif=TRUE,((((($B100*$V$4)+'Calculs 3D'!$C$14-OffsetX)/Ecran)*'Calculs 3D'!$C$31)+(((($C100*$V$4)+'Calculs 3D'!$D$14-OffsetY)/Ecran)*'Calculs 3D'!$D$31)+(((($D100*$V$4)+'Calculs 3D'!$E$14-OffsetZ)/Ecran)*'Calculs 3D'!$E$31)),0)</f>
        <v>-0.17700318826579847</v>
      </c>
      <c r="W100" s="105">
        <f>IF(Body9Actif=TRUE,((((($B100*$V$4)+'Calculs 3D'!$C$14-OffsetX)/Ecran)*'Calculs 3D'!$C$32)+(((($C100*$V$4)+'Calculs 3D'!$D$14-OffsetY)/Ecran)*'Calculs 3D'!$D$32)+(((($D100*$V$4)+'Calculs 3D'!$E$14-OffsetZ)/Ecran)*'Calculs 3D'!$E$32)),0)</f>
        <v>0.29522777085046115</v>
      </c>
      <c r="X100" s="105">
        <f>IF(Body10Actif=TRUE,((((($B100*$X$4)+'Calculs 3D'!$C$15-OffsetX)/Ecran)*'Calculs 3D'!$C$31)+(((($C100*$X$4)+'Calculs 3D'!$D$15-OffsetY)/Ecran)*'Calculs 3D'!$D$31)+(((($D100*$X$4)+'Calculs 3D'!$E$15-OffsetZ)/Ecran)*'Calculs 3D'!$E$31)),0)</f>
        <v>-1.4452690677723673E-2</v>
      </c>
      <c r="Y100" s="105">
        <f>IF(Body10Actif=TRUE,((((($B100*$X$4)+'Calculs 3D'!$C$15-OffsetX)/Ecran)*'Calculs 3D'!$C$32)+(((($C100*$X$4)+'Calculs 3D'!$D$15-OffsetY)/Ecran)*'Calculs 3D'!$D$32)+(((($D100*$X$4)+'Calculs 3D'!$E$15-OffsetZ)/Ecran)*'Calculs 3D'!$E$32)),0)</f>
        <v>0.30243781649637813</v>
      </c>
    </row>
    <row r="101" spans="2:25" x14ac:dyDescent="0.3">
      <c r="B101" s="102">
        <v>-0.17633557568774194</v>
      </c>
      <c r="C101" s="102">
        <v>0.24270509831248427</v>
      </c>
      <c r="D101" s="102">
        <v>0.95</v>
      </c>
      <c r="F101" s="105">
        <f>IF(Body1Actif=TRUE,((((($B101*$F$4)+'Calculs 3D'!$C$6-OffsetX)/Ecran)*'Calculs 3D'!$C$31)+(((($C101*$F$4)+'Calculs 3D'!$D$6-OffsetY)/Ecran)*'Calculs 3D'!$D$31)+(((($D101*$F$4)+'Calculs 3D'!$E$6-OffsetZ)/Ecran)*'Calculs 3D'!$E$31)),0)</f>
        <v>5.0579175247860271E-2</v>
      </c>
      <c r="G101" s="105">
        <f>IF(Body1Actif=TRUE,((((($B101*$F$4)+'Calculs 3D'!$C$6-OffsetX)/Ecran)*'Calculs 3D'!$C$32)+(((($C101*$F$4)+'Calculs 3D'!$D$6-OffsetY)/Ecran)*'Calculs 3D'!$D$32)+(((($D101*$F$4)+'Calculs 3D'!$E$6-OffsetZ)/Ecran)*'Calculs 3D'!$E$32)),0)</f>
        <v>0.26748113433311005</v>
      </c>
      <c r="H101" s="105">
        <f>IF(Body2Actif=TRUE,((((($B101*$H$4)+'Calculs 3D'!$C$7-OffsetX)/Ecran)*'Calculs 3D'!$C$31)+(((($C101*$H$4)+'Calculs 3D'!$D$7-OffsetY)/Ecran)*'Calculs 3D'!$D$31)+(((($D101*$H$4)+'Calculs 3D'!$E$7-OffsetZ)/Ecran)*'Calculs 3D'!$E$31)),0)</f>
        <v>2.5248184344877592E-2</v>
      </c>
      <c r="I101" s="105">
        <f>IF(Body2Actif=TRUE,((((($B101*$H$4)+'Calculs 3D'!$C$7-OffsetX)/Ecran)*'Calculs 3D'!$C$32)+(((($C101*$H$4)+'Calculs 3D'!$D$7-OffsetY)/Ecran)*'Calculs 3D'!$D$32)+(((($D101*$H$4)+'Calculs 3D'!$E$7-OffsetZ)/Ecran)*'Calculs 3D'!$E$32)),0)</f>
        <v>4.4422769880730628E-2</v>
      </c>
      <c r="J101" s="105">
        <f>IF(Body3Actif=TRUE,((((($B101*$J$4)+'Calculs 3D'!$C$8-OffsetX)/Ecran)*'Calculs 3D'!$C$31)+(((($C101*$J$4)+'Calculs 3D'!$D$8-OffsetY)/Ecran)*'Calculs 3D'!$D$31)+(((($D101*$J$4)+'Calculs 3D'!$E$8-OffsetZ)/Ecran)*'Calculs 3D'!$E$31)),0)</f>
        <v>0.21866003387220898</v>
      </c>
      <c r="K101" s="105">
        <f>IF(Body3Actif=TRUE,((((($B101*$J$4)+'Calculs 3D'!$C$8-OffsetX)/Ecran)*'Calculs 3D'!$C$32)+(((($C101*$J$4)+'Calculs 3D'!$D$8-OffsetY)/Ecran)*'Calculs 3D'!$D$32)+(((($D101*$J$4)+'Calculs 3D'!$E$8-OffsetZ)/Ecran)*'Calculs 3D'!$E$32)),0)</f>
        <v>-7.4599635668180092E-2</v>
      </c>
      <c r="L101" s="105">
        <f>IF(Body4Actif=TRUE,((((($B101*$L$4)+'Calculs 3D'!$C$9-OffsetX)/Ecran)*'Calculs 3D'!$C$31)+(((($C101*$L$4)+'Calculs 3D'!$D$9-OffsetY)/Ecran)*'Calculs 3D'!$D$31)+(((($D101*$L$4)+'Calculs 3D'!$E$9-OffsetZ)/Ecran)*'Calculs 3D'!$E$31)),0)</f>
        <v>-9.4525992808345366E-2</v>
      </c>
      <c r="M101" s="105">
        <f>IF(Body4Actif=TRUE,((((($B101*$L$4)+'Calculs 3D'!$C$9-OffsetX)/Ecran)*'Calculs 3D'!$C$32)+(((($C101*$L$4)+'Calculs 3D'!$D$9-OffsetY)/Ecran)*'Calculs 3D'!$D$32)+(((($D101*$L$4)+'Calculs 3D'!$E$9-OffsetZ)/Ecran)*'Calculs 3D'!$E$32)),0)</f>
        <v>-0.16396009741614589</v>
      </c>
      <c r="N101" s="105">
        <f>IF(Body5Actif=TRUE,((((($B101*$N$4)+'Calculs 3D'!$C$10-OffsetX)/Ecran)*'Calculs 3D'!$C$31)+(((($C101*$N$4)+'Calculs 3D'!$D$10-OffsetY)/Ecran)*'Calculs 3D'!$D$31)+(((($D101*$N$4)+'Calculs 3D'!$E$10-OffsetZ)/Ecran)*'Calculs 3D'!$E$31)),0)</f>
        <v>8.5573407245585417E-4</v>
      </c>
      <c r="O101" s="105">
        <f>IF(Body5Actif=TRUE,((((($B101*$N$4)+'Calculs 3D'!$C$10-OffsetX)/Ecran)*'Calculs 3D'!$C$32)+(((($C101*$N$4)+'Calculs 3D'!$D$10-OffsetY)/Ecran)*'Calculs 3D'!$D$32)+(((($D101*$N$4)+'Calculs 3D'!$E$10-OffsetZ)/Ecran)*'Calculs 3D'!$E$32)),0)</f>
        <v>4.1080013727765024E-3</v>
      </c>
      <c r="P101" s="105">
        <f>IF(Body6Actif=TRUE,((((($B101*$P$4)+'Calculs 3D'!$C$11-OffsetX)/Ecran)*'Calculs 3D'!$C$31)+(((($C101*$P$4)+'Calculs 3D'!$D$11-OffsetY)/Ecran)*'Calculs 3D'!$D$31)+(((($D101*$P$4)+'Calculs 3D'!$E$11-OffsetZ)/Ecran)*'Calculs 3D'!$E$31)),0)</f>
        <v>0.1706767325982842</v>
      </c>
      <c r="Q101" s="105">
        <f>IF(Body6Actif=TRUE,((((($B101*$P$4)+'Calculs 3D'!$C$11-OffsetX)/Ecran)*'Calculs 3D'!$C$32)+(((($C101*$P$4)+'Calculs 3D'!$D$11-OffsetY)/Ecran)*'Calculs 3D'!$D$32)+(((($D101*$P$4)+'Calculs 3D'!$E$11-OffsetZ)/Ecran)*'Calculs 3D'!$E$32)),0)</f>
        <v>0.14622544600867832</v>
      </c>
      <c r="R101" s="105">
        <f>IF(Body7Actif=TRUE,((((($B101*$R$4)+'Calculs 3D'!$C$12-OffsetX)/Ecran)*'Calculs 3D'!$C$31)+(((($C101*$R$4)+'Calculs 3D'!$D$12-OffsetY)/Ecran)*'Calculs 3D'!$D$31)+(((($D101*$R$4)+'Calculs 3D'!$E$12-OffsetZ)/Ecran)*'Calculs 3D'!$E$31)),0)</f>
        <v>-0.28073836751385717</v>
      </c>
      <c r="S101" s="105">
        <f>IF(Body7Actif=TRUE,((((($B101*$R$4)+'Calculs 3D'!$C$12-OffsetX)/Ecran)*'Calculs 3D'!$C$32)+(((($C101*$R$4)+'Calculs 3D'!$D$12-OffsetY)/Ecran)*'Calculs 3D'!$D$32)+(((($D101*$R$4)+'Calculs 3D'!$E$12-OffsetZ)/Ecran)*'Calculs 3D'!$E$32)),0)</f>
        <v>7.5570327631354323E-2</v>
      </c>
      <c r="T101" s="105">
        <f>IF(Body8Actif=TRUE,((((($B101*$T$4)+'Calculs 3D'!$C$13-OffsetX)/Ecran)*'Calculs 3D'!$C$31)+(((($C101*$T$4)+'Calculs 3D'!$D$13-OffsetY)/Ecran)*'Calculs 3D'!$D$31)+(((($D101*$T$4)+'Calculs 3D'!$E$13-OffsetZ)/Ecran)*'Calculs 3D'!$E$31)),0)</f>
        <v>0.16817081081111579</v>
      </c>
      <c r="U101" s="105">
        <f>IF(Body8Actif=TRUE,((((($B101*$T$4)+'Calculs 3D'!$C$13-OffsetX)/Ecran)*'Calculs 3D'!$C$32)+(((($C101*$T$4)+'Calculs 3D'!$D$13-OffsetY)/Ecran)*'Calculs 3D'!$D$32)+(((($D101*$T$4)+'Calculs 3D'!$E$13-OffsetZ)/Ecran)*'Calculs 3D'!$E$32)),0)</f>
        <v>-0.12580081454861522</v>
      </c>
      <c r="V101" s="105">
        <f>IF(Body9Actif=TRUE,((((($B101*$V$4)+'Calculs 3D'!$C$14-OffsetX)/Ecran)*'Calculs 3D'!$C$31)+(((($C101*$V$4)+'Calculs 3D'!$D$14-OffsetY)/Ecran)*'Calculs 3D'!$D$31)+(((($D101*$V$4)+'Calculs 3D'!$E$14-OffsetZ)/Ecran)*'Calculs 3D'!$E$31)),0)</f>
        <v>-0.17765889973758367</v>
      </c>
      <c r="W101" s="105">
        <f>IF(Body9Actif=TRUE,((((($B101*$V$4)+'Calculs 3D'!$C$14-OffsetX)/Ecran)*'Calculs 3D'!$C$32)+(((($C101*$V$4)+'Calculs 3D'!$D$14-OffsetY)/Ecran)*'Calculs 3D'!$D$32)+(((($D101*$V$4)+'Calculs 3D'!$E$14-OffsetZ)/Ecran)*'Calculs 3D'!$E$32)),0)</f>
        <v>0.29529171006174765</v>
      </c>
      <c r="X101" s="105">
        <f>IF(Body10Actif=TRUE,((((($B101*$X$4)+'Calculs 3D'!$C$15-OffsetX)/Ecran)*'Calculs 3D'!$C$31)+(((($C101*$X$4)+'Calculs 3D'!$D$15-OffsetY)/Ecran)*'Calculs 3D'!$D$31)+(((($D101*$X$4)+'Calculs 3D'!$E$15-OffsetZ)/Ecran)*'Calculs 3D'!$E$31)),0)</f>
        <v>-1.5442457044756913E-2</v>
      </c>
      <c r="Y101" s="105">
        <f>IF(Body10Actif=TRUE,((((($B101*$X$4)+'Calculs 3D'!$C$15-OffsetX)/Ecran)*'Calculs 3D'!$C$32)+(((($C101*$X$4)+'Calculs 3D'!$D$15-OffsetY)/Ecran)*'Calculs 3D'!$D$32)+(((($D101*$X$4)+'Calculs 3D'!$E$15-OffsetZ)/Ecran)*'Calculs 3D'!$E$32)),0)</f>
        <v>0.30253432980076445</v>
      </c>
    </row>
    <row r="102" spans="2:25" x14ac:dyDescent="0.3">
      <c r="B102" s="102">
        <v>-0.24270509831248424</v>
      </c>
      <c r="C102" s="102">
        <v>0.176335575687742</v>
      </c>
      <c r="D102" s="102">
        <v>0.95</v>
      </c>
      <c r="F102" s="105">
        <f>IF(Body1Actif=TRUE,((((($B102*$F$4)+'Calculs 3D'!$C$6-OffsetX)/Ecran)*'Calculs 3D'!$C$31)+(((($C102*$F$4)+'Calculs 3D'!$D$6-OffsetY)/Ecran)*'Calculs 3D'!$D$31)+(((($D102*$F$4)+'Calculs 3D'!$E$6-OffsetZ)/Ecran)*'Calculs 3D'!$E$31)),0)</f>
        <v>5.0229042082186072E-2</v>
      </c>
      <c r="G102" s="105">
        <f>IF(Body1Actif=TRUE,((((($B102*$F$4)+'Calculs 3D'!$C$6-OffsetX)/Ecran)*'Calculs 3D'!$C$32)+(((($C102*$F$4)+'Calculs 3D'!$D$6-OffsetY)/Ecran)*'Calculs 3D'!$D$32)+(((($D102*$F$4)+'Calculs 3D'!$E$6-OffsetZ)/Ecran)*'Calculs 3D'!$E$32)),0)</f>
        <v>0.26744699242859604</v>
      </c>
      <c r="H102" s="105">
        <f>IF(Body2Actif=TRUE,((((($B102*$H$4)+'Calculs 3D'!$C$7-OffsetX)/Ecran)*'Calculs 3D'!$C$31)+(((($C102*$H$4)+'Calculs 3D'!$D$7-OffsetY)/Ecran)*'Calculs 3D'!$D$31)+(((($D102*$H$4)+'Calculs 3D'!$E$7-OffsetZ)/Ecran)*'Calculs 3D'!$E$31)),0)</f>
        <v>2.3883408526955044E-2</v>
      </c>
      <c r="I102" s="105">
        <f>IF(Body2Actif=TRUE,((((($B102*$H$4)+'Calculs 3D'!$C$7-OffsetX)/Ecran)*'Calculs 3D'!$C$32)+(((($C102*$H$4)+'Calculs 3D'!$D$7-OffsetY)/Ecran)*'Calculs 3D'!$D$32)+(((($D102*$H$4)+'Calculs 3D'!$E$7-OffsetZ)/Ecran)*'Calculs 3D'!$E$32)),0)</f>
        <v>4.4289688955452211E-2</v>
      </c>
      <c r="J102" s="105">
        <f>IF(Body3Actif=TRUE,((((($B102*$J$4)+'Calculs 3D'!$C$8-OffsetX)/Ecran)*'Calculs 3D'!$C$31)+(((($C102*$J$4)+'Calculs 3D'!$D$8-OffsetY)/Ecran)*'Calculs 3D'!$D$31)+(((($D102*$J$4)+'Calculs 3D'!$E$8-OffsetZ)/Ecran)*'Calculs 3D'!$E$31)),0)</f>
        <v>0.21805349718209455</v>
      </c>
      <c r="K102" s="105">
        <f>IF(Body3Actif=TRUE,((((($B102*$J$4)+'Calculs 3D'!$C$8-OffsetX)/Ecran)*'Calculs 3D'!$C$32)+(((($C102*$J$4)+'Calculs 3D'!$D$8-OffsetY)/Ecran)*'Calculs 3D'!$D$32)+(((($D102*$J$4)+'Calculs 3D'!$E$8-OffsetZ)/Ecran)*'Calculs 3D'!$E$32)),0)</f>
        <v>-7.46587797875847E-2</v>
      </c>
      <c r="L102" s="105">
        <f>IF(Body4Actif=TRUE,((((($B102*$L$4)+'Calculs 3D'!$C$9-OffsetX)/Ecran)*'Calculs 3D'!$C$31)+(((($C102*$L$4)+'Calculs 3D'!$D$9-OffsetY)/Ecran)*'Calculs 3D'!$D$31)+(((($D102*$L$4)+'Calculs 3D'!$E$9-OffsetZ)/Ecran)*'Calculs 3D'!$E$31)),0)</f>
        <v>-9.5314667973387598E-2</v>
      </c>
      <c r="M102" s="105">
        <f>IF(Body4Actif=TRUE,((((($B102*$L$4)+'Calculs 3D'!$C$9-OffsetX)/Ecran)*'Calculs 3D'!$C$32)+(((($C102*$L$4)+'Calculs 3D'!$D$9-OffsetY)/Ecran)*'Calculs 3D'!$D$32)+(((($D102*$L$4)+'Calculs 3D'!$E$9-OffsetZ)/Ecran)*'Calculs 3D'!$E$32)),0)</f>
        <v>-0.16403700207647881</v>
      </c>
      <c r="N102" s="105">
        <f>IF(Body5Actif=TRUE,((((($B102*$N$4)+'Calculs 3D'!$C$10-OffsetX)/Ecran)*'Calculs 3D'!$C$31)+(((($C102*$N$4)+'Calculs 3D'!$D$10-OffsetY)/Ecran)*'Calculs 3D'!$D$31)+(((($D102*$N$4)+'Calculs 3D'!$E$10-OffsetZ)/Ecran)*'Calculs 3D'!$E$31)),0)</f>
        <v>-4.4611030942114278E-5</v>
      </c>
      <c r="O102" s="105">
        <f>IF(Body5Actif=TRUE,((((($B102*$N$4)+'Calculs 3D'!$C$10-OffsetX)/Ecran)*'Calculs 3D'!$C$32)+(((($C102*$N$4)+'Calculs 3D'!$D$10-OffsetY)/Ecran)*'Calculs 3D'!$D$32)+(((($D102*$N$4)+'Calculs 3D'!$E$10-OffsetZ)/Ecran)*'Calculs 3D'!$E$32)),0)</f>
        <v>4.0202076429517158E-3</v>
      </c>
      <c r="P102" s="105">
        <f>IF(Body6Actif=TRUE,((((($B102*$P$4)+'Calculs 3D'!$C$11-OffsetX)/Ecran)*'Calculs 3D'!$C$31)+(((($C102*$P$4)+'Calculs 3D'!$D$11-OffsetY)/Ecran)*'Calculs 3D'!$D$31)+(((($D102*$P$4)+'Calculs 3D'!$E$11-OffsetZ)/Ecran)*'Calculs 3D'!$E$31)),0)</f>
        <v>0.1693719788373983</v>
      </c>
      <c r="Q102" s="105">
        <f>IF(Body6Actif=TRUE,((((($B102*$P$4)+'Calculs 3D'!$C$11-OffsetX)/Ecran)*'Calculs 3D'!$C$32)+(((($C102*$P$4)+'Calculs 3D'!$D$11-OffsetY)/Ecran)*'Calculs 3D'!$D$32)+(((($D102*$P$4)+'Calculs 3D'!$E$11-OffsetZ)/Ecran)*'Calculs 3D'!$E$32)),0)</f>
        <v>0.14609821790609989</v>
      </c>
      <c r="R102" s="105">
        <f>IF(Body7Actif=TRUE,((((($B102*$R$4)+'Calculs 3D'!$C$12-OffsetX)/Ecran)*'Calculs 3D'!$C$31)+(((($C102*$R$4)+'Calculs 3D'!$D$12-OffsetY)/Ecran)*'Calculs 3D'!$D$31)+(((($D102*$R$4)+'Calculs 3D'!$E$12-OffsetZ)/Ecran)*'Calculs 3D'!$E$31)),0)</f>
        <v>-0.28204868409900047</v>
      </c>
      <c r="S102" s="105">
        <f>IF(Body7Actif=TRUE,((((($B102*$R$4)+'Calculs 3D'!$C$12-OffsetX)/Ecran)*'Calculs 3D'!$C$32)+(((($C102*$R$4)+'Calculs 3D'!$D$12-OffsetY)/Ecran)*'Calculs 3D'!$D$32)+(((($D102*$R$4)+'Calculs 3D'!$E$12-OffsetZ)/Ecran)*'Calculs 3D'!$E$32)),0)</f>
        <v>7.5442557091117204E-2</v>
      </c>
      <c r="T102" s="105">
        <f>IF(Body8Actif=TRUE,((((($B102*$T$4)+'Calculs 3D'!$C$13-OffsetX)/Ecran)*'Calculs 3D'!$C$31)+(((($C102*$T$4)+'Calculs 3D'!$D$13-OffsetY)/Ecran)*'Calculs 3D'!$D$31)+(((($D102*$T$4)+'Calculs 3D'!$E$13-OffsetZ)/Ecran)*'Calculs 3D'!$E$31)),0)</f>
        <v>0.16769823139605156</v>
      </c>
      <c r="U102" s="105">
        <f>IF(Body8Actif=TRUE,((((($B102*$T$4)+'Calculs 3D'!$C$13-OffsetX)/Ecran)*'Calculs 3D'!$C$32)+(((($C102*$T$4)+'Calculs 3D'!$D$13-OffsetY)/Ecran)*'Calculs 3D'!$D$32)+(((($D102*$T$4)+'Calculs 3D'!$E$13-OffsetZ)/Ecran)*'Calculs 3D'!$E$32)),0)</f>
        <v>-0.12584689633362223</v>
      </c>
      <c r="V102" s="105">
        <f>IF(Body9Actif=TRUE,((((($B102*$V$4)+'Calculs 3D'!$C$14-OffsetX)/Ecran)*'Calculs 3D'!$C$31)+(((($C102*$V$4)+'Calculs 3D'!$D$14-OffsetY)/Ecran)*'Calculs 3D'!$D$31)+(((($D102*$V$4)+'Calculs 3D'!$E$14-OffsetZ)/Ecran)*'Calculs 3D'!$E$31)),0)</f>
        <v>-0.17831461120936887</v>
      </c>
      <c r="W102" s="105">
        <f>IF(Body9Actif=TRUE,((((($B102*$V$4)+'Calculs 3D'!$C$14-OffsetX)/Ecran)*'Calculs 3D'!$C$32)+(((($C102*$V$4)+'Calculs 3D'!$D$14-OffsetY)/Ecran)*'Calculs 3D'!$D$32)+(((($D102*$V$4)+'Calculs 3D'!$E$14-OffsetZ)/Ecran)*'Calculs 3D'!$E$32)),0)</f>
        <v>0.29522777085046115</v>
      </c>
      <c r="X102" s="105">
        <f>IF(Body10Actif=TRUE,((((($B102*$X$4)+'Calculs 3D'!$C$15-OffsetX)/Ecran)*'Calculs 3D'!$C$31)+(((($C102*$X$4)+'Calculs 3D'!$D$15-OffsetY)/Ecran)*'Calculs 3D'!$D$31)+(((($D102*$X$4)+'Calculs 3D'!$E$15-OffsetZ)/Ecran)*'Calculs 3D'!$E$31)),0)</f>
        <v>-1.6432223411790181E-2</v>
      </c>
      <c r="Y102" s="105">
        <f>IF(Body10Actif=TRUE,((((($B102*$X$4)+'Calculs 3D'!$C$15-OffsetX)/Ecran)*'Calculs 3D'!$C$32)+(((($C102*$X$4)+'Calculs 3D'!$D$15-OffsetY)/Ecran)*'Calculs 3D'!$D$32)+(((($D102*$X$4)+'Calculs 3D'!$E$15-OffsetZ)/Ecran)*'Calculs 3D'!$E$32)),0)</f>
        <v>0.30243781649637813</v>
      </c>
    </row>
    <row r="103" spans="2:25" x14ac:dyDescent="0.3">
      <c r="B103" s="102">
        <v>-0.28531695488854608</v>
      </c>
      <c r="C103" s="102">
        <v>9.270509831248426E-2</v>
      </c>
      <c r="D103" s="102">
        <v>0.95</v>
      </c>
      <c r="F103" s="105">
        <f>IF(Body1Actif=TRUE,((((($B103*$F$4)+'Calculs 3D'!$C$6-OffsetX)/Ecran)*'Calculs 3D'!$C$31)+(((($C103*$F$4)+'Calculs 3D'!$D$6-OffsetY)/Ecran)*'Calculs 3D'!$D$31)+(((($D103*$F$4)+'Calculs 3D'!$E$6-OffsetZ)/Ecran)*'Calculs 3D'!$E$31)),0)</f>
        <v>4.9913182390289246E-2</v>
      </c>
      <c r="G103" s="105">
        <f>IF(Body1Actif=TRUE,((((($B103*$F$4)+'Calculs 3D'!$C$6-OffsetX)/Ecran)*'Calculs 3D'!$C$32)+(((($C103*$F$4)+'Calculs 3D'!$D$6-OffsetY)/Ecran)*'Calculs 3D'!$D$32)+(((($D103*$F$4)+'Calculs 3D'!$E$6-OffsetZ)/Ecran)*'Calculs 3D'!$E$32)),0)</f>
        <v>0.26734790876254833</v>
      </c>
      <c r="H103" s="105">
        <f>IF(Body2Actif=TRUE,((((($B103*$H$4)+'Calculs 3D'!$C$7-OffsetX)/Ecran)*'Calculs 3D'!$C$31)+(((($C103*$H$4)+'Calculs 3D'!$D$7-OffsetY)/Ecran)*'Calculs 3D'!$D$31)+(((($D103*$H$4)+'Calculs 3D'!$E$7-OffsetZ)/Ecran)*'Calculs 3D'!$E$31)),0)</f>
        <v>2.2652226475043016E-2</v>
      </c>
      <c r="I103" s="105">
        <f>IF(Body2Actif=TRUE,((((($B103*$H$4)+'Calculs 3D'!$C$7-OffsetX)/Ecran)*'Calculs 3D'!$C$32)+(((($C103*$H$4)+'Calculs 3D'!$D$7-OffsetY)/Ecran)*'Calculs 3D'!$D$32)+(((($D103*$H$4)+'Calculs 3D'!$E$7-OffsetZ)/Ecran)*'Calculs 3D'!$E$32)),0)</f>
        <v>4.3903473067812532E-2</v>
      </c>
      <c r="J103" s="105">
        <f>IF(Body3Actif=TRUE,((((($B103*$J$4)+'Calculs 3D'!$C$8-OffsetX)/Ecran)*'Calculs 3D'!$C$31)+(((($C103*$J$4)+'Calculs 3D'!$D$8-OffsetY)/Ecran)*'Calculs 3D'!$D$31)+(((($D103*$J$4)+'Calculs 3D'!$E$8-OffsetZ)/Ecran)*'Calculs 3D'!$E$31)),0)</f>
        <v>0.2175063325291981</v>
      </c>
      <c r="K103" s="105">
        <f>IF(Body3Actif=TRUE,((((($B103*$J$4)+'Calculs 3D'!$C$8-OffsetX)/Ecran)*'Calculs 3D'!$C$32)+(((($C103*$J$4)+'Calculs 3D'!$D$8-OffsetY)/Ecran)*'Calculs 3D'!$D$32)+(((($D103*$J$4)+'Calculs 3D'!$E$8-OffsetZ)/Ecran)*'Calculs 3D'!$E$32)),0)</f>
        <v>-7.4830422707309899E-2</v>
      </c>
      <c r="L103" s="105">
        <f>IF(Body4Actif=TRUE,((((($B103*$L$4)+'Calculs 3D'!$C$9-OffsetX)/Ecran)*'Calculs 3D'!$C$31)+(((($C103*$L$4)+'Calculs 3D'!$D$9-OffsetY)/Ecran)*'Calculs 3D'!$D$31)+(((($D103*$L$4)+'Calculs 3D'!$E$9-OffsetZ)/Ecran)*'Calculs 3D'!$E$31)),0)</f>
        <v>-9.6026142118252542E-2</v>
      </c>
      <c r="M103" s="105">
        <f>IF(Body4Actif=TRUE,((((($B103*$L$4)+'Calculs 3D'!$C$9-OffsetX)/Ecran)*'Calculs 3D'!$C$32)+(((($C103*$L$4)+'Calculs 3D'!$D$9-OffsetY)/Ecran)*'Calculs 3D'!$D$32)+(((($D103*$L$4)+'Calculs 3D'!$E$9-OffsetZ)/Ecran)*'Calculs 3D'!$E$32)),0)</f>
        <v>-0.16426018809349796</v>
      </c>
      <c r="N103" s="105">
        <f>IF(Body5Actif=TRUE,((((($B103*$N$4)+'Calculs 3D'!$C$10-OffsetX)/Ecran)*'Calculs 3D'!$C$31)+(((($C103*$N$4)+'Calculs 3D'!$D$10-OffsetY)/Ecran)*'Calculs 3D'!$D$31)+(((($D103*$N$4)+'Calculs 3D'!$E$10-OffsetZ)/Ecran)*'Calculs 3D'!$E$31)),0)</f>
        <v>-8.5682408254628573E-4</v>
      </c>
      <c r="O103" s="105">
        <f>IF(Body5Actif=TRUE,((((($B103*$N$4)+'Calculs 3D'!$C$10-OffsetX)/Ecran)*'Calculs 3D'!$C$32)+(((($C103*$N$4)+'Calculs 3D'!$D$10-OffsetY)/Ecran)*'Calculs 3D'!$D$32)+(((($D103*$N$4)+'Calculs 3D'!$E$10-OffsetZ)/Ecran)*'Calculs 3D'!$E$32)),0)</f>
        <v>3.7654203154474861E-3</v>
      </c>
      <c r="P103" s="105">
        <f>IF(Body6Actif=TRUE,((((($B103*$P$4)+'Calculs 3D'!$C$11-OffsetX)/Ecran)*'Calculs 3D'!$C$31)+(((($C103*$P$4)+'Calculs 3D'!$D$11-OffsetY)/Ecran)*'Calculs 3D'!$D$31)+(((($D103*$P$4)+'Calculs 3D'!$E$11-OffsetZ)/Ecran)*'Calculs 3D'!$E$31)),0)</f>
        <v>0.16819494346538194</v>
      </c>
      <c r="Q103" s="105">
        <f>IF(Body6Actif=TRUE,((((($B103*$P$4)+'Calculs 3D'!$C$11-OffsetX)/Ecran)*'Calculs 3D'!$C$32)+(((($C103*$P$4)+'Calculs 3D'!$D$11-OffsetY)/Ecran)*'Calculs 3D'!$D$32)+(((($D103*$P$4)+'Calculs 3D'!$E$11-OffsetZ)/Ecran)*'Calculs 3D'!$E$32)),0)</f>
        <v>0.14572898757149536</v>
      </c>
      <c r="R103" s="105">
        <f>IF(Body7Actif=TRUE,((((($B103*$R$4)+'Calculs 3D'!$C$12-OffsetX)/Ecran)*'Calculs 3D'!$C$31)+(((($C103*$R$4)+'Calculs 3D'!$D$12-OffsetY)/Ecran)*'Calculs 3D'!$D$31)+(((($D103*$R$4)+'Calculs 3D'!$E$12-OffsetZ)/Ecran)*'Calculs 3D'!$E$31)),0)</f>
        <v>-0.28323073776727747</v>
      </c>
      <c r="S103" s="105">
        <f>IF(Body7Actif=TRUE,((((($B103*$R$4)+'Calculs 3D'!$C$12-OffsetX)/Ecran)*'Calculs 3D'!$C$32)+(((($C103*$R$4)+'Calculs 3D'!$D$12-OffsetY)/Ecran)*'Calculs 3D'!$D$32)+(((($D103*$R$4)+'Calculs 3D'!$E$12-OffsetZ)/Ecran)*'Calculs 3D'!$E$32)),0)</f>
        <v>7.5071752541113951E-2</v>
      </c>
      <c r="T103" s="105">
        <f>IF(Body8Actif=TRUE,((((($B103*$T$4)+'Calculs 3D'!$C$13-OffsetX)/Ecran)*'Calculs 3D'!$C$31)+(((($C103*$T$4)+'Calculs 3D'!$D$13-OffsetY)/Ecran)*'Calculs 3D'!$D$31)+(((($D103*$T$4)+'Calculs 3D'!$E$13-OffsetZ)/Ecran)*'Calculs 3D'!$E$31)),0)</f>
        <v>0.16727191134678818</v>
      </c>
      <c r="U103" s="105">
        <f>IF(Body8Actif=TRUE,((((($B103*$T$4)+'Calculs 3D'!$C$13-OffsetX)/Ecran)*'Calculs 3D'!$C$32)+(((($C103*$T$4)+'Calculs 3D'!$D$13-OffsetY)/Ecran)*'Calculs 3D'!$D$32)+(((($D103*$T$4)+'Calculs 3D'!$E$13-OffsetZ)/Ecran)*'Calculs 3D'!$E$32)),0)</f>
        <v>-0.12598063088245612</v>
      </c>
      <c r="V103" s="105">
        <f>IF(Body9Actif=TRUE,((((($B103*$V$4)+'Calculs 3D'!$C$14-OffsetX)/Ecran)*'Calculs 3D'!$C$31)+(((($C103*$V$4)+'Calculs 3D'!$D$14-OffsetY)/Ecran)*'Calculs 3D'!$D$31)+(((($D103*$V$4)+'Calculs 3D'!$E$14-OffsetZ)/Ecran)*'Calculs 3D'!$E$31)),0)</f>
        <v>-0.17890613707368533</v>
      </c>
      <c r="W103" s="105">
        <f>IF(Body9Actif=TRUE,((((($B103*$V$4)+'Calculs 3D'!$C$14-OffsetX)/Ecran)*'Calculs 3D'!$C$32)+(((($C103*$V$4)+'Calculs 3D'!$D$14-OffsetY)/Ecran)*'Calculs 3D'!$D$32)+(((($D103*$V$4)+'Calculs 3D'!$E$14-OffsetZ)/Ecran)*'Calculs 3D'!$E$32)),0)</f>
        <v>0.29504221203209308</v>
      </c>
      <c r="X103" s="105">
        <f>IF(Body10Actif=TRUE,((((($B103*$X$4)+'Calculs 3D'!$C$15-OffsetX)/Ecran)*'Calculs 3D'!$C$31)+(((($C103*$X$4)+'Calculs 3D'!$D$15-OffsetY)/Ecran)*'Calculs 3D'!$D$31)+(((($D103*$X$4)+'Calculs 3D'!$E$15-OffsetZ)/Ecran)*'Calculs 3D'!$E$31)),0)</f>
        <v>-1.732510455071043E-2</v>
      </c>
      <c r="Y103" s="105">
        <f>IF(Body10Actif=TRUE,((((($B103*$X$4)+'Calculs 3D'!$C$15-OffsetX)/Ecran)*'Calculs 3D'!$C$32)+(((($C103*$X$4)+'Calculs 3D'!$D$15-OffsetY)/Ecran)*'Calculs 3D'!$D$32)+(((($D103*$X$4)+'Calculs 3D'!$E$15-OffsetZ)/Ecran)*'Calculs 3D'!$E$32)),0)</f>
        <v>0.30215772397790025</v>
      </c>
    </row>
    <row r="104" spans="2:25" x14ac:dyDescent="0.3">
      <c r="B104" s="102">
        <v>-0.30000000000000004</v>
      </c>
      <c r="C104" s="102">
        <v>3.6754453647258606E-17</v>
      </c>
      <c r="D104" s="102">
        <v>0.95</v>
      </c>
      <c r="F104" s="105">
        <f>IF(Body1Actif=TRUE,((((($B104*$F$4)+'Calculs 3D'!$C$6-OffsetX)/Ecran)*'Calculs 3D'!$C$31)+(((($C104*$F$4)+'Calculs 3D'!$D$6-OffsetY)/Ecran)*'Calculs 3D'!$D$31)+(((($D104*$F$4)+'Calculs 3D'!$E$6-OffsetZ)/Ecran)*'Calculs 3D'!$E$31)),0)</f>
        <v>4.9662514719536581E-2</v>
      </c>
      <c r="G104" s="105">
        <f>IF(Body1Actif=TRUE,((((($B104*$F$4)+'Calculs 3D'!$C$6-OffsetX)/Ecran)*'Calculs 3D'!$C$32)+(((($C104*$F$4)+'Calculs 3D'!$D$6-OffsetY)/Ecran)*'Calculs 3D'!$D$32)+(((($D104*$F$4)+'Calculs 3D'!$E$6-OffsetZ)/Ecran)*'Calculs 3D'!$E$32)),0)</f>
        <v>0.26719358233455631</v>
      </c>
      <c r="H104" s="105">
        <f>IF(Body2Actif=TRUE,((((($B104*$H$4)+'Calculs 3D'!$C$7-OffsetX)/Ecran)*'Calculs 3D'!$C$31)+(((($C104*$H$4)+'Calculs 3D'!$D$7-OffsetY)/Ecran)*'Calculs 3D'!$D$31)+(((($D104*$H$4)+'Calculs 3D'!$E$7-OffsetZ)/Ecran)*'Calculs 3D'!$E$31)),0)</f>
        <v>2.1675154866532424E-2</v>
      </c>
      <c r="I104" s="105">
        <f>IF(Body2Actif=TRUE,((((($B104*$H$4)+'Calculs 3D'!$C$7-OffsetX)/Ecran)*'Calculs 3D'!$C$32)+(((($C104*$H$4)+'Calculs 3D'!$D$7-OffsetY)/Ecran)*'Calculs 3D'!$D$32)+(((($D104*$H$4)+'Calculs 3D'!$E$7-OffsetZ)/Ecran)*'Calculs 3D'!$E$32)),0)</f>
        <v>4.3301927719818084E-2</v>
      </c>
      <c r="J104" s="105">
        <f>IF(Body3Actif=TRUE,((((($B104*$J$4)+'Calculs 3D'!$C$8-OffsetX)/Ecran)*'Calculs 3D'!$C$31)+(((($C104*$J$4)+'Calculs 3D'!$D$8-OffsetY)/Ecran)*'Calculs 3D'!$D$31)+(((($D104*$J$4)+'Calculs 3D'!$E$8-OffsetZ)/Ecran)*'Calculs 3D'!$E$31)),0)</f>
        <v>0.21707210020206552</v>
      </c>
      <c r="K104" s="105">
        <f>IF(Body3Actif=TRUE,((((($B104*$J$4)+'Calculs 3D'!$C$8-OffsetX)/Ecran)*'Calculs 3D'!$C$32)+(((($C104*$J$4)+'Calculs 3D'!$D$8-OffsetY)/Ecran)*'Calculs 3D'!$D$32)+(((($D104*$J$4)+'Calculs 3D'!$E$8-OffsetZ)/Ecran)*'Calculs 3D'!$E$32)),0)</f>
        <v>-7.5097762822466468E-2</v>
      </c>
      <c r="L104" s="105">
        <f>IF(Body4Actif=TRUE,((((($B104*$L$4)+'Calculs 3D'!$C$9-OffsetX)/Ecran)*'Calculs 3D'!$C$31)+(((($C104*$L$4)+'Calculs 3D'!$D$9-OffsetY)/Ecran)*'Calculs 3D'!$D$31)+(((($D104*$L$4)+'Calculs 3D'!$E$9-OffsetZ)/Ecran)*'Calculs 3D'!$E$31)),0)</f>
        <v>-9.6590771196508912E-2</v>
      </c>
      <c r="M104" s="105">
        <f>IF(Body4Actif=TRUE,((((($B104*$L$4)+'Calculs 3D'!$C$9-OffsetX)/Ecran)*'Calculs 3D'!$C$32)+(((($C104*$L$4)+'Calculs 3D'!$D$9-OffsetY)/Ecran)*'Calculs 3D'!$D$32)+(((($D104*$L$4)+'Calculs 3D'!$E$9-OffsetZ)/Ecran)*'Calculs 3D'!$E$32)),0)</f>
        <v>-0.16460780846482903</v>
      </c>
      <c r="N104" s="105">
        <f>IF(Body5Actif=TRUE,((((($B104*$N$4)+'Calculs 3D'!$C$10-OffsetX)/Ecran)*'Calculs 3D'!$C$31)+(((($C104*$N$4)+'Calculs 3D'!$D$10-OffsetY)/Ecran)*'Calculs 3D'!$D$31)+(((($D104*$N$4)+'Calculs 3D'!$E$10-OffsetZ)/Ecran)*'Calculs 3D'!$E$31)),0)</f>
        <v>-1.50140000984456E-3</v>
      </c>
      <c r="O104" s="105">
        <f>IF(Body5Actif=TRUE,((((($B104*$N$4)+'Calculs 3D'!$C$10-OffsetX)/Ecran)*'Calculs 3D'!$C$32)+(((($C104*$N$4)+'Calculs 3D'!$D$10-OffsetY)/Ecran)*'Calculs 3D'!$D$32)+(((($D104*$N$4)+'Calculs 3D'!$E$10-OffsetZ)/Ecran)*'Calculs 3D'!$E$32)),0)</f>
        <v>3.3685797490876253E-3</v>
      </c>
      <c r="P104" s="105">
        <f>IF(Body6Actif=TRUE,((((($B104*$P$4)+'Calculs 3D'!$C$11-OffsetX)/Ecran)*'Calculs 3D'!$C$31)+(((($C104*$P$4)+'Calculs 3D'!$D$11-OffsetY)/Ecran)*'Calculs 3D'!$D$31)+(((($D104*$P$4)+'Calculs 3D'!$E$11-OffsetZ)/Ecran)*'Calculs 3D'!$E$31)),0)</f>
        <v>0.16726084290533572</v>
      </c>
      <c r="Q104" s="105">
        <f>IF(Body6Actif=TRUE,((((($B104*$P$4)+'Calculs 3D'!$C$11-OffsetX)/Ecran)*'Calculs 3D'!$C$32)+(((($C104*$P$4)+'Calculs 3D'!$D$11-OffsetY)/Ecran)*'Calculs 3D'!$D$32)+(((($D104*$P$4)+'Calculs 3D'!$E$11-OffsetZ)/Ecran)*'Calculs 3D'!$E$32)),0)</f>
        <v>0.14515389784259475</v>
      </c>
      <c r="R104" s="105">
        <f>IF(Body7Actif=TRUE,((((($B104*$R$4)+'Calculs 3D'!$C$12-OffsetX)/Ecran)*'Calculs 3D'!$C$31)+(((($C104*$R$4)+'Calculs 3D'!$D$12-OffsetY)/Ecran)*'Calculs 3D'!$D$31)+(((($D104*$R$4)+'Calculs 3D'!$E$12-OffsetZ)/Ecran)*'Calculs 3D'!$E$31)),0)</f>
        <v>-0.28416882086978507</v>
      </c>
      <c r="S104" s="105">
        <f>IF(Body7Actif=TRUE,((((($B104*$R$4)+'Calculs 3D'!$C$12-OffsetX)/Ecran)*'Calculs 3D'!$C$32)+(((($C104*$R$4)+'Calculs 3D'!$D$12-OffsetY)/Ecran)*'Calculs 3D'!$D$32)+(((($D104*$R$4)+'Calculs 3D'!$E$12-OffsetZ)/Ecran)*'Calculs 3D'!$E$32)),0)</f>
        <v>7.4494210914246059E-2</v>
      </c>
      <c r="T104" s="105">
        <f>IF(Body8Actif=TRUE,((((($B104*$T$4)+'Calculs 3D'!$C$13-OffsetX)/Ecran)*'Calculs 3D'!$C$31)+(((($C104*$T$4)+'Calculs 3D'!$D$13-OffsetY)/Ecran)*'Calculs 3D'!$D$31)+(((($D104*$T$4)+'Calculs 3D'!$E$13-OffsetZ)/Ecran)*'Calculs 3D'!$E$31)),0)</f>
        <v>0.16693358184009408</v>
      </c>
      <c r="U104" s="105">
        <f>IF(Body8Actif=TRUE,((((($B104*$T$4)+'Calculs 3D'!$C$13-OffsetX)/Ecran)*'Calculs 3D'!$C$32)+(((($C104*$T$4)+'Calculs 3D'!$D$13-OffsetY)/Ecran)*'Calculs 3D'!$D$32)+(((($D104*$T$4)+'Calculs 3D'!$E$13-OffsetZ)/Ecran)*'Calculs 3D'!$E$32)),0)</f>
        <v>-0.12618892732569365</v>
      </c>
      <c r="V104" s="105">
        <f>IF(Body9Actif=TRUE,((((($B104*$V$4)+'Calculs 3D'!$C$14-OffsetX)/Ecran)*'Calculs 3D'!$C$31)+(((($C104*$V$4)+'Calculs 3D'!$D$14-OffsetY)/Ecran)*'Calculs 3D'!$D$31)+(((($D104*$V$4)+'Calculs 3D'!$E$14-OffsetZ)/Ecran)*'Calculs 3D'!$E$31)),0)</f>
        <v>-0.17937557465753062</v>
      </c>
      <c r="W104" s="105">
        <f>IF(Body9Actif=TRUE,((((($B104*$V$4)+'Calculs 3D'!$C$14-OffsetX)/Ecran)*'Calculs 3D'!$C$32)+(((($C104*$V$4)+'Calculs 3D'!$D$14-OffsetY)/Ecran)*'Calculs 3D'!$D$32)+(((($D104*$V$4)+'Calculs 3D'!$E$14-OffsetZ)/Ecran)*'Calculs 3D'!$E$32)),0)</f>
        <v>0.29475319739664957</v>
      </c>
      <c r="X104" s="105">
        <f>IF(Body10Actif=TRUE,((((($B104*$X$4)+'Calculs 3D'!$C$15-OffsetX)/Ecran)*'Calculs 3D'!$C$31)+(((($C104*$X$4)+'Calculs 3D'!$D$15-OffsetY)/Ecran)*'Calculs 3D'!$D$31)+(((($D104*$X$4)+'Calculs 3D'!$E$15-OffsetZ)/Ecran)*'Calculs 3D'!$E$31)),0)</f>
        <v>-1.8033699034571471E-2</v>
      </c>
      <c r="Y104" s="105">
        <f>IF(Body10Actif=TRUE,((((($B104*$X$4)+'Calculs 3D'!$C$15-OffsetX)/Ecran)*'Calculs 3D'!$C$32)+(((($C104*$X$4)+'Calculs 3D'!$D$15-OffsetY)/Ecran)*'Calculs 3D'!$D$32)+(((($D104*$X$4)+'Calculs 3D'!$E$15-OffsetZ)/Ecran)*'Calculs 3D'!$E$32)),0)</f>
        <v>0.30172146965255875</v>
      </c>
    </row>
    <row r="105" spans="2:25" x14ac:dyDescent="0.3">
      <c r="B105" s="102">
        <v>-0.28531695488854608</v>
      </c>
      <c r="C105" s="102">
        <v>-9.270509831248433E-2</v>
      </c>
      <c r="D105" s="102">
        <v>0.95</v>
      </c>
      <c r="F105" s="105">
        <f>IF(Body1Actif=TRUE,((((($B105*$F$4)+'Calculs 3D'!$C$6-OffsetX)/Ecran)*'Calculs 3D'!$C$31)+(((($C105*$F$4)+'Calculs 3D'!$D$6-OffsetY)/Ecran)*'Calculs 3D'!$D$31)+(((($D105*$F$4)+'Calculs 3D'!$E$6-OffsetZ)/Ecran)*'Calculs 3D'!$E$31)),0)</f>
        <v>4.9501576168045666E-2</v>
      </c>
      <c r="G105" s="105">
        <f>IF(Body1Actif=TRUE,((((($B105*$F$4)+'Calculs 3D'!$C$6-OffsetX)/Ecran)*'Calculs 3D'!$C$32)+(((($C105*$F$4)+'Calculs 3D'!$D$6-OffsetY)/Ecran)*'Calculs 3D'!$D$32)+(((($D105*$F$4)+'Calculs 3D'!$E$6-OffsetZ)/Ecran)*'Calculs 3D'!$E$32)),0)</f>
        <v>0.26699911969064721</v>
      </c>
      <c r="H105" s="105">
        <f>IF(Body2Actif=TRUE,((((($B105*$H$4)+'Calculs 3D'!$C$7-OffsetX)/Ecran)*'Calculs 3D'!$C$31)+(((($C105*$H$4)+'Calculs 3D'!$D$7-OffsetY)/Ecran)*'Calculs 3D'!$D$31)+(((($D105*$H$4)+'Calculs 3D'!$E$7-OffsetZ)/Ecran)*'Calculs 3D'!$E$31)),0)</f>
        <v>2.1047836278122473E-2</v>
      </c>
      <c r="I105" s="105">
        <f>IF(Body2Actif=TRUE,((((($B105*$H$4)+'Calculs 3D'!$C$7-OffsetX)/Ecran)*'Calculs 3D'!$C$32)+(((($C105*$H$4)+'Calculs 3D'!$D$7-OffsetY)/Ecran)*'Calculs 3D'!$D$32)+(((($D105*$H$4)+'Calculs 3D'!$E$7-OffsetZ)/Ecran)*'Calculs 3D'!$E$32)),0)</f>
        <v>4.2543936361343453E-2</v>
      </c>
      <c r="J105" s="105">
        <f>IF(Body3Actif=TRUE,((((($B105*$J$4)+'Calculs 3D'!$C$8-OffsetX)/Ecran)*'Calculs 3D'!$C$31)+(((($C105*$J$4)+'Calculs 3D'!$D$8-OffsetY)/Ecran)*'Calculs 3D'!$D$31)+(((($D105*$J$4)+'Calculs 3D'!$E$8-OffsetZ)/Ecran)*'Calculs 3D'!$E$31)),0)</f>
        <v>0.21679330588635098</v>
      </c>
      <c r="K105" s="105">
        <f>IF(Body3Actif=TRUE,((((($B105*$J$4)+'Calculs 3D'!$C$8-OffsetX)/Ecran)*'Calculs 3D'!$C$32)+(((($C105*$J$4)+'Calculs 3D'!$D$8-OffsetY)/Ecran)*'Calculs 3D'!$D$32)+(((($D105*$J$4)+'Calculs 3D'!$E$8-OffsetZ)/Ecran)*'Calculs 3D'!$E$32)),0)</f>
        <v>-7.5434631019914725E-2</v>
      </c>
      <c r="L105" s="105">
        <f>IF(Body4Actif=TRUE,((((($B105*$L$4)+'Calculs 3D'!$C$9-OffsetX)/Ecran)*'Calculs 3D'!$C$31)+(((($C105*$L$4)+'Calculs 3D'!$D$9-OffsetY)/Ecran)*'Calculs 3D'!$D$31)+(((($D105*$L$4)+'Calculs 3D'!$E$9-OffsetZ)/Ecran)*'Calculs 3D'!$E$31)),0)</f>
        <v>-9.6953285379974871E-2</v>
      </c>
      <c r="M105" s="105">
        <f>IF(Body4Actif=TRUE,((((($B105*$L$4)+'Calculs 3D'!$C$9-OffsetX)/Ecran)*'Calculs 3D'!$C$32)+(((($C105*$L$4)+'Calculs 3D'!$D$9-OffsetY)/Ecran)*'Calculs 3D'!$D$32)+(((($D105*$L$4)+'Calculs 3D'!$E$9-OffsetZ)/Ecran)*'Calculs 3D'!$E$32)),0)</f>
        <v>-0.16504583568651263</v>
      </c>
      <c r="N105" s="105">
        <f>IF(Body5Actif=TRUE,((((($B105*$N$4)+'Calculs 3D'!$C$10-OffsetX)/Ecran)*'Calculs 3D'!$C$31)+(((($C105*$N$4)+'Calculs 3D'!$D$10-OffsetY)/Ecran)*'Calculs 3D'!$D$31)+(((($D105*$N$4)+'Calculs 3D'!$E$10-OffsetZ)/Ecran)*'Calculs 3D'!$E$31)),0)</f>
        <v>-1.9152432300484201E-3</v>
      </c>
      <c r="O105" s="105">
        <f>IF(Body5Actif=TRUE,((((($B105*$N$4)+'Calculs 3D'!$C$10-OffsetX)/Ecran)*'Calculs 3D'!$C$32)+(((($C105*$N$4)+'Calculs 3D'!$D$10-OffsetY)/Ecran)*'Calculs 3D'!$D$32)+(((($D105*$N$4)+'Calculs 3D'!$E$10-OffsetZ)/Ecran)*'Calculs 3D'!$E$32)),0)</f>
        <v>2.8685314634582446E-3</v>
      </c>
      <c r="P105" s="105">
        <f>IF(Body6Actif=TRUE,((((($B105*$P$4)+'Calculs 3D'!$C$11-OffsetX)/Ecran)*'Calculs 3D'!$C$31)+(((($C105*$P$4)+'Calculs 3D'!$D$11-OffsetY)/Ecran)*'Calculs 3D'!$D$31)+(((($D105*$P$4)+'Calculs 3D'!$E$11-OffsetZ)/Ecran)*'Calculs 3D'!$E$31)),0)</f>
        <v>0.1666611134283382</v>
      </c>
      <c r="Q105" s="105">
        <f>IF(Body6Actif=TRUE,((((($B105*$P$4)+'Calculs 3D'!$C$11-OffsetX)/Ecran)*'Calculs 3D'!$C$32)+(((($C105*$P$4)+'Calculs 3D'!$D$11-OffsetY)/Ecran)*'Calculs 3D'!$D$32)+(((($D105*$P$4)+'Calculs 3D'!$E$11-OffsetZ)/Ecran)*'Calculs 3D'!$E$32)),0)</f>
        <v>0.14442924250894867</v>
      </c>
      <c r="R105" s="105">
        <f>IF(Body7Actif=TRUE,((((($B105*$R$4)+'Calculs 3D'!$C$12-OffsetX)/Ecran)*'Calculs 3D'!$C$31)+(((($C105*$R$4)+'Calculs 3D'!$D$12-OffsetY)/Ecran)*'Calculs 3D'!$D$31)+(((($D105*$R$4)+'Calculs 3D'!$E$12-OffsetZ)/Ecran)*'Calculs 3D'!$E$31)),0)</f>
        <v>-0.28477110729644051</v>
      </c>
      <c r="S105" s="105">
        <f>IF(Body7Actif=TRUE,((((($B105*$R$4)+'Calculs 3D'!$C$12-OffsetX)/Ecran)*'Calculs 3D'!$C$32)+(((($C105*$R$4)+'Calculs 3D'!$D$12-OffsetY)/Ecran)*'Calculs 3D'!$D$32)+(((($D105*$R$4)+'Calculs 3D'!$E$12-OffsetZ)/Ecran)*'Calculs 3D'!$E$32)),0)</f>
        <v>7.3766466008920506E-2</v>
      </c>
      <c r="T105" s="105">
        <f>IF(Body8Actif=TRUE,((((($B105*$T$4)+'Calculs 3D'!$C$13-OffsetX)/Ecran)*'Calculs 3D'!$C$31)+(((($C105*$T$4)+'Calculs 3D'!$D$13-OffsetY)/Ecran)*'Calculs 3D'!$D$31)+(((($D105*$T$4)+'Calculs 3D'!$E$13-OffsetZ)/Ecran)*'Calculs 3D'!$E$31)),0)</f>
        <v>0.16671636092536465</v>
      </c>
      <c r="U105" s="105">
        <f>IF(Body8Actif=TRUE,((((($B105*$T$4)+'Calculs 3D'!$C$13-OffsetX)/Ecran)*'Calculs 3D'!$C$32)+(((($C105*$T$4)+'Calculs 3D'!$D$13-OffsetY)/Ecran)*'Calculs 3D'!$D$32)+(((($D105*$T$4)+'Calculs 3D'!$E$13-OffsetZ)/Ecran)*'Calculs 3D'!$E$32)),0)</f>
        <v>-0.126451396156184</v>
      </c>
      <c r="V105" s="105">
        <f>IF(Body9Actif=TRUE,((((($B105*$V$4)+'Calculs 3D'!$C$14-OffsetX)/Ecran)*'Calculs 3D'!$C$31)+(((($C105*$V$4)+'Calculs 3D'!$D$14-OffsetY)/Ecran)*'Calculs 3D'!$D$31)+(((($D105*$V$4)+'Calculs 3D'!$E$14-OffsetZ)/Ecran)*'Calculs 3D'!$E$31)),0)</f>
        <v>-0.17967697213943401</v>
      </c>
      <c r="W105" s="105">
        <f>IF(Body9Actif=TRUE,((((($B105*$V$4)+'Calculs 3D'!$C$14-OffsetX)/Ecran)*'Calculs 3D'!$C$32)+(((($C105*$V$4)+'Calculs 3D'!$D$14-OffsetY)/Ecran)*'Calculs 3D'!$D$32)+(((($D105*$V$4)+'Calculs 3D'!$E$14-OffsetZ)/Ecran)*'Calculs 3D'!$E$32)),0)</f>
        <v>0.29438901771033121</v>
      </c>
      <c r="X105" s="105">
        <f>IF(Body10Actif=TRUE,((((($B105*$X$4)+'Calculs 3D'!$C$15-OffsetX)/Ecran)*'Calculs 3D'!$C$31)+(((($C105*$X$4)+'Calculs 3D'!$D$15-OffsetY)/Ecran)*'Calculs 3D'!$D$31)+(((($D105*$X$4)+'Calculs 3D'!$E$15-OffsetZ)/Ecran)*'Calculs 3D'!$E$31)),0)</f>
        <v>-1.8488644698224907E-2</v>
      </c>
      <c r="Y105" s="105">
        <f>IF(Body10Actif=TRUE,((((($B105*$X$4)+'Calculs 3D'!$C$15-OffsetX)/Ecran)*'Calculs 3D'!$C$32)+(((($C105*$X$4)+'Calculs 3D'!$D$15-OffsetY)/Ecran)*'Calculs 3D'!$D$32)+(((($D105*$X$4)+'Calculs 3D'!$E$15-OffsetZ)/Ecran)*'Calculs 3D'!$E$32)),0)</f>
        <v>0.30117175713328059</v>
      </c>
    </row>
    <row r="106" spans="2:25" x14ac:dyDescent="0.3">
      <c r="B106" s="102">
        <v>-0.2427050983124843</v>
      </c>
      <c r="C106" s="102">
        <v>-0.17633557568774194</v>
      </c>
      <c r="D106" s="102">
        <v>0.95</v>
      </c>
      <c r="F106" s="105">
        <f>IF(Body1Actif=TRUE,((((($B106*$F$4)+'Calculs 3D'!$C$6-OffsetX)/Ecran)*'Calculs 3D'!$C$31)+(((($C106*$F$4)+'Calculs 3D'!$D$6-OffsetY)/Ecran)*'Calculs 3D'!$D$31)+(((($D106*$F$4)+'Calculs 3D'!$E$6-OffsetZ)/Ecran)*'Calculs 3D'!$E$31)),0)</f>
        <v>4.9446120522561303E-2</v>
      </c>
      <c r="G106" s="105">
        <f>IF(Body1Actif=TRUE,((((($B106*$F$4)+'Calculs 3D'!$C$6-OffsetX)/Ecran)*'Calculs 3D'!$C$32)+(((($C106*$F$4)+'Calculs 3D'!$D$6-OffsetY)/Ecran)*'Calculs 3D'!$D$32)+(((($D106*$F$4)+'Calculs 3D'!$E$6-OffsetZ)/Ecran)*'Calculs 3D'!$E$32)),0)</f>
        <v>0.26678355618930777</v>
      </c>
      <c r="H106" s="105">
        <f>IF(Body2Actif=TRUE,((((($B106*$H$4)+'Calculs 3D'!$C$7-OffsetX)/Ecran)*'Calculs 3D'!$C$31)+(((($C106*$H$4)+'Calculs 3D'!$D$7-OffsetY)/Ecran)*'Calculs 3D'!$D$31)+(((($D106*$H$4)+'Calculs 3D'!$E$7-OffsetZ)/Ecran)*'Calculs 3D'!$E$31)),0)</f>
        <v>2.0831677024032352E-2</v>
      </c>
      <c r="I106" s="105">
        <f>IF(Body2Actif=TRUE,((((($B106*$H$4)+'Calculs 3D'!$C$7-OffsetX)/Ecran)*'Calculs 3D'!$C$32)+(((($C106*$H$4)+'Calculs 3D'!$D$7-OffsetY)/Ecran)*'Calculs 3D'!$D$32)+(((($D106*$H$4)+'Calculs 3D'!$E$7-OffsetZ)/Ecran)*'Calculs 3D'!$E$32)),0)</f>
        <v>4.1703696467792477E-2</v>
      </c>
      <c r="J106" s="105">
        <f>IF(Body3Actif=TRUE,((((($B106*$J$4)+'Calculs 3D'!$C$8-OffsetX)/Ecran)*'Calculs 3D'!$C$31)+(((($C106*$J$4)+'Calculs 3D'!$D$8-OffsetY)/Ecran)*'Calculs 3D'!$D$31)+(((($D106*$J$4)+'Calculs 3D'!$E$8-OffsetZ)/Ecran)*'Calculs 3D'!$E$31)),0)</f>
        <v>0.21669723991215095</v>
      </c>
      <c r="K106" s="105">
        <f>IF(Body3Actif=TRUE,((((($B106*$J$4)+'Calculs 3D'!$C$8-OffsetX)/Ecran)*'Calculs 3D'!$C$32)+(((($C106*$J$4)+'Calculs 3D'!$D$8-OffsetY)/Ecran)*'Calculs 3D'!$D$32)+(((($D106*$J$4)+'Calculs 3D'!$E$8-OffsetZ)/Ecran)*'Calculs 3D'!$E$32)),0)</f>
        <v>-7.5808052293389716E-2</v>
      </c>
      <c r="L106" s="105">
        <f>IF(Body4Actif=TRUE,((((($B106*$L$4)+'Calculs 3D'!$C$9-OffsetX)/Ecran)*'Calculs 3D'!$C$31)+(((($C106*$L$4)+'Calculs 3D'!$D$9-OffsetY)/Ecran)*'Calculs 3D'!$D$31)+(((($D106*$L$4)+'Calculs 3D'!$E$9-OffsetZ)/Ecran)*'Calculs 3D'!$E$31)),0)</f>
        <v>-9.7078199254587952E-2</v>
      </c>
      <c r="M106" s="105">
        <f>IF(Body4Actif=TRUE,((((($B106*$L$4)+'Calculs 3D'!$C$9-OffsetX)/Ecran)*'Calculs 3D'!$C$32)+(((($C106*$L$4)+'Calculs 3D'!$D$9-OffsetY)/Ecran)*'Calculs 3D'!$D$32)+(((($D106*$L$4)+'Calculs 3D'!$E$9-OffsetZ)/Ecran)*'Calculs 3D'!$E$32)),0)</f>
        <v>-0.16553139260217525</v>
      </c>
      <c r="N106" s="105">
        <f>IF(Body5Actif=TRUE,((((($B106*$N$4)+'Calculs 3D'!$C$10-OffsetX)/Ecran)*'Calculs 3D'!$C$31)+(((($C106*$N$4)+'Calculs 3D'!$D$10-OffsetY)/Ecran)*'Calculs 3D'!$D$31)+(((($D106*$N$4)+'Calculs 3D'!$E$10-OffsetZ)/Ecran)*'Calculs 3D'!$E$31)),0)</f>
        <v>-2.0578438853490451E-3</v>
      </c>
      <c r="O106" s="105">
        <f>IF(Body5Actif=TRUE,((((($B106*$N$4)+'Calculs 3D'!$C$10-OffsetX)/Ecran)*'Calculs 3D'!$C$32)+(((($C106*$N$4)+'Calculs 3D'!$D$10-OffsetY)/Ecran)*'Calculs 3D'!$D$32)+(((($D106*$N$4)+'Calculs 3D'!$E$10-OffsetZ)/Ecran)*'Calculs 3D'!$E$32)),0)</f>
        <v>2.3142236687980211E-3</v>
      </c>
      <c r="P106" s="105">
        <f>IF(Body6Actif=TRUE,((((($B106*$P$4)+'Calculs 3D'!$C$11-OffsetX)/Ecran)*'Calculs 3D'!$C$31)+(((($C106*$P$4)+'Calculs 3D'!$D$11-OffsetY)/Ecran)*'Calculs 3D'!$D$31)+(((($D106*$P$4)+'Calculs 3D'!$E$11-OffsetZ)/Ecran)*'Calculs 3D'!$E$31)),0)</f>
        <v>0.16645446073415898</v>
      </c>
      <c r="Q106" s="105">
        <f>IF(Body6Actif=TRUE,((((($B106*$P$4)+'Calculs 3D'!$C$11-OffsetX)/Ecran)*'Calculs 3D'!$C$32)+(((($C106*$P$4)+'Calculs 3D'!$D$11-OffsetY)/Ecran)*'Calculs 3D'!$D$32)+(((($D106*$P$4)+'Calculs 3D'!$E$11-OffsetZ)/Ecran)*'Calculs 3D'!$E$32)),0)</f>
        <v>0.14362595588358495</v>
      </c>
      <c r="R106" s="105">
        <f>IF(Body7Actif=TRUE,((((($B106*$R$4)+'Calculs 3D'!$C$12-OffsetX)/Ecran)*'Calculs 3D'!$C$31)+(((($C106*$R$4)+'Calculs 3D'!$D$12-OffsetY)/Ecran)*'Calculs 3D'!$D$31)+(((($D106*$R$4)+'Calculs 3D'!$E$12-OffsetZ)/Ecran)*'Calculs 3D'!$E$31)),0)</f>
        <v>-0.28497864105542636</v>
      </c>
      <c r="S106" s="105">
        <f>IF(Body7Actif=TRUE,((((($B106*$R$4)+'Calculs 3D'!$C$12-OffsetX)/Ecran)*'Calculs 3D'!$C$32)+(((($C106*$R$4)+'Calculs 3D'!$D$12-OffsetY)/Ecran)*'Calculs 3D'!$D$32)+(((($D106*$R$4)+'Calculs 3D'!$E$12-OffsetZ)/Ecran)*'Calculs 3D'!$E$32)),0)</f>
        <v>7.2959754566967489E-2</v>
      </c>
      <c r="T106" s="105">
        <f>IF(Body8Actif=TRUE,((((($B106*$T$4)+'Calculs 3D'!$C$13-OffsetX)/Ecran)*'Calculs 3D'!$C$31)+(((($C106*$T$4)+'Calculs 3D'!$D$13-OffsetY)/Ecran)*'Calculs 3D'!$D$31)+(((($D106*$T$4)+'Calculs 3D'!$E$13-OffsetZ)/Ecran)*'Calculs 3D'!$E$31)),0)</f>
        <v>0.16664151169920083</v>
      </c>
      <c r="U106" s="105">
        <f>IF(Body8Actif=TRUE,((((($B106*$T$4)+'Calculs 3D'!$C$13-OffsetX)/Ecran)*'Calculs 3D'!$C$32)+(((($C106*$T$4)+'Calculs 3D'!$D$13-OffsetY)/Ecran)*'Calculs 3D'!$D$32)+(((($D106*$T$4)+'Calculs 3D'!$E$13-OffsetZ)/Ecran)*'Calculs 3D'!$E$32)),0)</f>
        <v>-0.12674234509607102</v>
      </c>
      <c r="V106" s="105">
        <f>IF(Body9Actif=TRUE,((((($B106*$V$4)+'Calculs 3D'!$C$14-OffsetX)/Ecran)*'Calculs 3D'!$C$31)+(((($C106*$V$4)+'Calculs 3D'!$D$14-OffsetY)/Ecran)*'Calculs 3D'!$D$31)+(((($D106*$V$4)+'Calculs 3D'!$E$14-OffsetZ)/Ecran)*'Calculs 3D'!$E$31)),0)</f>
        <v>-0.17978082663390707</v>
      </c>
      <c r="W106" s="105">
        <f>IF(Body9Actif=TRUE,((((($B106*$V$4)+'Calculs 3D'!$C$14-OffsetX)/Ecran)*'Calculs 3D'!$C$32)+(((($C106*$V$4)+'Calculs 3D'!$D$14-OffsetY)/Ecran)*'Calculs 3D'!$D$32)+(((($D106*$V$4)+'Calculs 3D'!$E$14-OffsetZ)/Ecran)*'Calculs 3D'!$E$32)),0)</f>
        <v>0.29398532141822398</v>
      </c>
      <c r="X106" s="105">
        <f>IF(Body10Actif=TRUE,((((($B106*$X$4)+'Calculs 3D'!$C$15-OffsetX)/Ecran)*'Calculs 3D'!$C$31)+(((($C106*$X$4)+'Calculs 3D'!$D$15-OffsetY)/Ecran)*'Calculs 3D'!$D$31)+(((($D106*$X$4)+'Calculs 3D'!$E$15-OffsetZ)/Ecran)*'Calculs 3D'!$E$31)),0)</f>
        <v>-1.8645408290319535E-2</v>
      </c>
      <c r="Y106" s="105">
        <f>IF(Body10Actif=TRUE,((((($B106*$X$4)+'Calculs 3D'!$C$15-OffsetX)/Ecran)*'Calculs 3D'!$C$32)+(((($C106*$X$4)+'Calculs 3D'!$D$15-OffsetY)/Ecran)*'Calculs 3D'!$D$32)+(((($D106*$X$4)+'Calculs 3D'!$E$15-OffsetZ)/Ecran)*'Calculs 3D'!$E$32)),0)</f>
        <v>0.30056239611152524</v>
      </c>
    </row>
    <row r="107" spans="2:25" x14ac:dyDescent="0.3">
      <c r="B107" s="102">
        <v>-0.176335575687742</v>
      </c>
      <c r="C107" s="102">
        <v>-0.24270509831248424</v>
      </c>
      <c r="D107" s="102">
        <v>0.95</v>
      </c>
      <c r="F107" s="105">
        <f>IF(Body1Actif=TRUE,((((($B107*$F$4)+'Calculs 3D'!$C$6-OffsetX)/Ecran)*'Calculs 3D'!$C$31)+(((($C107*$F$4)+'Calculs 3D'!$D$6-OffsetY)/Ecran)*'Calculs 3D'!$D$31)+(((($D107*$F$4)+'Calculs 3D'!$E$6-OffsetZ)/Ecran)*'Calculs 3D'!$E$31)),0)</f>
        <v>4.9501576168045673E-2</v>
      </c>
      <c r="G107" s="105">
        <f>IF(Body1Actif=TRUE,((((($B107*$F$4)+'Calculs 3D'!$C$6-OffsetX)/Ecran)*'Calculs 3D'!$C$32)+(((($C107*$F$4)+'Calculs 3D'!$D$6-OffsetY)/Ecran)*'Calculs 3D'!$D$32)+(((($D107*$F$4)+'Calculs 3D'!$E$6-OffsetZ)/Ecran)*'Calculs 3D'!$E$32)),0)</f>
        <v>0.26656799268796832</v>
      </c>
      <c r="H107" s="105">
        <f>IF(Body2Actif=TRUE,((((($B107*$H$4)+'Calculs 3D'!$C$7-OffsetX)/Ecran)*'Calculs 3D'!$C$31)+(((($C107*$H$4)+'Calculs 3D'!$D$7-OffsetY)/Ecran)*'Calculs 3D'!$D$31)+(((($D107*$H$4)+'Calculs 3D'!$E$7-OffsetZ)/Ecran)*'Calculs 3D'!$E$31)),0)</f>
        <v>2.1047836278122477E-2</v>
      </c>
      <c r="I107" s="105">
        <f>IF(Body2Actif=TRUE,((((($B107*$H$4)+'Calculs 3D'!$C$7-OffsetX)/Ecran)*'Calculs 3D'!$C$32)+(((($C107*$H$4)+'Calculs 3D'!$D$7-OffsetY)/Ecran)*'Calculs 3D'!$D$32)+(((($D107*$H$4)+'Calculs 3D'!$E$7-OffsetZ)/Ecran)*'Calculs 3D'!$E$32)),0)</f>
        <v>4.0863456574241501E-2</v>
      </c>
      <c r="J107" s="105">
        <f>IF(Body3Actif=TRUE,((((($B107*$J$4)+'Calculs 3D'!$C$8-OffsetX)/Ecran)*'Calculs 3D'!$C$31)+(((($C107*$J$4)+'Calculs 3D'!$D$8-OffsetY)/Ecran)*'Calculs 3D'!$D$31)+(((($D107*$J$4)+'Calculs 3D'!$E$8-OffsetZ)/Ecran)*'Calculs 3D'!$E$31)),0)</f>
        <v>0.21679330588635101</v>
      </c>
      <c r="K107" s="105">
        <f>IF(Body3Actif=TRUE,((((($B107*$J$4)+'Calculs 3D'!$C$8-OffsetX)/Ecran)*'Calculs 3D'!$C$32)+(((($C107*$J$4)+'Calculs 3D'!$D$8-OffsetY)/Ecran)*'Calculs 3D'!$D$32)+(((($D107*$J$4)+'Calculs 3D'!$E$8-OffsetZ)/Ecran)*'Calculs 3D'!$E$32)),0)</f>
        <v>-7.6181473566864721E-2</v>
      </c>
      <c r="L107" s="105">
        <f>IF(Body4Actif=TRUE,((((($B107*$L$4)+'Calculs 3D'!$C$9-OffsetX)/Ecran)*'Calculs 3D'!$C$31)+(((($C107*$L$4)+'Calculs 3D'!$D$9-OffsetY)/Ecran)*'Calculs 3D'!$D$31)+(((($D107*$L$4)+'Calculs 3D'!$E$9-OffsetZ)/Ecran)*'Calculs 3D'!$E$31)),0)</f>
        <v>-9.6953285379974885E-2</v>
      </c>
      <c r="M107" s="105">
        <f>IF(Body4Actif=TRUE,((((($B107*$L$4)+'Calculs 3D'!$C$9-OffsetX)/Ecran)*'Calculs 3D'!$C$32)+(((($C107*$L$4)+'Calculs 3D'!$D$9-OffsetY)/Ecran)*'Calculs 3D'!$D$32)+(((($D107*$L$4)+'Calculs 3D'!$E$9-OffsetZ)/Ecran)*'Calculs 3D'!$E$32)),0)</f>
        <v>-0.16601694951783788</v>
      </c>
      <c r="N107" s="105">
        <f>IF(Body5Actif=TRUE,((((($B107*$N$4)+'Calculs 3D'!$C$10-OffsetX)/Ecran)*'Calculs 3D'!$C$31)+(((($C107*$N$4)+'Calculs 3D'!$D$10-OffsetY)/Ecran)*'Calculs 3D'!$D$31)+(((($D107*$N$4)+'Calculs 3D'!$E$10-OffsetZ)/Ecran)*'Calculs 3D'!$E$31)),0)</f>
        <v>-1.9152432300484218E-3</v>
      </c>
      <c r="O107" s="105">
        <f>IF(Body5Actif=TRUE,((((($B107*$N$4)+'Calculs 3D'!$C$10-OffsetX)/Ecran)*'Calculs 3D'!$C$32)+(((($C107*$N$4)+'Calculs 3D'!$D$10-OffsetY)/Ecran)*'Calculs 3D'!$D$32)+(((($D107*$N$4)+'Calculs 3D'!$E$10-OffsetZ)/Ecran)*'Calculs 3D'!$E$32)),0)</f>
        <v>1.7599158741377977E-3</v>
      </c>
      <c r="P107" s="105">
        <f>IF(Body6Actif=TRUE,((((($B107*$P$4)+'Calculs 3D'!$C$11-OffsetX)/Ecran)*'Calculs 3D'!$C$31)+(((($C107*$P$4)+'Calculs 3D'!$D$11-OffsetY)/Ecran)*'Calculs 3D'!$D$31)+(((($D107*$P$4)+'Calculs 3D'!$E$11-OffsetZ)/Ecran)*'Calculs 3D'!$E$31)),0)</f>
        <v>0.16666111342833823</v>
      </c>
      <c r="Q107" s="105">
        <f>IF(Body6Actif=TRUE,((((($B107*$P$4)+'Calculs 3D'!$C$11-OffsetX)/Ecran)*'Calculs 3D'!$C$32)+(((($C107*$P$4)+'Calculs 3D'!$D$11-OffsetY)/Ecran)*'Calculs 3D'!$D$32)+(((($D107*$P$4)+'Calculs 3D'!$E$11-OffsetZ)/Ecran)*'Calculs 3D'!$E$32)),0)</f>
        <v>0.14282266925822124</v>
      </c>
      <c r="R107" s="105">
        <f>IF(Body7Actif=TRUE,((((($B107*$R$4)+'Calculs 3D'!$C$12-OffsetX)/Ecran)*'Calculs 3D'!$C$31)+(((($C107*$R$4)+'Calculs 3D'!$D$12-OffsetY)/Ecran)*'Calculs 3D'!$D$31)+(((($D107*$R$4)+'Calculs 3D'!$E$12-OffsetZ)/Ecran)*'Calculs 3D'!$E$31)),0)</f>
        <v>-0.28477110729644045</v>
      </c>
      <c r="S107" s="105">
        <f>IF(Body7Actif=TRUE,((((($B107*$R$4)+'Calculs 3D'!$C$12-OffsetX)/Ecran)*'Calculs 3D'!$C$32)+(((($C107*$R$4)+'Calculs 3D'!$D$12-OffsetY)/Ecran)*'Calculs 3D'!$D$32)+(((($D107*$R$4)+'Calculs 3D'!$E$12-OffsetZ)/Ecran)*'Calculs 3D'!$E$32)),0)</f>
        <v>7.2153043125014499E-2</v>
      </c>
      <c r="T107" s="105">
        <f>IF(Body8Actif=TRUE,((((($B107*$T$4)+'Calculs 3D'!$C$13-OffsetX)/Ecran)*'Calculs 3D'!$C$31)+(((($C107*$T$4)+'Calculs 3D'!$D$13-OffsetY)/Ecran)*'Calculs 3D'!$D$31)+(((($D107*$T$4)+'Calculs 3D'!$E$13-OffsetZ)/Ecran)*'Calculs 3D'!$E$31)),0)</f>
        <v>0.16671636092536468</v>
      </c>
      <c r="U107" s="105">
        <f>IF(Body8Actif=TRUE,((((($B107*$T$4)+'Calculs 3D'!$C$13-OffsetX)/Ecran)*'Calculs 3D'!$C$32)+(((($C107*$T$4)+'Calculs 3D'!$D$13-OffsetY)/Ecran)*'Calculs 3D'!$D$32)+(((($D107*$T$4)+'Calculs 3D'!$E$13-OffsetZ)/Ecran)*'Calculs 3D'!$E$32)),0)</f>
        <v>-0.12703329403595798</v>
      </c>
      <c r="V107" s="105">
        <f>IF(Body9Actif=TRUE,((((($B107*$V$4)+'Calculs 3D'!$C$14-OffsetX)/Ecran)*'Calculs 3D'!$C$31)+(((($C107*$V$4)+'Calculs 3D'!$D$14-OffsetY)/Ecran)*'Calculs 3D'!$D$31)+(((($D107*$V$4)+'Calculs 3D'!$E$14-OffsetZ)/Ecran)*'Calculs 3D'!$E$31)),0)</f>
        <v>-0.17967697213943401</v>
      </c>
      <c r="W107" s="105">
        <f>IF(Body9Actif=TRUE,((((($B107*$V$4)+'Calculs 3D'!$C$14-OffsetX)/Ecran)*'Calculs 3D'!$C$32)+(((($C107*$V$4)+'Calculs 3D'!$D$14-OffsetY)/Ecran)*'Calculs 3D'!$D$32)+(((($D107*$V$4)+'Calculs 3D'!$E$14-OffsetZ)/Ecran)*'Calculs 3D'!$E$32)),0)</f>
        <v>0.29358162512611674</v>
      </c>
      <c r="X107" s="105">
        <f>IF(Body10Actif=TRUE,((((($B107*$X$4)+'Calculs 3D'!$C$15-OffsetX)/Ecran)*'Calculs 3D'!$C$31)+(((($C107*$X$4)+'Calculs 3D'!$D$15-OffsetY)/Ecran)*'Calculs 3D'!$D$31)+(((($D107*$X$4)+'Calculs 3D'!$E$15-OffsetZ)/Ecran)*'Calculs 3D'!$E$31)),0)</f>
        <v>-1.8488644698224893E-2</v>
      </c>
      <c r="Y107" s="105">
        <f>IF(Body10Actif=TRUE,((((($B107*$X$4)+'Calculs 3D'!$C$15-OffsetX)/Ecran)*'Calculs 3D'!$C$32)+(((($C107*$X$4)+'Calculs 3D'!$D$15-OffsetY)/Ecran)*'Calculs 3D'!$D$32)+(((($D107*$X$4)+'Calculs 3D'!$E$15-OffsetZ)/Ecran)*'Calculs 3D'!$E$32)),0)</f>
        <v>0.29995303508976978</v>
      </c>
    </row>
    <row r="108" spans="2:25" x14ac:dyDescent="0.3">
      <c r="B108" s="102">
        <v>-9.2705098312484288E-2</v>
      </c>
      <c r="C108" s="102">
        <v>-0.28531695488854608</v>
      </c>
      <c r="D108" s="102">
        <v>0.95</v>
      </c>
      <c r="F108" s="105">
        <f>IF(Body1Actif=TRUE,((((($B108*$F$4)+'Calculs 3D'!$C$6-OffsetX)/Ecran)*'Calculs 3D'!$C$31)+(((($C108*$F$4)+'Calculs 3D'!$D$6-OffsetY)/Ecran)*'Calculs 3D'!$D$31)+(((($D108*$F$4)+'Calculs 3D'!$E$6-OffsetZ)/Ecran)*'Calculs 3D'!$E$31)),0)</f>
        <v>4.9662514719536581E-2</v>
      </c>
      <c r="G108" s="105">
        <f>IF(Body1Actif=TRUE,((((($B108*$F$4)+'Calculs 3D'!$C$6-OffsetX)/Ecran)*'Calculs 3D'!$C$32)+(((($C108*$F$4)+'Calculs 3D'!$D$6-OffsetY)/Ecran)*'Calculs 3D'!$D$32)+(((($D108*$F$4)+'Calculs 3D'!$E$6-OffsetZ)/Ecran)*'Calculs 3D'!$E$32)),0)</f>
        <v>0.26637353004405923</v>
      </c>
      <c r="H108" s="105">
        <f>IF(Body2Actif=TRUE,((((($B108*$H$4)+'Calculs 3D'!$C$7-OffsetX)/Ecran)*'Calculs 3D'!$C$31)+(((($C108*$H$4)+'Calculs 3D'!$D$7-OffsetY)/Ecran)*'Calculs 3D'!$D$31)+(((($D108*$H$4)+'Calculs 3D'!$E$7-OffsetZ)/Ecran)*'Calculs 3D'!$E$31)),0)</f>
        <v>2.1675154866532421E-2</v>
      </c>
      <c r="I108" s="105">
        <f>IF(Body2Actif=TRUE,((((($B108*$H$4)+'Calculs 3D'!$C$7-OffsetX)/Ecran)*'Calculs 3D'!$C$32)+(((($C108*$H$4)+'Calculs 3D'!$D$7-OffsetY)/Ecran)*'Calculs 3D'!$D$32)+(((($D108*$H$4)+'Calculs 3D'!$E$7-OffsetZ)/Ecran)*'Calculs 3D'!$E$32)),0)</f>
        <v>4.0105465215766876E-2</v>
      </c>
      <c r="J108" s="105">
        <f>IF(Body3Actif=TRUE,((((($B108*$J$4)+'Calculs 3D'!$C$8-OffsetX)/Ecran)*'Calculs 3D'!$C$31)+(((($C108*$J$4)+'Calculs 3D'!$D$8-OffsetY)/Ecran)*'Calculs 3D'!$D$31)+(((($D108*$J$4)+'Calculs 3D'!$E$8-OffsetZ)/Ecran)*'Calculs 3D'!$E$31)),0)</f>
        <v>0.21707210020206552</v>
      </c>
      <c r="K108" s="105">
        <f>IF(Body3Actif=TRUE,((((($B108*$J$4)+'Calculs 3D'!$C$8-OffsetX)/Ecran)*'Calculs 3D'!$C$32)+(((($C108*$J$4)+'Calculs 3D'!$D$8-OffsetY)/Ecran)*'Calculs 3D'!$D$32)+(((($D108*$J$4)+'Calculs 3D'!$E$8-OffsetZ)/Ecran)*'Calculs 3D'!$E$32)),0)</f>
        <v>-7.6518341764312992E-2</v>
      </c>
      <c r="L108" s="105">
        <f>IF(Body4Actif=TRUE,((((($B108*$L$4)+'Calculs 3D'!$C$9-OffsetX)/Ecran)*'Calculs 3D'!$C$31)+(((($C108*$L$4)+'Calculs 3D'!$D$9-OffsetY)/Ecran)*'Calculs 3D'!$D$31)+(((($D108*$L$4)+'Calculs 3D'!$E$9-OffsetZ)/Ecran)*'Calculs 3D'!$E$31)),0)</f>
        <v>-9.6590771196508912E-2</v>
      </c>
      <c r="M108" s="105">
        <f>IF(Body4Actif=TRUE,((((($B108*$L$4)+'Calculs 3D'!$C$9-OffsetX)/Ecran)*'Calculs 3D'!$C$32)+(((($C108*$L$4)+'Calculs 3D'!$D$9-OffsetY)/Ecran)*'Calculs 3D'!$D$32)+(((($D108*$L$4)+'Calculs 3D'!$E$9-OffsetZ)/Ecran)*'Calculs 3D'!$E$32)),0)</f>
        <v>-0.16645497673952148</v>
      </c>
      <c r="N108" s="105">
        <f>IF(Body5Actif=TRUE,((((($B108*$N$4)+'Calculs 3D'!$C$10-OffsetX)/Ecran)*'Calculs 3D'!$C$31)+(((($C108*$N$4)+'Calculs 3D'!$D$10-OffsetY)/Ecran)*'Calculs 3D'!$D$31)+(((($D108*$N$4)+'Calculs 3D'!$E$10-OffsetZ)/Ecran)*'Calculs 3D'!$E$31)),0)</f>
        <v>-1.5014000098445626E-3</v>
      </c>
      <c r="O108" s="105">
        <f>IF(Body5Actif=TRUE,((((($B108*$N$4)+'Calculs 3D'!$C$10-OffsetX)/Ecran)*'Calculs 3D'!$C$32)+(((($C108*$N$4)+'Calculs 3D'!$D$10-OffsetY)/Ecran)*'Calculs 3D'!$D$32)+(((($D108*$N$4)+'Calculs 3D'!$E$10-OffsetZ)/Ecran)*'Calculs 3D'!$E$32)),0)</f>
        <v>1.2598675885084169E-3</v>
      </c>
      <c r="P108" s="105">
        <f>IF(Body6Actif=TRUE,((((($B108*$P$4)+'Calculs 3D'!$C$11-OffsetX)/Ecran)*'Calculs 3D'!$C$31)+(((($C108*$P$4)+'Calculs 3D'!$D$11-OffsetY)/Ecran)*'Calculs 3D'!$D$31)+(((($D108*$P$4)+'Calculs 3D'!$E$11-OffsetZ)/Ecran)*'Calculs 3D'!$E$31)),0)</f>
        <v>0.16726084290533569</v>
      </c>
      <c r="Q108" s="105">
        <f>IF(Body6Actif=TRUE,((((($B108*$P$4)+'Calculs 3D'!$C$11-OffsetX)/Ecran)*'Calculs 3D'!$C$32)+(((($C108*$P$4)+'Calculs 3D'!$D$11-OffsetY)/Ecran)*'Calculs 3D'!$D$32)+(((($D108*$P$4)+'Calculs 3D'!$E$11-OffsetZ)/Ecran)*'Calculs 3D'!$E$32)),0)</f>
        <v>0.14209801392457519</v>
      </c>
      <c r="R108" s="105">
        <f>IF(Body7Actif=TRUE,((((($B108*$R$4)+'Calculs 3D'!$C$12-OffsetX)/Ecran)*'Calculs 3D'!$C$31)+(((($C108*$R$4)+'Calculs 3D'!$D$12-OffsetY)/Ecran)*'Calculs 3D'!$D$31)+(((($D108*$R$4)+'Calculs 3D'!$E$12-OffsetZ)/Ecran)*'Calculs 3D'!$E$31)),0)</f>
        <v>-0.28416882086978512</v>
      </c>
      <c r="S108" s="105">
        <f>IF(Body7Actif=TRUE,((((($B108*$R$4)+'Calculs 3D'!$C$12-OffsetX)/Ecran)*'Calculs 3D'!$C$32)+(((($C108*$R$4)+'Calculs 3D'!$D$12-OffsetY)/Ecran)*'Calculs 3D'!$D$32)+(((($D108*$R$4)+'Calculs 3D'!$E$12-OffsetZ)/Ecran)*'Calculs 3D'!$E$32)),0)</f>
        <v>7.1425298219688946E-2</v>
      </c>
      <c r="T108" s="105">
        <f>IF(Body8Actif=TRUE,((((($B108*$T$4)+'Calculs 3D'!$C$13-OffsetX)/Ecran)*'Calculs 3D'!$C$31)+(((($C108*$T$4)+'Calculs 3D'!$D$13-OffsetY)/Ecran)*'Calculs 3D'!$D$31)+(((($D108*$T$4)+'Calculs 3D'!$E$13-OffsetZ)/Ecran)*'Calculs 3D'!$E$31)),0)</f>
        <v>0.16693358184009405</v>
      </c>
      <c r="U108" s="105">
        <f>IF(Body8Actif=TRUE,((((($B108*$T$4)+'Calculs 3D'!$C$13-OffsetX)/Ecran)*'Calculs 3D'!$C$32)+(((($C108*$T$4)+'Calculs 3D'!$D$13-OffsetY)/Ecran)*'Calculs 3D'!$D$32)+(((($D108*$T$4)+'Calculs 3D'!$E$13-OffsetZ)/Ecran)*'Calculs 3D'!$E$32)),0)</f>
        <v>-0.12729576286644839</v>
      </c>
      <c r="V108" s="105">
        <f>IF(Body9Actif=TRUE,((((($B108*$V$4)+'Calculs 3D'!$C$14-OffsetX)/Ecran)*'Calculs 3D'!$C$31)+(((($C108*$V$4)+'Calculs 3D'!$D$14-OffsetY)/Ecran)*'Calculs 3D'!$D$31)+(((($D108*$V$4)+'Calculs 3D'!$E$14-OffsetZ)/Ecran)*'Calculs 3D'!$E$31)),0)</f>
        <v>-0.17937557465753062</v>
      </c>
      <c r="W108" s="105">
        <f>IF(Body9Actif=TRUE,((((($B108*$V$4)+'Calculs 3D'!$C$14-OffsetX)/Ecran)*'Calculs 3D'!$C$32)+(((($C108*$V$4)+'Calculs 3D'!$D$14-OffsetY)/Ecran)*'Calculs 3D'!$D$32)+(((($D108*$V$4)+'Calculs 3D'!$E$14-OffsetZ)/Ecran)*'Calculs 3D'!$E$32)),0)</f>
        <v>0.29321744543979844</v>
      </c>
      <c r="X108" s="105">
        <f>IF(Body10Actif=TRUE,((((($B108*$X$4)+'Calculs 3D'!$C$15-OffsetX)/Ecran)*'Calculs 3D'!$C$31)+(((($C108*$X$4)+'Calculs 3D'!$D$15-OffsetY)/Ecran)*'Calculs 3D'!$D$31)+(((($D108*$X$4)+'Calculs 3D'!$E$15-OffsetZ)/Ecran)*'Calculs 3D'!$E$31)),0)</f>
        <v>-1.8033699034571485E-2</v>
      </c>
      <c r="Y108" s="105">
        <f>IF(Body10Actif=TRUE,((((($B108*$X$4)+'Calculs 3D'!$C$15-OffsetX)/Ecran)*'Calculs 3D'!$C$32)+(((($C108*$X$4)+'Calculs 3D'!$D$15-OffsetY)/Ecran)*'Calculs 3D'!$D$32)+(((($D108*$X$4)+'Calculs 3D'!$E$15-OffsetZ)/Ecran)*'Calculs 3D'!$E$32)),0)</f>
        <v>0.29940332257049174</v>
      </c>
    </row>
    <row r="109" spans="2:25" x14ac:dyDescent="0.3">
      <c r="B109" s="102">
        <v>-5.5131680470887907E-17</v>
      </c>
      <c r="C109" s="102">
        <v>-0.30000000000000004</v>
      </c>
      <c r="D109" s="102">
        <v>0.95</v>
      </c>
      <c r="F109" s="105">
        <f>IF(Body1Actif=TRUE,((((($B109*$F$4)+'Calculs 3D'!$C$6-OffsetX)/Ecran)*'Calculs 3D'!$C$31)+(((($C109*$F$4)+'Calculs 3D'!$D$6-OffsetY)/Ecran)*'Calculs 3D'!$D$31)+(((($D109*$F$4)+'Calculs 3D'!$E$6-OffsetZ)/Ecran)*'Calculs 3D'!$E$31)),0)</f>
        <v>4.9913182390289239E-2</v>
      </c>
      <c r="G109" s="105">
        <f>IF(Body1Actif=TRUE,((((($B109*$F$4)+'Calculs 3D'!$C$6-OffsetX)/Ecran)*'Calculs 3D'!$C$32)+(((($C109*$F$4)+'Calculs 3D'!$D$6-OffsetY)/Ecran)*'Calculs 3D'!$D$32)+(((($D109*$F$4)+'Calculs 3D'!$E$6-OffsetZ)/Ecran)*'Calculs 3D'!$E$32)),0)</f>
        <v>0.26621920361606721</v>
      </c>
      <c r="H109" s="105">
        <f>IF(Body2Actif=TRUE,((((($B109*$H$4)+'Calculs 3D'!$C$7-OffsetX)/Ecran)*'Calculs 3D'!$C$31)+(((($C109*$H$4)+'Calculs 3D'!$D$7-OffsetY)/Ecran)*'Calculs 3D'!$D$31)+(((($D109*$H$4)+'Calculs 3D'!$E$7-OffsetZ)/Ecran)*'Calculs 3D'!$E$31)),0)</f>
        <v>2.2652226475043016E-2</v>
      </c>
      <c r="I109" s="105">
        <f>IF(Body2Actif=TRUE,((((($B109*$H$4)+'Calculs 3D'!$C$7-OffsetX)/Ecran)*'Calculs 3D'!$C$32)+(((($C109*$H$4)+'Calculs 3D'!$D$7-OffsetY)/Ecran)*'Calculs 3D'!$D$32)+(((($D109*$H$4)+'Calculs 3D'!$E$7-OffsetZ)/Ecran)*'Calculs 3D'!$E$32)),0)</f>
        <v>3.9503919867772429E-2</v>
      </c>
      <c r="J109" s="105">
        <f>IF(Body3Actif=TRUE,((((($B109*$J$4)+'Calculs 3D'!$C$8-OffsetX)/Ecran)*'Calculs 3D'!$C$31)+(((($C109*$J$4)+'Calculs 3D'!$D$8-OffsetY)/Ecran)*'Calculs 3D'!$D$31)+(((($D109*$J$4)+'Calculs 3D'!$E$8-OffsetZ)/Ecran)*'Calculs 3D'!$E$31)),0)</f>
        <v>0.21750633252919813</v>
      </c>
      <c r="K109" s="105">
        <f>IF(Body3Actif=TRUE,((((($B109*$J$4)+'Calculs 3D'!$C$8-OffsetX)/Ecran)*'Calculs 3D'!$C$32)+(((($C109*$J$4)+'Calculs 3D'!$D$8-OffsetY)/Ecran)*'Calculs 3D'!$D$32)+(((($D109*$J$4)+'Calculs 3D'!$E$8-OffsetZ)/Ecran)*'Calculs 3D'!$E$32)),0)</f>
        <v>-7.678568187946952E-2</v>
      </c>
      <c r="L109" s="105">
        <f>IF(Body4Actif=TRUE,((((($B109*$L$4)+'Calculs 3D'!$C$9-OffsetX)/Ecran)*'Calculs 3D'!$C$31)+(((($C109*$L$4)+'Calculs 3D'!$D$9-OffsetY)/Ecran)*'Calculs 3D'!$D$31)+(((($D109*$L$4)+'Calculs 3D'!$E$9-OffsetZ)/Ecran)*'Calculs 3D'!$E$31)),0)</f>
        <v>-9.6026142118252542E-2</v>
      </c>
      <c r="M109" s="105">
        <f>IF(Body4Actif=TRUE,((((($B109*$L$4)+'Calculs 3D'!$C$9-OffsetX)/Ecran)*'Calculs 3D'!$C$32)+(((($C109*$L$4)+'Calculs 3D'!$D$9-OffsetY)/Ecran)*'Calculs 3D'!$D$32)+(((($D109*$L$4)+'Calculs 3D'!$E$9-OffsetZ)/Ecran)*'Calculs 3D'!$E$32)),0)</f>
        <v>-0.16680259711085257</v>
      </c>
      <c r="N109" s="105">
        <f>IF(Body5Actif=TRUE,((((($B109*$N$4)+'Calculs 3D'!$C$10-OffsetX)/Ecran)*'Calculs 3D'!$C$31)+(((($C109*$N$4)+'Calculs 3D'!$D$10-OffsetY)/Ecran)*'Calculs 3D'!$D$31)+(((($D109*$N$4)+'Calculs 3D'!$E$10-OffsetZ)/Ecran)*'Calculs 3D'!$E$31)),0)</f>
        <v>-8.568240825462866E-4</v>
      </c>
      <c r="O109" s="105">
        <f>IF(Body5Actif=TRUE,((((($B109*$N$4)+'Calculs 3D'!$C$10-OffsetX)/Ecran)*'Calculs 3D'!$C$32)+(((($C109*$N$4)+'Calculs 3D'!$D$10-OffsetY)/Ecran)*'Calculs 3D'!$D$32)+(((($D109*$N$4)+'Calculs 3D'!$E$10-OffsetZ)/Ecran)*'Calculs 3D'!$E$32)),0)</f>
        <v>8.6302702214855528E-4</v>
      </c>
      <c r="P109" s="105">
        <f>IF(Body6Actif=TRUE,((((($B109*$P$4)+'Calculs 3D'!$C$11-OffsetX)/Ecran)*'Calculs 3D'!$C$31)+(((($C109*$P$4)+'Calculs 3D'!$D$11-OffsetY)/Ecran)*'Calculs 3D'!$D$31)+(((($D109*$P$4)+'Calculs 3D'!$E$11-OffsetZ)/Ecran)*'Calculs 3D'!$E$31)),0)</f>
        <v>0.16819494346538194</v>
      </c>
      <c r="Q109" s="105">
        <f>IF(Body6Actif=TRUE,((((($B109*$P$4)+'Calculs 3D'!$C$11-OffsetX)/Ecran)*'Calculs 3D'!$C$32)+(((($C109*$P$4)+'Calculs 3D'!$D$11-OffsetY)/Ecran)*'Calculs 3D'!$D$32)+(((($D109*$P$4)+'Calculs 3D'!$E$11-OffsetZ)/Ecran)*'Calculs 3D'!$E$32)),0)</f>
        <v>0.14152292419567458</v>
      </c>
      <c r="R109" s="105">
        <f>IF(Body7Actif=TRUE,((((($B109*$R$4)+'Calculs 3D'!$C$12-OffsetX)/Ecran)*'Calculs 3D'!$C$31)+(((($C109*$R$4)+'Calculs 3D'!$D$12-OffsetY)/Ecran)*'Calculs 3D'!$D$31)+(((($D109*$R$4)+'Calculs 3D'!$E$12-OffsetZ)/Ecran)*'Calculs 3D'!$E$31)),0)</f>
        <v>-0.28323073776727747</v>
      </c>
      <c r="S109" s="105">
        <f>IF(Body7Actif=TRUE,((((($B109*$R$4)+'Calculs 3D'!$C$12-OffsetX)/Ecran)*'Calculs 3D'!$C$32)+(((($C109*$R$4)+'Calculs 3D'!$D$12-OffsetY)/Ecran)*'Calculs 3D'!$D$32)+(((($D109*$R$4)+'Calculs 3D'!$E$12-OffsetZ)/Ecran)*'Calculs 3D'!$E$32)),0)</f>
        <v>7.0847756592821068E-2</v>
      </c>
      <c r="T109" s="105">
        <f>IF(Body8Actif=TRUE,((((($B109*$T$4)+'Calculs 3D'!$C$13-OffsetX)/Ecran)*'Calculs 3D'!$C$31)+(((($C109*$T$4)+'Calculs 3D'!$D$13-OffsetY)/Ecran)*'Calculs 3D'!$D$31)+(((($D109*$T$4)+'Calculs 3D'!$E$13-OffsetZ)/Ecran)*'Calculs 3D'!$E$31)),0)</f>
        <v>0.1672719113467882</v>
      </c>
      <c r="U109" s="105">
        <f>IF(Body8Actif=TRUE,((((($B109*$T$4)+'Calculs 3D'!$C$13-OffsetX)/Ecran)*'Calculs 3D'!$C$32)+(((($C109*$T$4)+'Calculs 3D'!$D$13-OffsetY)/Ecran)*'Calculs 3D'!$D$32)+(((($D109*$T$4)+'Calculs 3D'!$E$13-OffsetZ)/Ecran)*'Calculs 3D'!$E$32)),0)</f>
        <v>-0.12750405930968589</v>
      </c>
      <c r="V109" s="105">
        <f>IF(Body9Actif=TRUE,((((($B109*$V$4)+'Calculs 3D'!$C$14-OffsetX)/Ecran)*'Calculs 3D'!$C$31)+(((($C109*$V$4)+'Calculs 3D'!$D$14-OffsetY)/Ecran)*'Calculs 3D'!$D$31)+(((($D109*$V$4)+'Calculs 3D'!$E$14-OffsetZ)/Ecran)*'Calculs 3D'!$E$31)),0)</f>
        <v>-0.1789061370736853</v>
      </c>
      <c r="W109" s="105">
        <f>IF(Body9Actif=TRUE,((((($B109*$V$4)+'Calculs 3D'!$C$14-OffsetX)/Ecran)*'Calculs 3D'!$C$32)+(((($C109*$V$4)+'Calculs 3D'!$D$14-OffsetY)/Ecran)*'Calculs 3D'!$D$32)+(((($D109*$V$4)+'Calculs 3D'!$E$14-OffsetZ)/Ecran)*'Calculs 3D'!$E$32)),0)</f>
        <v>0.29292843080435493</v>
      </c>
      <c r="X109" s="105">
        <f>IF(Body10Actif=TRUE,((((($B109*$X$4)+'Calculs 3D'!$C$15-OffsetX)/Ecran)*'Calculs 3D'!$C$31)+(((($C109*$X$4)+'Calculs 3D'!$D$15-OffsetY)/Ecran)*'Calculs 3D'!$D$31)+(((($D109*$X$4)+'Calculs 3D'!$E$15-OffsetZ)/Ecran)*'Calculs 3D'!$E$31)),0)</f>
        <v>-1.732510455071043E-2</v>
      </c>
      <c r="Y109" s="105">
        <f>IF(Body10Actif=TRUE,((((($B109*$X$4)+'Calculs 3D'!$C$15-OffsetX)/Ecran)*'Calculs 3D'!$C$32)+(((($C109*$X$4)+'Calculs 3D'!$D$15-OffsetY)/Ecran)*'Calculs 3D'!$D$32)+(((($D109*$X$4)+'Calculs 3D'!$E$15-OffsetZ)/Ecran)*'Calculs 3D'!$E$32)),0)</f>
        <v>0.29896706824515018</v>
      </c>
    </row>
    <row r="110" spans="2:25" x14ac:dyDescent="0.3">
      <c r="B110" s="102">
        <v>9.2705098312484177E-2</v>
      </c>
      <c r="C110" s="102">
        <v>-0.28531695488854614</v>
      </c>
      <c r="D110" s="102">
        <v>0.95</v>
      </c>
      <c r="F110" s="105">
        <f>IF(Body1Actif=TRUE,((((($B110*$F$4)+'Calculs 3D'!$C$6-OffsetX)/Ecran)*'Calculs 3D'!$C$31)+(((($C110*$F$4)+'Calculs 3D'!$D$6-OffsetY)/Ecran)*'Calculs 3D'!$D$31)+(((($D110*$F$4)+'Calculs 3D'!$E$6-OffsetZ)/Ecran)*'Calculs 3D'!$E$31)),0)</f>
        <v>5.0229042082186058E-2</v>
      </c>
      <c r="G110" s="105">
        <f>IF(Body1Actif=TRUE,((((($B110*$F$4)+'Calculs 3D'!$C$6-OffsetX)/Ecran)*'Calculs 3D'!$C$32)+(((($C110*$F$4)+'Calculs 3D'!$D$6-OffsetY)/Ecran)*'Calculs 3D'!$D$32)+(((($D110*$F$4)+'Calculs 3D'!$E$6-OffsetZ)/Ecran)*'Calculs 3D'!$E$32)),0)</f>
        <v>0.26612011995001955</v>
      </c>
      <c r="H110" s="105">
        <f>IF(Body2Actif=TRUE,((((($B110*$H$4)+'Calculs 3D'!$C$7-OffsetX)/Ecran)*'Calculs 3D'!$C$31)+(((($C110*$H$4)+'Calculs 3D'!$D$7-OffsetY)/Ecran)*'Calculs 3D'!$D$31)+(((($D110*$H$4)+'Calculs 3D'!$E$7-OffsetZ)/Ecran)*'Calculs 3D'!$E$31)),0)</f>
        <v>2.388340852695504E-2</v>
      </c>
      <c r="I110" s="105">
        <f>IF(Body2Actif=TRUE,((((($B110*$H$4)+'Calculs 3D'!$C$7-OffsetX)/Ecran)*'Calculs 3D'!$C$32)+(((($C110*$H$4)+'Calculs 3D'!$D$7-OffsetY)/Ecran)*'Calculs 3D'!$D$32)+(((($D110*$H$4)+'Calculs 3D'!$E$7-OffsetZ)/Ecran)*'Calculs 3D'!$E$32)),0)</f>
        <v>3.9117703980132749E-2</v>
      </c>
      <c r="J110" s="105">
        <f>IF(Body3Actif=TRUE,((((($B110*$J$4)+'Calculs 3D'!$C$8-OffsetX)/Ecran)*'Calculs 3D'!$C$31)+(((($C110*$J$4)+'Calculs 3D'!$D$8-OffsetY)/Ecran)*'Calculs 3D'!$D$31)+(((($D110*$J$4)+'Calculs 3D'!$E$8-OffsetZ)/Ecran)*'Calculs 3D'!$E$31)),0)</f>
        <v>0.21805349718209455</v>
      </c>
      <c r="K110" s="105">
        <f>IF(Body3Actif=TRUE,((((($B110*$J$4)+'Calculs 3D'!$C$8-OffsetX)/Ecran)*'Calculs 3D'!$C$32)+(((($C110*$J$4)+'Calculs 3D'!$D$8-OffsetY)/Ecran)*'Calculs 3D'!$D$32)+(((($D110*$J$4)+'Calculs 3D'!$E$8-OffsetZ)/Ecran)*'Calculs 3D'!$E$32)),0)</f>
        <v>-7.6957324799194746E-2</v>
      </c>
      <c r="L110" s="105">
        <f>IF(Body4Actif=TRUE,((((($B110*$L$4)+'Calculs 3D'!$C$9-OffsetX)/Ecran)*'Calculs 3D'!$C$31)+(((($C110*$L$4)+'Calculs 3D'!$D$9-OffsetY)/Ecran)*'Calculs 3D'!$D$31)+(((($D110*$L$4)+'Calculs 3D'!$E$9-OffsetZ)/Ecran)*'Calculs 3D'!$E$31)),0)</f>
        <v>-9.5314667973387612E-2</v>
      </c>
      <c r="M110" s="105">
        <f>IF(Body4Actif=TRUE,((((($B110*$L$4)+'Calculs 3D'!$C$9-OffsetX)/Ecran)*'Calculs 3D'!$C$32)+(((($C110*$L$4)+'Calculs 3D'!$D$9-OffsetY)/Ecran)*'Calculs 3D'!$D$32)+(((($D110*$L$4)+'Calculs 3D'!$E$9-OffsetZ)/Ecran)*'Calculs 3D'!$E$32)),0)</f>
        <v>-0.1670257831278717</v>
      </c>
      <c r="N110" s="105">
        <f>IF(Body5Actif=TRUE,((((($B110*$N$4)+'Calculs 3D'!$C$10-OffsetX)/Ecran)*'Calculs 3D'!$C$31)+(((($C110*$N$4)+'Calculs 3D'!$D$10-OffsetY)/Ecran)*'Calculs 3D'!$D$31)+(((($D110*$N$4)+'Calculs 3D'!$E$10-OffsetZ)/Ecran)*'Calculs 3D'!$E$31)),0)</f>
        <v>-4.4611030942114278E-5</v>
      </c>
      <c r="O110" s="105">
        <f>IF(Body5Actif=TRUE,((((($B110*$N$4)+'Calculs 3D'!$C$10-OffsetX)/Ecran)*'Calculs 3D'!$C$32)+(((($C110*$N$4)+'Calculs 3D'!$D$10-OffsetY)/Ecran)*'Calculs 3D'!$D$32)+(((($D110*$N$4)+'Calculs 3D'!$E$10-OffsetZ)/Ecran)*'Calculs 3D'!$E$32)),0)</f>
        <v>6.0823969464432644E-4</v>
      </c>
      <c r="P110" s="105">
        <f>IF(Body6Actif=TRUE,((((($B110*$P$4)+'Calculs 3D'!$C$11-OffsetX)/Ecran)*'Calculs 3D'!$C$31)+(((($C110*$P$4)+'Calculs 3D'!$D$11-OffsetY)/Ecran)*'Calculs 3D'!$D$31)+(((($D110*$P$4)+'Calculs 3D'!$E$11-OffsetZ)/Ecran)*'Calculs 3D'!$E$31)),0)</f>
        <v>0.1693719788373983</v>
      </c>
      <c r="Q110" s="105">
        <f>IF(Body6Actif=TRUE,((((($B110*$P$4)+'Calculs 3D'!$C$11-OffsetX)/Ecran)*'Calculs 3D'!$C$32)+(((($C110*$P$4)+'Calculs 3D'!$D$11-OffsetY)/Ecran)*'Calculs 3D'!$D$32)+(((($D110*$P$4)+'Calculs 3D'!$E$11-OffsetZ)/Ecran)*'Calculs 3D'!$E$32)),0)</f>
        <v>0.14115369386107002</v>
      </c>
      <c r="R110" s="105">
        <f>IF(Body7Actif=TRUE,((((($B110*$R$4)+'Calculs 3D'!$C$12-OffsetX)/Ecran)*'Calculs 3D'!$C$31)+(((($C110*$R$4)+'Calculs 3D'!$D$12-OffsetY)/Ecran)*'Calculs 3D'!$D$31)+(((($D110*$R$4)+'Calculs 3D'!$E$12-OffsetZ)/Ecran)*'Calculs 3D'!$E$31)),0)</f>
        <v>-0.28204868409900052</v>
      </c>
      <c r="S110" s="105">
        <f>IF(Body7Actif=TRUE,((((($B110*$R$4)+'Calculs 3D'!$C$12-OffsetX)/Ecran)*'Calculs 3D'!$C$32)+(((($C110*$R$4)+'Calculs 3D'!$D$12-OffsetY)/Ecran)*'Calculs 3D'!$D$32)+(((($D110*$R$4)+'Calculs 3D'!$E$12-OffsetZ)/Ecran)*'Calculs 3D'!$E$32)),0)</f>
        <v>7.04769520428178E-2</v>
      </c>
      <c r="T110" s="105">
        <f>IF(Body8Actif=TRUE,((((($B110*$T$4)+'Calculs 3D'!$C$13-OffsetX)/Ecran)*'Calculs 3D'!$C$31)+(((($C110*$T$4)+'Calculs 3D'!$D$13-OffsetY)/Ecran)*'Calculs 3D'!$D$31)+(((($D110*$T$4)+'Calculs 3D'!$E$13-OffsetZ)/Ecran)*'Calculs 3D'!$E$31)),0)</f>
        <v>0.16769823139605153</v>
      </c>
      <c r="U110" s="105">
        <f>IF(Body8Actif=TRUE,((((($B110*$T$4)+'Calculs 3D'!$C$13-OffsetX)/Ecran)*'Calculs 3D'!$C$32)+(((($C110*$T$4)+'Calculs 3D'!$D$13-OffsetY)/Ecran)*'Calculs 3D'!$D$32)+(((($D110*$T$4)+'Calculs 3D'!$E$13-OffsetZ)/Ecran)*'Calculs 3D'!$E$32)),0)</f>
        <v>-0.12763779385851975</v>
      </c>
      <c r="V110" s="105">
        <f>IF(Body9Actif=TRUE,((((($B110*$V$4)+'Calculs 3D'!$C$14-OffsetX)/Ecran)*'Calculs 3D'!$C$31)+(((($C110*$V$4)+'Calculs 3D'!$D$14-OffsetY)/Ecran)*'Calculs 3D'!$D$31)+(((($D110*$V$4)+'Calculs 3D'!$E$14-OffsetZ)/Ecran)*'Calculs 3D'!$E$31)),0)</f>
        <v>-0.17831461120936892</v>
      </c>
      <c r="W110" s="105">
        <f>IF(Body9Actif=TRUE,((((($B110*$V$4)+'Calculs 3D'!$C$14-OffsetX)/Ecran)*'Calculs 3D'!$C$32)+(((($C110*$V$4)+'Calculs 3D'!$D$14-OffsetY)/Ecran)*'Calculs 3D'!$D$32)+(((($D110*$V$4)+'Calculs 3D'!$E$14-OffsetZ)/Ecran)*'Calculs 3D'!$E$32)),0)</f>
        <v>0.29274287198598681</v>
      </c>
      <c r="X110" s="105">
        <f>IF(Body10Actif=TRUE,((((($B110*$X$4)+'Calculs 3D'!$C$15-OffsetX)/Ecran)*'Calculs 3D'!$C$31)+(((($C110*$X$4)+'Calculs 3D'!$D$15-OffsetY)/Ecran)*'Calculs 3D'!$D$31)+(((($D110*$X$4)+'Calculs 3D'!$E$15-OffsetZ)/Ecran)*'Calculs 3D'!$E$31)),0)</f>
        <v>-1.6432223411790139E-2</v>
      </c>
      <c r="Y110" s="105">
        <f>IF(Body10Actif=TRUE,((((($B110*$X$4)+'Calculs 3D'!$C$15-OffsetX)/Ecran)*'Calculs 3D'!$C$32)+(((($C110*$X$4)+'Calculs 3D'!$D$15-OffsetY)/Ecran)*'Calculs 3D'!$D$32)+(((($D110*$X$4)+'Calculs 3D'!$E$15-OffsetZ)/Ecran)*'Calculs 3D'!$E$32)),0)</f>
        <v>0.2986869757266723</v>
      </c>
    </row>
    <row r="111" spans="2:25" x14ac:dyDescent="0.3">
      <c r="B111" s="102">
        <v>0.17633557568774191</v>
      </c>
      <c r="C111" s="102">
        <v>-0.2427050983124843</v>
      </c>
      <c r="D111" s="102">
        <v>0.95</v>
      </c>
      <c r="F111" s="105">
        <f>IF(Body1Actif=TRUE,((((($B111*$F$4)+'Calculs 3D'!$C$6-OffsetX)/Ecran)*'Calculs 3D'!$C$31)+(((($C111*$F$4)+'Calculs 3D'!$D$6-OffsetY)/Ecran)*'Calculs 3D'!$D$31)+(((($D111*$F$4)+'Calculs 3D'!$E$6-OffsetZ)/Ecran)*'Calculs 3D'!$E$31)),0)</f>
        <v>5.0579175247860278E-2</v>
      </c>
      <c r="G111" s="105">
        <f>IF(Body1Actif=TRUE,((((($B111*$F$4)+'Calculs 3D'!$C$6-OffsetX)/Ecran)*'Calculs 3D'!$C$32)+(((($C111*$F$4)+'Calculs 3D'!$D$6-OffsetY)/Ecran)*'Calculs 3D'!$D$32)+(((($D111*$F$4)+'Calculs 3D'!$E$6-OffsetZ)/Ecran)*'Calculs 3D'!$E$32)),0)</f>
        <v>0.26608597804550549</v>
      </c>
      <c r="H111" s="105">
        <f>IF(Body2Actif=TRUE,((((($B111*$H$4)+'Calculs 3D'!$C$7-OffsetX)/Ecran)*'Calculs 3D'!$C$31)+(((($C111*$H$4)+'Calculs 3D'!$D$7-OffsetY)/Ecran)*'Calculs 3D'!$D$31)+(((($D111*$H$4)+'Calculs 3D'!$E$7-OffsetZ)/Ecran)*'Calculs 3D'!$E$31)),0)</f>
        <v>2.5248184344877592E-2</v>
      </c>
      <c r="I111" s="105">
        <f>IF(Body2Actif=TRUE,((((($B111*$H$4)+'Calculs 3D'!$C$7-OffsetX)/Ecran)*'Calculs 3D'!$C$32)+(((($C111*$H$4)+'Calculs 3D'!$D$7-OffsetY)/Ecran)*'Calculs 3D'!$D$32)+(((($D111*$H$4)+'Calculs 3D'!$E$7-OffsetZ)/Ecran)*'Calculs 3D'!$E$32)),0)</f>
        <v>3.8984623054854325E-2</v>
      </c>
      <c r="J111" s="105">
        <f>IF(Body3Actif=TRUE,((((($B111*$J$4)+'Calculs 3D'!$C$8-OffsetX)/Ecran)*'Calculs 3D'!$C$31)+(((($C111*$J$4)+'Calculs 3D'!$D$8-OffsetY)/Ecran)*'Calculs 3D'!$D$31)+(((($D111*$J$4)+'Calculs 3D'!$E$8-OffsetZ)/Ecran)*'Calculs 3D'!$E$31)),0)</f>
        <v>0.21866003387220898</v>
      </c>
      <c r="K111" s="105">
        <f>IF(Body3Actif=TRUE,((((($B111*$J$4)+'Calculs 3D'!$C$8-OffsetX)/Ecran)*'Calculs 3D'!$C$32)+(((($C111*$J$4)+'Calculs 3D'!$D$8-OffsetY)/Ecran)*'Calculs 3D'!$D$32)+(((($D111*$J$4)+'Calculs 3D'!$E$8-OffsetZ)/Ecran)*'Calculs 3D'!$E$32)),0)</f>
        <v>-7.701646891859934E-2</v>
      </c>
      <c r="L111" s="105">
        <f>IF(Body4Actif=TRUE,((((($B111*$L$4)+'Calculs 3D'!$C$9-OffsetX)/Ecran)*'Calculs 3D'!$C$31)+(((($C111*$L$4)+'Calculs 3D'!$D$9-OffsetY)/Ecran)*'Calculs 3D'!$D$31)+(((($D111*$L$4)+'Calculs 3D'!$E$9-OffsetZ)/Ecran)*'Calculs 3D'!$E$31)),0)</f>
        <v>-9.4525992808345352E-2</v>
      </c>
      <c r="M111" s="105">
        <f>IF(Body4Actif=TRUE,((((($B111*$L$4)+'Calculs 3D'!$C$9-OffsetX)/Ecran)*'Calculs 3D'!$C$32)+(((($C111*$L$4)+'Calculs 3D'!$D$9-OffsetY)/Ecran)*'Calculs 3D'!$D$32)+(((($D111*$L$4)+'Calculs 3D'!$E$9-OffsetZ)/Ecran)*'Calculs 3D'!$E$32)),0)</f>
        <v>-0.16710268778820464</v>
      </c>
      <c r="N111" s="105">
        <f>IF(Body5Actif=TRUE,((((($B111*$N$4)+'Calculs 3D'!$C$10-OffsetX)/Ecran)*'Calculs 3D'!$C$31)+(((($C111*$N$4)+'Calculs 3D'!$D$10-OffsetY)/Ecran)*'Calculs 3D'!$D$31)+(((($D111*$N$4)+'Calculs 3D'!$E$10-OffsetZ)/Ecran)*'Calculs 3D'!$E$31)),0)</f>
        <v>8.557340724558533E-4</v>
      </c>
      <c r="O111" s="105">
        <f>IF(Body5Actif=TRUE,((((($B111*$N$4)+'Calculs 3D'!$C$10-OffsetX)/Ecran)*'Calculs 3D'!$C$32)+(((($C111*$N$4)+'Calculs 3D'!$D$10-OffsetY)/Ecran)*'Calculs 3D'!$D$32)+(((($D111*$N$4)+'Calculs 3D'!$E$10-OffsetZ)/Ecran)*'Calculs 3D'!$E$32)),0)</f>
        <v>5.2044596481953982E-4</v>
      </c>
      <c r="P111" s="105">
        <f>IF(Body6Actif=TRUE,((((($B111*$P$4)+'Calculs 3D'!$C$11-OffsetX)/Ecran)*'Calculs 3D'!$C$31)+(((($C111*$P$4)+'Calculs 3D'!$D$11-OffsetY)/Ecran)*'Calculs 3D'!$D$31)+(((($D111*$P$4)+'Calculs 3D'!$E$11-OffsetZ)/Ecran)*'Calculs 3D'!$E$31)),0)</f>
        <v>0.17067673259828417</v>
      </c>
      <c r="Q111" s="105">
        <f>IF(Body6Actif=TRUE,((((($B111*$P$4)+'Calculs 3D'!$C$11-OffsetX)/Ecran)*'Calculs 3D'!$C$32)+(((($C111*$P$4)+'Calculs 3D'!$D$11-OffsetY)/Ecran)*'Calculs 3D'!$D$32)+(((($D111*$P$4)+'Calculs 3D'!$E$11-OffsetZ)/Ecran)*'Calculs 3D'!$E$32)),0)</f>
        <v>0.14102646575849162</v>
      </c>
      <c r="R111" s="105">
        <f>IF(Body7Actif=TRUE,((((($B111*$R$4)+'Calculs 3D'!$C$12-OffsetX)/Ecran)*'Calculs 3D'!$C$31)+(((($C111*$R$4)+'Calculs 3D'!$D$12-OffsetY)/Ecran)*'Calculs 3D'!$D$31)+(((($D111*$R$4)+'Calculs 3D'!$E$12-OffsetZ)/Ecran)*'Calculs 3D'!$E$31)),0)</f>
        <v>-0.28073836751385717</v>
      </c>
      <c r="S111" s="105">
        <f>IF(Body7Actif=TRUE,((((($B111*$R$4)+'Calculs 3D'!$C$12-OffsetX)/Ecran)*'Calculs 3D'!$C$32)+(((($C111*$R$4)+'Calculs 3D'!$D$12-OffsetY)/Ecran)*'Calculs 3D'!$D$32)+(((($D111*$R$4)+'Calculs 3D'!$E$12-OffsetZ)/Ecran)*'Calculs 3D'!$E$32)),0)</f>
        <v>7.0349181502580682E-2</v>
      </c>
      <c r="T111" s="105">
        <f>IF(Body8Actif=TRUE,((((($B111*$T$4)+'Calculs 3D'!$C$13-OffsetX)/Ecran)*'Calculs 3D'!$C$31)+(((($C111*$T$4)+'Calculs 3D'!$D$13-OffsetY)/Ecran)*'Calculs 3D'!$D$31)+(((($D111*$T$4)+'Calculs 3D'!$E$13-OffsetZ)/Ecran)*'Calculs 3D'!$E$31)),0)</f>
        <v>0.16817081081111579</v>
      </c>
      <c r="U111" s="105">
        <f>IF(Body8Actif=TRUE,((((($B111*$T$4)+'Calculs 3D'!$C$13-OffsetX)/Ecran)*'Calculs 3D'!$C$32)+(((($C111*$T$4)+'Calculs 3D'!$D$13-OffsetY)/Ecran)*'Calculs 3D'!$D$32)+(((($D111*$T$4)+'Calculs 3D'!$E$13-OffsetZ)/Ecran)*'Calculs 3D'!$E$32)),0)</f>
        <v>-0.12768387564352679</v>
      </c>
      <c r="V111" s="105">
        <f>IF(Body9Actif=TRUE,((((($B111*$V$4)+'Calculs 3D'!$C$14-OffsetX)/Ecran)*'Calculs 3D'!$C$31)+(((($C111*$V$4)+'Calculs 3D'!$D$14-OffsetY)/Ecran)*'Calculs 3D'!$D$31)+(((($D111*$V$4)+'Calculs 3D'!$E$14-OffsetZ)/Ecran)*'Calculs 3D'!$E$31)),0)</f>
        <v>-0.17765889973758367</v>
      </c>
      <c r="W111" s="105">
        <f>IF(Body9Actif=TRUE,((((($B111*$V$4)+'Calculs 3D'!$C$14-OffsetX)/Ecran)*'Calculs 3D'!$C$32)+(((($C111*$V$4)+'Calculs 3D'!$D$14-OffsetY)/Ecran)*'Calculs 3D'!$D$32)+(((($D111*$V$4)+'Calculs 3D'!$E$14-OffsetZ)/Ecran)*'Calculs 3D'!$E$32)),0)</f>
        <v>0.29267893277470031</v>
      </c>
      <c r="X111" s="105">
        <f>IF(Body10Actif=TRUE,((((($B111*$X$4)+'Calculs 3D'!$C$15-OffsetX)/Ecran)*'Calculs 3D'!$C$31)+(((($C111*$X$4)+'Calculs 3D'!$D$15-OffsetY)/Ecran)*'Calculs 3D'!$D$31)+(((($D111*$X$4)+'Calculs 3D'!$E$15-OffsetZ)/Ecran)*'Calculs 3D'!$E$31)),0)</f>
        <v>-1.5442457044756885E-2</v>
      </c>
      <c r="Y111" s="105">
        <f>IF(Body10Actif=TRUE,((((($B111*$X$4)+'Calculs 3D'!$C$15-OffsetX)/Ecran)*'Calculs 3D'!$C$32)+(((($C111*$X$4)+'Calculs 3D'!$D$15-OffsetY)/Ecran)*'Calculs 3D'!$D$32)+(((($D111*$X$4)+'Calculs 3D'!$E$15-OffsetZ)/Ecran)*'Calculs 3D'!$E$32)),0)</f>
        <v>0.29859046242228598</v>
      </c>
    </row>
    <row r="112" spans="2:25" x14ac:dyDescent="0.3">
      <c r="B112" s="102">
        <v>0.24270509831248424</v>
      </c>
      <c r="C112" s="102">
        <v>-0.17633557568774202</v>
      </c>
      <c r="D112" s="102">
        <v>0.95</v>
      </c>
      <c r="F112" s="105">
        <f>IF(Body1Actif=TRUE,((((($B112*$F$4)+'Calculs 3D'!$C$6-OffsetX)/Ecran)*'Calculs 3D'!$C$31)+(((($C112*$F$4)+'Calculs 3D'!$D$6-OffsetY)/Ecran)*'Calculs 3D'!$D$31)+(((($D112*$F$4)+'Calculs 3D'!$E$6-OffsetZ)/Ecran)*'Calculs 3D'!$E$31)),0)</f>
        <v>5.0929308413534484E-2</v>
      </c>
      <c r="G112" s="105">
        <f>IF(Body1Actif=TRUE,((((($B112*$F$4)+'Calculs 3D'!$C$6-OffsetX)/Ecran)*'Calculs 3D'!$C$32)+(((($C112*$F$4)+'Calculs 3D'!$D$6-OffsetY)/Ecran)*'Calculs 3D'!$D$32)+(((($D112*$F$4)+'Calculs 3D'!$E$6-OffsetZ)/Ecran)*'Calculs 3D'!$E$32)),0)</f>
        <v>0.26612011995001955</v>
      </c>
      <c r="H112" s="105">
        <f>IF(Body2Actif=TRUE,((((($B112*$H$4)+'Calculs 3D'!$C$7-OffsetX)/Ecran)*'Calculs 3D'!$C$31)+(((($C112*$H$4)+'Calculs 3D'!$D$7-OffsetY)/Ecran)*'Calculs 3D'!$D$31)+(((($D112*$H$4)+'Calculs 3D'!$E$7-OffsetZ)/Ecran)*'Calculs 3D'!$E$31)),0)</f>
        <v>2.6612960162800132E-2</v>
      </c>
      <c r="I112" s="105">
        <f>IF(Body2Actif=TRUE,((((($B112*$H$4)+'Calculs 3D'!$C$7-OffsetX)/Ecran)*'Calculs 3D'!$C$32)+(((($C112*$H$4)+'Calculs 3D'!$D$7-OffsetY)/Ecran)*'Calculs 3D'!$D$32)+(((($D112*$H$4)+'Calculs 3D'!$E$7-OffsetZ)/Ecran)*'Calculs 3D'!$E$32)),0)</f>
        <v>3.9117703980132749E-2</v>
      </c>
      <c r="J112" s="105">
        <f>IF(Body3Actif=TRUE,((((($B112*$J$4)+'Calculs 3D'!$C$8-OffsetX)/Ecran)*'Calculs 3D'!$C$31)+(((($C112*$J$4)+'Calculs 3D'!$D$8-OffsetY)/Ecran)*'Calculs 3D'!$D$31)+(((($D112*$J$4)+'Calculs 3D'!$E$8-OffsetZ)/Ecran)*'Calculs 3D'!$E$31)),0)</f>
        <v>0.2192665705623234</v>
      </c>
      <c r="K112" s="105">
        <f>IF(Body3Actif=TRUE,((((($B112*$J$4)+'Calculs 3D'!$C$8-OffsetX)/Ecran)*'Calculs 3D'!$C$32)+(((($C112*$J$4)+'Calculs 3D'!$D$8-OffsetY)/Ecran)*'Calculs 3D'!$D$32)+(((($D112*$J$4)+'Calculs 3D'!$E$8-OffsetZ)/Ecran)*'Calculs 3D'!$E$32)),0)</f>
        <v>-7.6957324799194732E-2</v>
      </c>
      <c r="L112" s="105">
        <f>IF(Body4Actif=TRUE,((((($B112*$L$4)+'Calculs 3D'!$C$9-OffsetX)/Ecran)*'Calculs 3D'!$C$31)+(((($C112*$L$4)+'Calculs 3D'!$D$9-OffsetY)/Ecran)*'Calculs 3D'!$D$31)+(((($D112*$L$4)+'Calculs 3D'!$E$9-OffsetZ)/Ecran)*'Calculs 3D'!$E$31)),0)</f>
        <v>-9.373731764330312E-2</v>
      </c>
      <c r="M112" s="105">
        <f>IF(Body4Actif=TRUE,((((($B112*$L$4)+'Calculs 3D'!$C$9-OffsetX)/Ecran)*'Calculs 3D'!$C$32)+(((($C112*$L$4)+'Calculs 3D'!$D$9-OffsetY)/Ecran)*'Calculs 3D'!$D$32)+(((($D112*$L$4)+'Calculs 3D'!$E$9-OffsetZ)/Ecran)*'Calculs 3D'!$E$32)),0)</f>
        <v>-0.1670257831278717</v>
      </c>
      <c r="N112" s="105">
        <f>IF(Body5Actif=TRUE,((((($B112*$N$4)+'Calculs 3D'!$C$10-OffsetX)/Ecran)*'Calculs 3D'!$C$31)+(((($C112*$N$4)+'Calculs 3D'!$D$10-OffsetY)/Ecran)*'Calculs 3D'!$D$31)+(((($D112*$N$4)+'Calculs 3D'!$E$10-OffsetZ)/Ecran)*'Calculs 3D'!$E$31)),0)</f>
        <v>1.75607917585382E-3</v>
      </c>
      <c r="O112" s="105">
        <f>IF(Body5Actif=TRUE,((((($B112*$N$4)+'Calculs 3D'!$C$10-OffsetX)/Ecran)*'Calculs 3D'!$C$32)+(((($C112*$N$4)+'Calculs 3D'!$D$10-OffsetY)/Ecran)*'Calculs 3D'!$D$32)+(((($D112*$N$4)+'Calculs 3D'!$E$10-OffsetZ)/Ecran)*'Calculs 3D'!$E$32)),0)</f>
        <v>6.0823969464432644E-4</v>
      </c>
      <c r="P112" s="105">
        <f>IF(Body6Actif=TRUE,((((($B112*$P$4)+'Calculs 3D'!$C$11-OffsetX)/Ecran)*'Calculs 3D'!$C$31)+(((($C112*$P$4)+'Calculs 3D'!$D$11-OffsetY)/Ecran)*'Calculs 3D'!$D$31)+(((($D112*$P$4)+'Calculs 3D'!$E$11-OffsetZ)/Ecran)*'Calculs 3D'!$E$31)),0)</f>
        <v>0.17198148635917007</v>
      </c>
      <c r="Q112" s="105">
        <f>IF(Body6Actif=TRUE,((((($B112*$P$4)+'Calculs 3D'!$C$11-OffsetX)/Ecran)*'Calculs 3D'!$C$32)+(((($C112*$P$4)+'Calculs 3D'!$D$11-OffsetY)/Ecran)*'Calculs 3D'!$D$32)+(((($D112*$P$4)+'Calculs 3D'!$E$11-OffsetZ)/Ecran)*'Calculs 3D'!$E$32)),0)</f>
        <v>0.14115369386107002</v>
      </c>
      <c r="R112" s="105">
        <f>IF(Body7Actif=TRUE,((((($B112*$R$4)+'Calculs 3D'!$C$12-OffsetX)/Ecran)*'Calculs 3D'!$C$31)+(((($C112*$R$4)+'Calculs 3D'!$D$12-OffsetY)/Ecran)*'Calculs 3D'!$D$31)+(((($D112*$R$4)+'Calculs 3D'!$E$12-OffsetZ)/Ecran)*'Calculs 3D'!$E$31)),0)</f>
        <v>-0.27942805092871387</v>
      </c>
      <c r="S112" s="105">
        <f>IF(Body7Actif=TRUE,((((($B112*$R$4)+'Calculs 3D'!$C$12-OffsetX)/Ecran)*'Calculs 3D'!$C$32)+(((($C112*$R$4)+'Calculs 3D'!$D$12-OffsetY)/Ecran)*'Calculs 3D'!$D$32)+(((($D112*$R$4)+'Calculs 3D'!$E$12-OffsetZ)/Ecran)*'Calculs 3D'!$E$32)),0)</f>
        <v>7.0476952042817786E-2</v>
      </c>
      <c r="T112" s="105">
        <f>IF(Body8Actif=TRUE,((((($B112*$T$4)+'Calculs 3D'!$C$13-OffsetX)/Ecran)*'Calculs 3D'!$C$31)+(((($C112*$T$4)+'Calculs 3D'!$D$13-OffsetY)/Ecran)*'Calculs 3D'!$D$31)+(((($D112*$T$4)+'Calculs 3D'!$E$13-OffsetZ)/Ecran)*'Calculs 3D'!$E$31)),0)</f>
        <v>0.16864339022618002</v>
      </c>
      <c r="U112" s="105">
        <f>IF(Body8Actif=TRUE,((((($B112*$T$4)+'Calculs 3D'!$C$13-OffsetX)/Ecran)*'Calculs 3D'!$C$32)+(((($C112*$T$4)+'Calculs 3D'!$D$13-OffsetY)/Ecran)*'Calculs 3D'!$D$32)+(((($D112*$T$4)+'Calculs 3D'!$E$13-OffsetZ)/Ecran)*'Calculs 3D'!$E$32)),0)</f>
        <v>-0.12763779385851978</v>
      </c>
      <c r="V112" s="105">
        <f>IF(Body9Actif=TRUE,((((($B112*$V$4)+'Calculs 3D'!$C$14-OffsetX)/Ecran)*'Calculs 3D'!$C$31)+(((($C112*$V$4)+'Calculs 3D'!$D$14-OffsetY)/Ecran)*'Calculs 3D'!$D$31)+(((($D112*$V$4)+'Calculs 3D'!$E$14-OffsetZ)/Ecran)*'Calculs 3D'!$E$31)),0)</f>
        <v>-0.17700318826579844</v>
      </c>
      <c r="W112" s="105">
        <f>IF(Body9Actif=TRUE,((((($B112*$V$4)+'Calculs 3D'!$C$14-OffsetX)/Ecran)*'Calculs 3D'!$C$32)+(((($C112*$V$4)+'Calculs 3D'!$D$14-OffsetY)/Ecran)*'Calculs 3D'!$D$32)+(((($D112*$V$4)+'Calculs 3D'!$E$14-OffsetZ)/Ecran)*'Calculs 3D'!$E$32)),0)</f>
        <v>0.29274287198598681</v>
      </c>
      <c r="X112" s="105">
        <f>IF(Body10Actif=TRUE,((((($B112*$X$4)+'Calculs 3D'!$C$15-OffsetX)/Ecran)*'Calculs 3D'!$C$31)+(((($C112*$X$4)+'Calculs 3D'!$D$15-OffsetY)/Ecran)*'Calculs 3D'!$D$31)+(((($D112*$X$4)+'Calculs 3D'!$E$15-OffsetZ)/Ecran)*'Calculs 3D'!$E$31)),0)</f>
        <v>-1.4452690677723659E-2</v>
      </c>
      <c r="Y112" s="105">
        <f>IF(Body10Actif=TRUE,((((($B112*$X$4)+'Calculs 3D'!$C$15-OffsetX)/Ecran)*'Calculs 3D'!$C$32)+(((($C112*$X$4)+'Calculs 3D'!$D$15-OffsetY)/Ecran)*'Calculs 3D'!$D$32)+(((($D112*$X$4)+'Calculs 3D'!$E$15-OffsetZ)/Ecran)*'Calculs 3D'!$E$32)),0)</f>
        <v>0.2986869757266723</v>
      </c>
    </row>
    <row r="113" spans="2:25" x14ac:dyDescent="0.3">
      <c r="B113" s="102">
        <v>0.28531695488854608</v>
      </c>
      <c r="C113" s="102">
        <v>-9.2705098312484302E-2</v>
      </c>
      <c r="D113" s="102">
        <v>0.95</v>
      </c>
      <c r="F113" s="105">
        <f>IF(Body1Actif=TRUE,((((($B113*$F$4)+'Calculs 3D'!$C$6-OffsetX)/Ecran)*'Calculs 3D'!$C$31)+(((($C113*$F$4)+'Calculs 3D'!$D$6-OffsetY)/Ecran)*'Calculs 3D'!$D$31)+(((($D113*$F$4)+'Calculs 3D'!$E$6-OffsetZ)/Ecran)*'Calculs 3D'!$E$31)),0)</f>
        <v>5.1245168105431303E-2</v>
      </c>
      <c r="G113" s="105">
        <f>IF(Body1Actif=TRUE,((((($B113*$F$4)+'Calculs 3D'!$C$6-OffsetX)/Ecran)*'Calculs 3D'!$C$32)+(((($C113*$F$4)+'Calculs 3D'!$D$6-OffsetY)/Ecran)*'Calculs 3D'!$D$32)+(((($D113*$F$4)+'Calculs 3D'!$E$6-OffsetZ)/Ecran)*'Calculs 3D'!$E$32)),0)</f>
        <v>0.26621920361606721</v>
      </c>
      <c r="H113" s="105">
        <f>IF(Body2Actif=TRUE,((((($B113*$H$4)+'Calculs 3D'!$C$7-OffsetX)/Ecran)*'Calculs 3D'!$C$31)+(((($C113*$H$4)+'Calculs 3D'!$D$7-OffsetY)/Ecran)*'Calculs 3D'!$D$31)+(((($D113*$H$4)+'Calculs 3D'!$E$7-OffsetZ)/Ecran)*'Calculs 3D'!$E$31)),0)</f>
        <v>2.784414221471216E-2</v>
      </c>
      <c r="I113" s="105">
        <f>IF(Body2Actif=TRUE,((((($B113*$H$4)+'Calculs 3D'!$C$7-OffsetX)/Ecran)*'Calculs 3D'!$C$32)+(((($C113*$H$4)+'Calculs 3D'!$D$7-OffsetY)/Ecran)*'Calculs 3D'!$D$32)+(((($D113*$H$4)+'Calculs 3D'!$E$7-OffsetZ)/Ecran)*'Calculs 3D'!$E$32)),0)</f>
        <v>3.9503919867772422E-2</v>
      </c>
      <c r="J113" s="105">
        <f>IF(Body3Actif=TRUE,((((($B113*$J$4)+'Calculs 3D'!$C$8-OffsetX)/Ecran)*'Calculs 3D'!$C$31)+(((($C113*$J$4)+'Calculs 3D'!$D$8-OffsetY)/Ecran)*'Calculs 3D'!$D$31)+(((($D113*$J$4)+'Calculs 3D'!$E$8-OffsetZ)/Ecran)*'Calculs 3D'!$E$31)),0)</f>
        <v>0.21981373521521985</v>
      </c>
      <c r="K113" s="105">
        <f>IF(Body3Actif=TRUE,((((($B113*$J$4)+'Calculs 3D'!$C$8-OffsetX)/Ecran)*'Calculs 3D'!$C$32)+(((($C113*$J$4)+'Calculs 3D'!$D$8-OffsetY)/Ecran)*'Calculs 3D'!$D$32)+(((($D113*$J$4)+'Calculs 3D'!$E$8-OffsetZ)/Ecran)*'Calculs 3D'!$E$32)),0)</f>
        <v>-7.6785681879469547E-2</v>
      </c>
      <c r="L113" s="105">
        <f>IF(Body4Actif=TRUE,((((($B113*$L$4)+'Calculs 3D'!$C$9-OffsetX)/Ecran)*'Calculs 3D'!$C$31)+(((($C113*$L$4)+'Calculs 3D'!$D$9-OffsetY)/Ecran)*'Calculs 3D'!$D$31)+(((($D113*$L$4)+'Calculs 3D'!$E$9-OffsetZ)/Ecran)*'Calculs 3D'!$E$31)),0)</f>
        <v>-9.3025843498438177E-2</v>
      </c>
      <c r="M113" s="105">
        <f>IF(Body4Actif=TRUE,((((($B113*$L$4)+'Calculs 3D'!$C$9-OffsetX)/Ecran)*'Calculs 3D'!$C$32)+(((($C113*$L$4)+'Calculs 3D'!$D$9-OffsetY)/Ecran)*'Calculs 3D'!$D$32)+(((($D113*$L$4)+'Calculs 3D'!$E$9-OffsetZ)/Ecran)*'Calculs 3D'!$E$32)),0)</f>
        <v>-0.16680259711085257</v>
      </c>
      <c r="N113" s="105">
        <f>IF(Body5Actif=TRUE,((((($B113*$N$4)+'Calculs 3D'!$C$10-OffsetX)/Ecran)*'Calculs 3D'!$C$31)+(((($C113*$N$4)+'Calculs 3D'!$D$10-OffsetY)/Ecran)*'Calculs 3D'!$D$31)+(((($D113*$N$4)+'Calculs 3D'!$E$10-OffsetZ)/Ecran)*'Calculs 3D'!$E$31)),0)</f>
        <v>2.5682922274579928E-3</v>
      </c>
      <c r="O113" s="105">
        <f>IF(Body5Actif=TRUE,((((($B113*$N$4)+'Calculs 3D'!$C$10-OffsetX)/Ecran)*'Calculs 3D'!$C$32)+(((($C113*$N$4)+'Calculs 3D'!$D$10-OffsetY)/Ecran)*'Calculs 3D'!$D$32)+(((($D113*$N$4)+'Calculs 3D'!$E$10-OffsetZ)/Ecran)*'Calculs 3D'!$E$32)),0)</f>
        <v>8.6302702214855441E-4</v>
      </c>
      <c r="P113" s="105">
        <f>IF(Body6Actif=TRUE,((((($B113*$P$4)+'Calculs 3D'!$C$11-OffsetX)/Ecran)*'Calculs 3D'!$C$31)+(((($C113*$P$4)+'Calculs 3D'!$D$11-OffsetY)/Ecran)*'Calculs 3D'!$D$31)+(((($D113*$P$4)+'Calculs 3D'!$E$11-OffsetZ)/Ecran)*'Calculs 3D'!$E$31)),0)</f>
        <v>0.17315852173118643</v>
      </c>
      <c r="Q113" s="105">
        <f>IF(Body6Actif=TRUE,((((($B113*$P$4)+'Calculs 3D'!$C$11-OffsetX)/Ecran)*'Calculs 3D'!$C$32)+(((($C113*$P$4)+'Calculs 3D'!$D$11-OffsetY)/Ecran)*'Calculs 3D'!$D$32)+(((($D113*$P$4)+'Calculs 3D'!$E$11-OffsetZ)/Ecran)*'Calculs 3D'!$E$32)),0)</f>
        <v>0.14152292419567458</v>
      </c>
      <c r="R113" s="105">
        <f>IF(Body7Actif=TRUE,((((($B113*$R$4)+'Calculs 3D'!$C$12-OffsetX)/Ecran)*'Calculs 3D'!$C$31)+(((($C113*$R$4)+'Calculs 3D'!$D$12-OffsetY)/Ecran)*'Calculs 3D'!$D$31)+(((($D113*$R$4)+'Calculs 3D'!$E$12-OffsetZ)/Ecran)*'Calculs 3D'!$E$31)),0)</f>
        <v>-0.27824599726043681</v>
      </c>
      <c r="S113" s="105">
        <f>IF(Body7Actif=TRUE,((((($B113*$R$4)+'Calculs 3D'!$C$12-OffsetX)/Ecran)*'Calculs 3D'!$C$32)+(((($C113*$R$4)+'Calculs 3D'!$D$12-OffsetY)/Ecran)*'Calculs 3D'!$D$32)+(((($D113*$R$4)+'Calculs 3D'!$E$12-OffsetZ)/Ecran)*'Calculs 3D'!$E$32)),0)</f>
        <v>7.0847756592821054E-2</v>
      </c>
      <c r="T113" s="105">
        <f>IF(Body8Actif=TRUE,((((($B113*$T$4)+'Calculs 3D'!$C$13-OffsetX)/Ecran)*'Calculs 3D'!$C$31)+(((($C113*$T$4)+'Calculs 3D'!$D$13-OffsetY)/Ecran)*'Calculs 3D'!$D$31)+(((($D113*$T$4)+'Calculs 3D'!$E$13-OffsetZ)/Ecran)*'Calculs 3D'!$E$31)),0)</f>
        <v>0.1690697102754434</v>
      </c>
      <c r="U113" s="105">
        <f>IF(Body8Actif=TRUE,((((($B113*$T$4)+'Calculs 3D'!$C$13-OffsetX)/Ecran)*'Calculs 3D'!$C$32)+(((($C113*$T$4)+'Calculs 3D'!$D$13-OffsetY)/Ecran)*'Calculs 3D'!$D$32)+(((($D113*$T$4)+'Calculs 3D'!$E$13-OffsetZ)/Ecran)*'Calculs 3D'!$E$32)),0)</f>
        <v>-0.12750405930968589</v>
      </c>
      <c r="V113" s="105">
        <f>IF(Body9Actif=TRUE,((((($B113*$V$4)+'Calculs 3D'!$C$14-OffsetX)/Ecran)*'Calculs 3D'!$C$31)+(((($C113*$V$4)+'Calculs 3D'!$D$14-OffsetY)/Ecran)*'Calculs 3D'!$D$31)+(((($D113*$V$4)+'Calculs 3D'!$E$14-OffsetZ)/Ecran)*'Calculs 3D'!$E$31)),0)</f>
        <v>-0.17641166240148204</v>
      </c>
      <c r="W113" s="105">
        <f>IF(Body9Actif=TRUE,((((($B113*$V$4)+'Calculs 3D'!$C$14-OffsetX)/Ecran)*'Calculs 3D'!$C$32)+(((($C113*$V$4)+'Calculs 3D'!$D$14-OffsetY)/Ecran)*'Calculs 3D'!$D$32)+(((($D113*$V$4)+'Calculs 3D'!$E$14-OffsetZ)/Ecran)*'Calculs 3D'!$E$32)),0)</f>
        <v>0.29292843080435493</v>
      </c>
      <c r="X113" s="105">
        <f>IF(Body10Actif=TRUE,((((($B113*$X$4)+'Calculs 3D'!$C$15-OffsetX)/Ecran)*'Calculs 3D'!$C$31)+(((($C113*$X$4)+'Calculs 3D'!$D$15-OffsetY)/Ecran)*'Calculs 3D'!$D$31)+(((($D113*$X$4)+'Calculs 3D'!$E$15-OffsetZ)/Ecran)*'Calculs 3D'!$E$31)),0)</f>
        <v>-1.3559809538803411E-2</v>
      </c>
      <c r="Y113" s="105">
        <f>IF(Body10Actif=TRUE,((((($B113*$X$4)+'Calculs 3D'!$C$15-OffsetX)/Ecran)*'Calculs 3D'!$C$32)+(((($C113*$X$4)+'Calculs 3D'!$D$15-OffsetY)/Ecran)*'Calculs 3D'!$D$32)+(((($D113*$X$4)+'Calculs 3D'!$E$15-OffsetZ)/Ecran)*'Calculs 3D'!$E$32)),0)</f>
        <v>0.29896706824515018</v>
      </c>
    </row>
    <row r="114" spans="2:25" x14ac:dyDescent="0.3">
      <c r="B114" s="103">
        <v>0.30000000000000004</v>
      </c>
      <c r="C114" s="103">
        <v>-7.3508907294517213E-17</v>
      </c>
      <c r="D114" s="103">
        <v>0.95</v>
      </c>
      <c r="F114" s="105">
        <f>IF(Body1Actif=TRUE,((((($B114*$F$4)+'Calculs 3D'!$C$6-OffsetX)/Ecran)*'Calculs 3D'!$C$31)+(((($C114*$F$4)+'Calculs 3D'!$D$6-OffsetY)/Ecran)*'Calculs 3D'!$D$31)+(((($D114*$F$4)+'Calculs 3D'!$E$6-OffsetZ)/Ecran)*'Calculs 3D'!$E$31)),0)</f>
        <v>5.1495835776183989E-2</v>
      </c>
      <c r="G114" s="105">
        <f>IF(Body1Actif=TRUE,((((($B114*$F$4)+'Calculs 3D'!$C$6-OffsetX)/Ecran)*'Calculs 3D'!$C$32)+(((($C114*$F$4)+'Calculs 3D'!$D$6-OffsetY)/Ecran)*'Calculs 3D'!$D$32)+(((($D114*$F$4)+'Calculs 3D'!$E$6-OffsetZ)/Ecran)*'Calculs 3D'!$E$32)),0)</f>
        <v>0.26637353004405923</v>
      </c>
      <c r="H114" s="105">
        <f>IF(Body2Actif=TRUE,((((($B114*$H$4)+'Calculs 3D'!$C$7-OffsetX)/Ecran)*'Calculs 3D'!$C$31)+(((($C114*$H$4)+'Calculs 3D'!$D$7-OffsetY)/Ecran)*'Calculs 3D'!$D$31)+(((($D114*$H$4)+'Calculs 3D'!$E$7-OffsetZ)/Ecran)*'Calculs 3D'!$E$31)),0)</f>
        <v>2.8821213823222752E-2</v>
      </c>
      <c r="I114" s="105">
        <f>IF(Body2Actif=TRUE,((((($B114*$H$4)+'Calculs 3D'!$C$7-OffsetX)/Ecran)*'Calculs 3D'!$C$32)+(((($C114*$H$4)+'Calculs 3D'!$D$7-OffsetY)/Ecran)*'Calculs 3D'!$D$32)+(((($D114*$H$4)+'Calculs 3D'!$E$7-OffsetZ)/Ecran)*'Calculs 3D'!$E$32)),0)</f>
        <v>4.010546521576687E-2</v>
      </c>
      <c r="J114" s="105">
        <f>IF(Body3Actif=TRUE,((((($B114*$J$4)+'Calculs 3D'!$C$8-OffsetX)/Ecran)*'Calculs 3D'!$C$31)+(((($C114*$J$4)+'Calculs 3D'!$D$8-OffsetY)/Ecran)*'Calculs 3D'!$D$31)+(((($D114*$J$4)+'Calculs 3D'!$E$8-OffsetZ)/Ecran)*'Calculs 3D'!$E$31)),0)</f>
        <v>0.22024796754235243</v>
      </c>
      <c r="K114" s="105">
        <f>IF(Body3Actif=TRUE,((((($B114*$J$4)+'Calculs 3D'!$C$8-OffsetX)/Ecran)*'Calculs 3D'!$C$32)+(((($C114*$J$4)+'Calculs 3D'!$D$8-OffsetY)/Ecran)*'Calculs 3D'!$D$32)+(((($D114*$J$4)+'Calculs 3D'!$E$8-OffsetZ)/Ecran)*'Calculs 3D'!$E$32)),0)</f>
        <v>-7.6518341764312992E-2</v>
      </c>
      <c r="L114" s="105">
        <f>IF(Body4Actif=TRUE,((((($B114*$L$4)+'Calculs 3D'!$C$9-OffsetX)/Ecran)*'Calculs 3D'!$C$31)+(((($C114*$L$4)+'Calculs 3D'!$D$9-OffsetY)/Ecran)*'Calculs 3D'!$D$31)+(((($D114*$L$4)+'Calculs 3D'!$E$9-OffsetZ)/Ecran)*'Calculs 3D'!$E$31)),0)</f>
        <v>-9.2461214420181806E-2</v>
      </c>
      <c r="M114" s="105">
        <f>IF(Body4Actif=TRUE,((((($B114*$L$4)+'Calculs 3D'!$C$9-OffsetX)/Ecran)*'Calculs 3D'!$C$32)+(((($C114*$L$4)+'Calculs 3D'!$D$9-OffsetY)/Ecran)*'Calculs 3D'!$D$32)+(((($D114*$L$4)+'Calculs 3D'!$E$9-OffsetZ)/Ecran)*'Calculs 3D'!$E$32)),0)</f>
        <v>-0.16645497673952148</v>
      </c>
      <c r="N114" s="105">
        <f>IF(Body5Actif=TRUE,((((($B114*$N$4)+'Calculs 3D'!$C$10-OffsetX)/Ecran)*'Calculs 3D'!$C$31)+(((($C114*$N$4)+'Calculs 3D'!$D$10-OffsetY)/Ecran)*'Calculs 3D'!$D$31)+(((($D114*$N$4)+'Calculs 3D'!$E$10-OffsetZ)/Ecran)*'Calculs 3D'!$E$31)),0)</f>
        <v>3.2128681547562684E-3</v>
      </c>
      <c r="O114" s="105">
        <f>IF(Body5Actif=TRUE,((((($B114*$N$4)+'Calculs 3D'!$C$10-OffsetX)/Ecran)*'Calculs 3D'!$C$32)+(((($C114*$N$4)+'Calculs 3D'!$D$10-OffsetY)/Ecran)*'Calculs 3D'!$D$32)+(((($D114*$N$4)+'Calculs 3D'!$E$10-OffsetZ)/Ecran)*'Calculs 3D'!$E$32)),0)</f>
        <v>1.2598675885084152E-3</v>
      </c>
      <c r="P114" s="105">
        <f>IF(Body6Actif=TRUE,((((($B114*$P$4)+'Calculs 3D'!$C$11-OffsetX)/Ecran)*'Calculs 3D'!$C$31)+(((($C114*$P$4)+'Calculs 3D'!$D$11-OffsetY)/Ecran)*'Calculs 3D'!$D$31)+(((($D114*$P$4)+'Calculs 3D'!$E$11-OffsetZ)/Ecran)*'Calculs 3D'!$E$31)),0)</f>
        <v>0.17409262229123268</v>
      </c>
      <c r="Q114" s="105">
        <f>IF(Body6Actif=TRUE,((((($B114*$P$4)+'Calculs 3D'!$C$11-OffsetX)/Ecran)*'Calculs 3D'!$C$32)+(((($C114*$P$4)+'Calculs 3D'!$D$11-OffsetY)/Ecran)*'Calculs 3D'!$D$32)+(((($D114*$P$4)+'Calculs 3D'!$E$11-OffsetZ)/Ecran)*'Calculs 3D'!$E$32)),0)</f>
        <v>0.14209801392457519</v>
      </c>
      <c r="R114" s="105">
        <f>IF(Body7Actif=TRUE,((((($B114*$R$4)+'Calculs 3D'!$C$12-OffsetX)/Ecran)*'Calculs 3D'!$C$31)+(((($C114*$R$4)+'Calculs 3D'!$D$12-OffsetY)/Ecran)*'Calculs 3D'!$D$31)+(((($D114*$R$4)+'Calculs 3D'!$E$12-OffsetZ)/Ecran)*'Calculs 3D'!$E$31)),0)</f>
        <v>-0.27730791415792921</v>
      </c>
      <c r="S114" s="105">
        <f>IF(Body7Actif=TRUE,((((($B114*$R$4)+'Calculs 3D'!$C$12-OffsetX)/Ecran)*'Calculs 3D'!$C$32)+(((($C114*$R$4)+'Calculs 3D'!$D$12-OffsetY)/Ecran)*'Calculs 3D'!$D$32)+(((($D114*$R$4)+'Calculs 3D'!$E$12-OffsetZ)/Ecran)*'Calculs 3D'!$E$32)),0)</f>
        <v>7.1425298219688946E-2</v>
      </c>
      <c r="T114" s="105">
        <f>IF(Body8Actif=TRUE,((((($B114*$T$4)+'Calculs 3D'!$C$13-OffsetX)/Ecran)*'Calculs 3D'!$C$31)+(((($C114*$T$4)+'Calculs 3D'!$D$13-OffsetY)/Ecran)*'Calculs 3D'!$D$31)+(((($D114*$T$4)+'Calculs 3D'!$E$13-OffsetZ)/Ecran)*'Calculs 3D'!$E$31)),0)</f>
        <v>0.1694080397821375</v>
      </c>
      <c r="U114" s="105">
        <f>IF(Body8Actif=TRUE,((((($B114*$T$4)+'Calculs 3D'!$C$13-OffsetX)/Ecran)*'Calculs 3D'!$C$32)+(((($C114*$T$4)+'Calculs 3D'!$D$13-OffsetY)/Ecran)*'Calculs 3D'!$D$32)+(((($D114*$T$4)+'Calculs 3D'!$E$13-OffsetZ)/Ecran)*'Calculs 3D'!$E$32)),0)</f>
        <v>-0.12729576286644836</v>
      </c>
      <c r="V114" s="105">
        <f>IF(Body9Actif=TRUE,((((($B114*$V$4)+'Calculs 3D'!$C$14-OffsetX)/Ecran)*'Calculs 3D'!$C$31)+(((($C114*$V$4)+'Calculs 3D'!$D$14-OffsetY)/Ecran)*'Calculs 3D'!$D$31)+(((($D114*$V$4)+'Calculs 3D'!$E$14-OffsetZ)/Ecran)*'Calculs 3D'!$E$31)),0)</f>
        <v>-0.17594222481763677</v>
      </c>
      <c r="W114" s="105">
        <f>IF(Body9Actif=TRUE,((((($B114*$V$4)+'Calculs 3D'!$C$14-OffsetX)/Ecran)*'Calculs 3D'!$C$32)+(((($C114*$V$4)+'Calculs 3D'!$D$14-OffsetY)/Ecran)*'Calculs 3D'!$D$32)+(((($D114*$V$4)+'Calculs 3D'!$E$14-OffsetZ)/Ecran)*'Calculs 3D'!$E$32)),0)</f>
        <v>0.29321744543979839</v>
      </c>
      <c r="X114" s="105">
        <f>IF(Body10Actif=TRUE,((((($B114*$X$4)+'Calculs 3D'!$C$15-OffsetX)/Ecran)*'Calculs 3D'!$C$31)+(((($C114*$X$4)+'Calculs 3D'!$D$15-OffsetY)/Ecran)*'Calculs 3D'!$D$31)+(((($D114*$X$4)+'Calculs 3D'!$E$15-OffsetZ)/Ecran)*'Calculs 3D'!$E$31)),0)</f>
        <v>-1.2851215054942328E-2</v>
      </c>
      <c r="Y114" s="105">
        <f>IF(Body10Actif=TRUE,((((($B114*$X$4)+'Calculs 3D'!$C$15-OffsetX)/Ecran)*'Calculs 3D'!$C$32)+(((($C114*$X$4)+'Calculs 3D'!$D$15-OffsetY)/Ecran)*'Calculs 3D'!$D$32)+(((($D114*$X$4)+'Calculs 3D'!$E$15-OffsetZ)/Ecran)*'Calculs 3D'!$E$32)),0)</f>
        <v>0.29940332257049174</v>
      </c>
    </row>
    <row r="115" spans="2:25" x14ac:dyDescent="0.3">
      <c r="B115" s="19"/>
      <c r="C115" s="19"/>
      <c r="D115" s="19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2:25" x14ac:dyDescent="0.3">
      <c r="B116" s="101">
        <v>0.97</v>
      </c>
      <c r="C116" s="101">
        <v>0</v>
      </c>
      <c r="D116" s="101">
        <v>-0.25</v>
      </c>
      <c r="F116" s="105">
        <f>IF(Body1Actif=TRUE,((((($B116*$F$4)+'Calculs 3D'!$C$6-OffsetX)/Ecran)*'Calculs 3D'!$C$31)+(((($C116*$F$4)+'Calculs 3D'!$D$6-OffsetY)/Ecran)*'Calculs 3D'!$D$31)+(((($D116*$F$4)+'Calculs 3D'!$E$6-OffsetZ)/Ecran)*'Calculs 3D'!$E$31)),0)</f>
        <v>5.3543044289440254E-2</v>
      </c>
      <c r="G116" s="105">
        <f>IF(Body1Actif=TRUE,((((($B116*$F$4)+'Calculs 3D'!$C$6-OffsetX)/Ecran)*'Calculs 3D'!$C$32)+(((($C116*$F$4)+'Calculs 3D'!$D$6-OffsetY)/Ecran)*'Calculs 3D'!$D$32)+(((($D116*$F$4)+'Calculs 3D'!$E$6-OffsetZ)/Ecran)*'Calculs 3D'!$E$32)),0)</f>
        <v>0.26188636775449553</v>
      </c>
      <c r="H116" s="105">
        <f>IF(Body2Actif=TRUE,((((($B116*$H$4)+'Calculs 3D'!$C$7-OffsetX)/Ecran)*'Calculs 3D'!$C$31)+(((($C116*$H$4)+'Calculs 3D'!$D$7-OffsetY)/Ecran)*'Calculs 3D'!$D$31)+(((($D116*$H$4)+'Calculs 3D'!$E$7-OffsetZ)/Ecran)*'Calculs 3D'!$E$31)),0)</f>
        <v>3.6800979658193615E-2</v>
      </c>
      <c r="I116" s="105">
        <f>IF(Body2Actif=TRUE,((((($B116*$H$4)+'Calculs 3D'!$C$7-OffsetX)/Ecran)*'Calculs 3D'!$C$32)+(((($C116*$H$4)+'Calculs 3D'!$D$7-OffsetY)/Ecran)*'Calculs 3D'!$D$32)+(((($D116*$H$4)+'Calculs 3D'!$E$7-OffsetZ)/Ecran)*'Calculs 3D'!$E$32)),0)</f>
        <v>2.2615061037407583E-2</v>
      </c>
      <c r="J116" s="105">
        <f>IF(Body3Actif=TRUE,((((($B116*$J$4)+'Calculs 3D'!$C$8-OffsetX)/Ecran)*'Calculs 3D'!$C$31)+(((($C116*$J$4)+'Calculs 3D'!$D$8-OffsetY)/Ecran)*'Calculs 3D'!$D$31)+(((($D116*$J$4)+'Calculs 3D'!$E$8-OffsetZ)/Ecran)*'Calculs 3D'!$E$31)),0)</f>
        <v>0.22379435273900616</v>
      </c>
      <c r="K116" s="105">
        <f>IF(Body3Actif=TRUE,((((($B116*$J$4)+'Calculs 3D'!$C$8-OffsetX)/Ecran)*'Calculs 3D'!$C$32)+(((($C116*$J$4)+'Calculs 3D'!$D$8-OffsetY)/Ecran)*'Calculs 3D'!$D$32)+(((($D116*$J$4)+'Calculs 3D'!$E$8-OffsetZ)/Ecran)*'Calculs 3D'!$E$32)),0)</f>
        <v>-8.4291465906601831E-2</v>
      </c>
      <c r="L116" s="105">
        <f>IF(Body4Actif=TRUE,((((($B116*$L$4)+'Calculs 3D'!$C$9-OffsetX)/Ecran)*'Calculs 3D'!$C$31)+(((($C116*$L$4)+'Calculs 3D'!$D$9-OffsetY)/Ecran)*'Calculs 3D'!$D$31)+(((($D116*$L$4)+'Calculs 3D'!$E$9-OffsetZ)/Ecran)*'Calculs 3D'!$E$31)),0)</f>
        <v>-8.7849876019949868E-2</v>
      </c>
      <c r="M116" s="105">
        <f>IF(Body4Actif=TRUE,((((($B116*$L$4)+'Calculs 3D'!$C$9-OffsetX)/Ecran)*'Calculs 3D'!$C$32)+(((($C116*$L$4)+'Calculs 3D'!$D$9-OffsetY)/Ecran)*'Calculs 3D'!$D$32)+(((($D116*$L$4)+'Calculs 3D'!$E$9-OffsetZ)/Ecran)*'Calculs 3D'!$E$32)),0)</f>
        <v>-0.17656231247984894</v>
      </c>
      <c r="N116" s="105">
        <f>IF(Body5Actif=TRUE,((((($B116*$N$4)+'Calculs 3D'!$C$10-OffsetX)/Ecran)*'Calculs 3D'!$C$31)+(((($C116*$N$4)+'Calculs 3D'!$D$10-OffsetY)/Ecran)*'Calculs 3D'!$D$31)+(((($D116*$N$4)+'Calculs 3D'!$E$10-OffsetZ)/Ecran)*'Calculs 3D'!$E$31)),0)</f>
        <v>8.4771342718938623E-3</v>
      </c>
      <c r="O116" s="105">
        <f>IF(Body5Actif=TRUE,((((($B116*$N$4)+'Calculs 3D'!$C$10-OffsetX)/Ecran)*'Calculs 3D'!$C$32)+(((($C116*$N$4)+'Calculs 3D'!$D$10-OffsetY)/Ecran)*'Calculs 3D'!$D$32)+(((($D116*$N$4)+'Calculs 3D'!$E$10-OffsetZ)/Ecran)*'Calculs 3D'!$E$32)),0)</f>
        <v>-1.0278584039692118E-2</v>
      </c>
      <c r="P116" s="105">
        <f>IF(Body6Actif=TRUE,((((($B116*$P$4)+'Calculs 3D'!$C$11-OffsetX)/Ecran)*'Calculs 3D'!$C$31)+(((($C116*$P$4)+'Calculs 3D'!$D$11-OffsetY)/Ecran)*'Calculs 3D'!$D$31)+(((($D116*$P$4)+'Calculs 3D'!$E$11-OffsetZ)/Ecran)*'Calculs 3D'!$E$31)),0)</f>
        <v>0.18172144260548431</v>
      </c>
      <c r="Q116" s="105">
        <f>IF(Body6Actif=TRUE,((((($B116*$P$4)+'Calculs 3D'!$C$11-OffsetX)/Ecran)*'Calculs 3D'!$C$32)+(((($C116*$P$4)+'Calculs 3D'!$D$11-OffsetY)/Ecran)*'Calculs 3D'!$D$32)+(((($D116*$P$4)+'Calculs 3D'!$E$11-OffsetZ)/Ecran)*'Calculs 3D'!$E$32)),0)</f>
        <v>0.12537682768179287</v>
      </c>
      <c r="R116" s="105">
        <f>IF(Body7Actif=TRUE,((((($B116*$R$4)+'Calculs 3D'!$C$12-OffsetX)/Ecran)*'Calculs 3D'!$C$31)+(((($C116*$R$4)+'Calculs 3D'!$D$12-OffsetY)/Ecran)*'Calculs 3D'!$D$31)+(((($D116*$R$4)+'Calculs 3D'!$E$12-OffsetZ)/Ecran)*'Calculs 3D'!$E$31)),0)</f>
        <v>-0.26964656832969025</v>
      </c>
      <c r="S116" s="105">
        <f>IF(Body7Actif=TRUE,((((($B116*$R$4)+'Calculs 3D'!$C$12-OffsetX)/Ecran)*'Calculs 3D'!$C$32)+(((($C116*$R$4)+'Calculs 3D'!$D$12-OffsetY)/Ecran)*'Calculs 3D'!$D$32)+(((($D116*$R$4)+'Calculs 3D'!$E$12-OffsetZ)/Ecran)*'Calculs 3D'!$E$32)),0)</f>
        <v>5.4632821114804567E-2</v>
      </c>
      <c r="T116" s="105">
        <f>IF(Body8Actif=TRUE,((((($B116*$T$4)+'Calculs 3D'!$C$13-OffsetX)/Ecran)*'Calculs 3D'!$C$31)+(((($C116*$T$4)+'Calculs 3D'!$D$13-OffsetY)/Ecran)*'Calculs 3D'!$D$31)+(((($D116*$T$4)+'Calculs 3D'!$E$13-OffsetZ)/Ecran)*'Calculs 3D'!$E$31)),0)</f>
        <v>0.17217118448408603</v>
      </c>
      <c r="U116" s="105">
        <f>IF(Body8Actif=TRUE,((((($B116*$T$4)+'Calculs 3D'!$C$13-OffsetX)/Ecran)*'Calculs 3D'!$C$32)+(((($C116*$T$4)+'Calculs 3D'!$D$13-OffsetY)/Ecran)*'Calculs 3D'!$D$32)+(((($D116*$T$4)+'Calculs 3D'!$E$13-OffsetZ)/Ecran)*'Calculs 3D'!$E$32)),0)</f>
        <v>-0.13335214580297197</v>
      </c>
      <c r="V116" s="105">
        <f>IF(Body9Actif=TRUE,((((($B116*$V$4)+'Calculs 3D'!$C$14-OffsetX)/Ecran)*'Calculs 3D'!$C$31)+(((($C116*$V$4)+'Calculs 3D'!$D$14-OffsetY)/Ecran)*'Calculs 3D'!$D$31)+(((($D116*$V$4)+'Calculs 3D'!$E$14-OffsetZ)/Ecran)*'Calculs 3D'!$E$31)),0)</f>
        <v>-0.17210831749642197</v>
      </c>
      <c r="W116" s="105">
        <f>IF(Body9Actif=TRUE,((((($B116*$V$4)+'Calculs 3D'!$C$14-OffsetX)/Ecran)*'Calculs 3D'!$C$32)+(((($C116*$V$4)+'Calculs 3D'!$D$14-OffsetY)/Ecran)*'Calculs 3D'!$D$32)+(((($D116*$V$4)+'Calculs 3D'!$E$14-OffsetZ)/Ecran)*'Calculs 3D'!$E$32)),0)</f>
        <v>0.28481411757063391</v>
      </c>
      <c r="X116" s="105">
        <f>IF(Body10Actif=TRUE,((((($B116*$X$4)+'Calculs 3D'!$C$15-OffsetX)/Ecran)*'Calculs 3D'!$C$31)+(((($C116*$X$4)+'Calculs 3D'!$D$15-OffsetY)/Ecran)*'Calculs 3D'!$D$31)+(((($D116*$X$4)+'Calculs 3D'!$E$15-OffsetZ)/Ecran)*'Calculs 3D'!$E$31)),0)</f>
        <v>-7.0641079443565513E-3</v>
      </c>
      <c r="Y116" s="105">
        <f>IF(Body10Actif=TRUE,((((($B116*$X$4)+'Calculs 3D'!$C$15-OffsetX)/Ecran)*'Calculs 3D'!$C$32)+(((($C116*$X$4)+'Calculs 3D'!$D$15-OffsetY)/Ecran)*'Calculs 3D'!$D$32)+(((($D116*$X$4)+'Calculs 3D'!$E$15-OffsetZ)/Ecran)*'Calculs 3D'!$E$32)),0)</f>
        <v>0.28671888489639141</v>
      </c>
    </row>
    <row r="117" spans="2:25" x14ac:dyDescent="0.3">
      <c r="B117" s="102">
        <v>0.92252482080629894</v>
      </c>
      <c r="C117" s="102">
        <v>0.29974648454369895</v>
      </c>
      <c r="D117" s="102">
        <v>-0.25</v>
      </c>
      <c r="F117" s="105">
        <f>IF(Body1Actif=TRUE,((((($B117*$F$4)+'Calculs 3D'!$C$6-OffsetX)/Ecran)*'Calculs 3D'!$C$31)+(((($C117*$F$4)+'Calculs 3D'!$D$6-OffsetY)/Ecran)*'Calculs 3D'!$D$31)+(((($D117*$F$4)+'Calculs 3D'!$E$6-OffsetZ)/Ecran)*'Calculs 3D'!$E$31)),0)</f>
        <v>5.4063412272594147E-2</v>
      </c>
      <c r="G117" s="105">
        <f>IF(Body1Actif=TRUE,((((($B117*$F$4)+'Calculs 3D'!$C$6-OffsetX)/Ecran)*'Calculs 3D'!$C$32)+(((($C117*$F$4)+'Calculs 3D'!$D$6-OffsetY)/Ecran)*'Calculs 3D'!$D$32)+(((($D117*$F$4)+'Calculs 3D'!$E$6-OffsetZ)/Ecran)*'Calculs 3D'!$E$32)),0)</f>
        <v>0.26251513030313495</v>
      </c>
      <c r="H117" s="105">
        <f>IF(Body2Actif=TRUE,((((($B117*$H$4)+'Calculs 3D'!$C$7-OffsetX)/Ecran)*'Calculs 3D'!$C$31)+(((($C117*$H$4)+'Calculs 3D'!$D$7-OffsetY)/Ecran)*'Calculs 3D'!$D$31)+(((($D117*$H$4)+'Calculs 3D'!$E$7-OffsetZ)/Ecran)*'Calculs 3D'!$E$31)),0)</f>
        <v>3.8829309760719119E-2</v>
      </c>
      <c r="I117" s="105">
        <f>IF(Body2Actif=TRUE,((((($B117*$H$4)+'Calculs 3D'!$C$7-OffsetX)/Ecran)*'Calculs 3D'!$C$32)+(((($C117*$H$4)+'Calculs 3D'!$D$7-OffsetY)/Ecran)*'Calculs 3D'!$D$32)+(((($D117*$H$4)+'Calculs 3D'!$E$7-OffsetZ)/Ecran)*'Calculs 3D'!$E$32)),0)</f>
        <v>2.5065899763142219E-2</v>
      </c>
      <c r="J117" s="105">
        <f>IF(Body3Actif=TRUE,((((($B117*$J$4)+'Calculs 3D'!$C$8-OffsetX)/Ecran)*'Calculs 3D'!$C$31)+(((($C117*$J$4)+'Calculs 3D'!$D$8-OffsetY)/Ecran)*'Calculs 3D'!$D$31)+(((($D117*$J$4)+'Calculs 3D'!$E$8-OffsetZ)/Ecran)*'Calculs 3D'!$E$31)),0)</f>
        <v>0.22469578769314974</v>
      </c>
      <c r="K117" s="105">
        <f>IF(Body3Actif=TRUE,((((($B117*$J$4)+'Calculs 3D'!$C$8-OffsetX)/Ecran)*'Calculs 3D'!$C$32)+(((($C117*$J$4)+'Calculs 3D'!$D$8-OffsetY)/Ecran)*'Calculs 3D'!$D$32)+(((($D117*$J$4)+'Calculs 3D'!$E$8-OffsetZ)/Ecran)*'Calculs 3D'!$E$32)),0)</f>
        <v>-8.3202258734852444E-2</v>
      </c>
      <c r="L117" s="105">
        <f>IF(Body4Actif=TRUE,((((($B117*$L$4)+'Calculs 3D'!$C$9-OffsetX)/Ecran)*'Calculs 3D'!$C$31)+(((($C117*$L$4)+'Calculs 3D'!$D$9-OffsetY)/Ecran)*'Calculs 3D'!$D$31)+(((($D117*$L$4)+'Calculs 3D'!$E$9-OffsetZ)/Ecran)*'Calculs 3D'!$E$31)),0)</f>
        <v>-8.6677746826743257E-2</v>
      </c>
      <c r="M117" s="105">
        <f>IF(Body4Actif=TRUE,((((($B117*$L$4)+'Calculs 3D'!$C$9-OffsetX)/Ecran)*'Calculs 3D'!$C$32)+(((($C117*$L$4)+'Calculs 3D'!$D$9-OffsetY)/Ecran)*'Calculs 3D'!$D$32)+(((($D117*$L$4)+'Calculs 3D'!$E$9-OffsetZ)/Ecran)*'Calculs 3D'!$E$32)),0)</f>
        <v>-0.17514602446307195</v>
      </c>
      <c r="N117" s="105">
        <f>IF(Body5Actif=TRUE,((((($B117*$N$4)+'Calculs 3D'!$C$10-OffsetX)/Ecran)*'Calculs 3D'!$C$31)+(((($C117*$N$4)+'Calculs 3D'!$D$10-OffsetY)/Ecran)*'Calculs 3D'!$D$31)+(((($D117*$N$4)+'Calculs 3D'!$E$10-OffsetZ)/Ecran)*'Calculs 3D'!$E$31)),0)</f>
        <v>9.8152273505530026E-3</v>
      </c>
      <c r="O117" s="105">
        <f>IF(Body5Actif=TRUE,((((($B117*$N$4)+'Calculs 3D'!$C$10-OffsetX)/Ecran)*'Calculs 3D'!$C$32)+(((($C117*$N$4)+'Calculs 3D'!$D$10-OffsetY)/Ecran)*'Calculs 3D'!$D$32)+(((($D117*$N$4)+'Calculs 3D'!$E$10-OffsetZ)/Ecran)*'Calculs 3D'!$E$32)),0)</f>
        <v>-8.6617612494904548E-3</v>
      </c>
      <c r="P117" s="105">
        <f>IF(Body6Actif=TRUE,((((($B117*$P$4)+'Calculs 3D'!$C$11-OffsetX)/Ecran)*'Calculs 3D'!$C$31)+(((($C117*$P$4)+'Calculs 3D'!$D$11-OffsetY)/Ecran)*'Calculs 3D'!$D$31)+(((($D117*$P$4)+'Calculs 3D'!$E$11-OffsetZ)/Ecran)*'Calculs 3D'!$E$31)),0)</f>
        <v>0.18366056791444285</v>
      </c>
      <c r="Q117" s="105">
        <f>IF(Body6Actif=TRUE,((((($B117*$P$4)+'Calculs 3D'!$C$11-OffsetX)/Ecran)*'Calculs 3D'!$C$32)+(((($C117*$P$4)+'Calculs 3D'!$D$11-OffsetY)/Ecran)*'Calculs 3D'!$D$32)+(((($D117*$P$4)+'Calculs 3D'!$E$11-OffsetZ)/Ecran)*'Calculs 3D'!$E$32)),0)</f>
        <v>0.12771987992724854</v>
      </c>
      <c r="R117" s="105">
        <f>IF(Body7Actif=TRUE,((((($B117*$R$4)+'Calculs 3D'!$C$12-OffsetX)/Ecran)*'Calculs 3D'!$C$31)+(((($C117*$R$4)+'Calculs 3D'!$D$12-OffsetY)/Ecran)*'Calculs 3D'!$D$31)+(((($D117*$R$4)+'Calculs 3D'!$E$12-OffsetZ)/Ecran)*'Calculs 3D'!$E$31)),0)</f>
        <v>-0.2676991755501712</v>
      </c>
      <c r="S117" s="105">
        <f>IF(Body7Actif=TRUE,((((($B117*$R$4)+'Calculs 3D'!$C$12-OffsetX)/Ecran)*'Calculs 3D'!$C$32)+(((($C117*$R$4)+'Calculs 3D'!$D$12-OffsetY)/Ecran)*'Calculs 3D'!$D$32)+(((($D117*$R$4)+'Calculs 3D'!$E$12-OffsetZ)/Ecran)*'Calculs 3D'!$E$32)),0)</f>
        <v>5.6985862975357141E-2</v>
      </c>
      <c r="T117" s="105">
        <f>IF(Body8Actif=TRUE,((((($B117*$T$4)+'Calculs 3D'!$C$13-OffsetX)/Ecran)*'Calculs 3D'!$C$31)+(((($C117*$T$4)+'Calculs 3D'!$D$13-OffsetY)/Ecran)*'Calculs 3D'!$D$31)+(((($D117*$T$4)+'Calculs 3D'!$E$13-OffsetZ)/Ecran)*'Calculs 3D'!$E$31)),0)</f>
        <v>0.17287353210837769</v>
      </c>
      <c r="U117" s="105">
        <f>IF(Body8Actif=TRUE,((((($B117*$T$4)+'Calculs 3D'!$C$13-OffsetX)/Ecran)*'Calculs 3D'!$C$32)+(((($C117*$T$4)+'Calculs 3D'!$D$13-OffsetY)/Ecran)*'Calculs 3D'!$D$32)+(((($D117*$T$4)+'Calculs 3D'!$E$13-OffsetZ)/Ecran)*'Calculs 3D'!$E$32)),0)</f>
        <v>-0.1325034965843864</v>
      </c>
      <c r="V117" s="105">
        <f>IF(Body9Actif=TRUE,((((($B117*$V$4)+'Calculs 3D'!$C$14-OffsetX)/Ecran)*'Calculs 3D'!$C$31)+(((($C117*$V$4)+'Calculs 3D'!$D$14-OffsetY)/Ecran)*'Calculs 3D'!$D$31)+(((($D117*$V$4)+'Calculs 3D'!$E$14-OffsetZ)/Ecran)*'Calculs 3D'!$E$31)),0)</f>
        <v>-0.17113379897160097</v>
      </c>
      <c r="W117" s="105">
        <f>IF(Body9Actif=TRUE,((((($B117*$V$4)+'Calculs 3D'!$C$14-OffsetX)/Ecran)*'Calculs 3D'!$C$32)+(((($C117*$V$4)+'Calculs 3D'!$D$14-OffsetY)/Ecran)*'Calculs 3D'!$D$32)+(((($D117*$V$4)+'Calculs 3D'!$E$14-OffsetZ)/Ecran)*'Calculs 3D'!$E$32)),0)</f>
        <v>0.28599163188972981</v>
      </c>
      <c r="X117" s="105">
        <f>IF(Body10Actif=TRUE,((((($B117*$X$4)+'Calculs 3D'!$C$15-OffsetX)/Ecran)*'Calculs 3D'!$C$31)+(((($C117*$X$4)+'Calculs 3D'!$D$15-OffsetY)/Ecran)*'Calculs 3D'!$D$31)+(((($D117*$X$4)+'Calculs 3D'!$E$15-OffsetZ)/Ecran)*'Calculs 3D'!$E$31)),0)</f>
        <v>-5.5931169652104207E-3</v>
      </c>
      <c r="Y117" s="105">
        <f>IF(Body10Actif=TRUE,((((($B117*$X$4)+'Calculs 3D'!$C$15-OffsetX)/Ecran)*'Calculs 3D'!$C$32)+(((($C117*$X$4)+'Calculs 3D'!$D$15-OffsetY)/Ecran)*'Calculs 3D'!$D$32)+(((($D117*$X$4)+'Calculs 3D'!$E$15-OffsetZ)/Ecran)*'Calculs 3D'!$E$32)),0)</f>
        <v>0.2884962887087239</v>
      </c>
    </row>
    <row r="118" spans="2:25" x14ac:dyDescent="0.3">
      <c r="B118" s="102">
        <v>0.784746484543699</v>
      </c>
      <c r="C118" s="102">
        <v>0.57015169472369898</v>
      </c>
      <c r="D118" s="102">
        <v>-0.25</v>
      </c>
      <c r="F118" s="105">
        <f>IF(Body1Actif=TRUE,((((($B118*$F$4)+'Calculs 3D'!$C$6-OffsetX)/Ecran)*'Calculs 3D'!$C$31)+(((($C118*$F$4)+'Calculs 3D'!$D$6-OffsetY)/Ecran)*'Calculs 3D'!$D$31)+(((($D118*$F$4)+'Calculs 3D'!$E$6-OffsetZ)/Ecran)*'Calculs 3D'!$E$31)),0)</f>
        <v>5.4242718859660276E-2</v>
      </c>
      <c r="G118" s="105">
        <f>IF(Body1Actif=TRUE,((((($B118*$F$4)+'Calculs 3D'!$C$6-OffsetX)/Ecran)*'Calculs 3D'!$C$32)+(((($C118*$F$4)+'Calculs 3D'!$D$6-OffsetY)/Ecran)*'Calculs 3D'!$D$32)+(((($D118*$F$4)+'Calculs 3D'!$E$6-OffsetZ)/Ecran)*'Calculs 3D'!$E$32)),0)</f>
        <v>0.26321211895746577</v>
      </c>
      <c r="H118" s="105">
        <f>IF(Body2Actif=TRUE,((((($B118*$H$4)+'Calculs 3D'!$C$7-OffsetX)/Ecran)*'Calculs 3D'!$C$31)+(((($C118*$H$4)+'Calculs 3D'!$D$7-OffsetY)/Ecran)*'Calculs 3D'!$D$31)+(((($D118*$H$4)+'Calculs 3D'!$E$7-OffsetZ)/Ecran)*'Calculs 3D'!$E$31)),0)</f>
        <v>3.9528224682277194E-2</v>
      </c>
      <c r="I118" s="105">
        <f>IF(Body2Actif=TRUE,((((($B118*$H$4)+'Calculs 3D'!$C$7-OffsetX)/Ecran)*'Calculs 3D'!$C$32)+(((($C118*$H$4)+'Calculs 3D'!$D$7-OffsetY)/Ecran)*'Calculs 3D'!$D$32)+(((($D118*$H$4)+'Calculs 3D'!$E$7-OffsetZ)/Ecran)*'Calculs 3D'!$E$32)),0)</f>
        <v>2.7782675418957042E-2</v>
      </c>
      <c r="J118" s="105">
        <f>IF(Body3Actif=TRUE,((((($B118*$J$4)+'Calculs 3D'!$C$8-OffsetX)/Ecran)*'Calculs 3D'!$C$31)+(((($C118*$J$4)+'Calculs 3D'!$D$8-OffsetY)/Ecran)*'Calculs 3D'!$D$31)+(((($D118*$J$4)+'Calculs 3D'!$E$8-OffsetZ)/Ecran)*'Calculs 3D'!$E$31)),0)</f>
        <v>0.22500640100972996</v>
      </c>
      <c r="K118" s="105">
        <f>IF(Body3Actif=TRUE,((((($B118*$J$4)+'Calculs 3D'!$C$8-OffsetX)/Ecran)*'Calculs 3D'!$C$32)+(((($C118*$J$4)+'Calculs 3D'!$D$8-OffsetY)/Ecran)*'Calculs 3D'!$D$32)+(((($D118*$J$4)+'Calculs 3D'!$E$8-OffsetZ)/Ecran)*'Calculs 3D'!$E$32)),0)</f>
        <v>-8.1994863283949948E-2</v>
      </c>
      <c r="L118" s="105">
        <f>IF(Body4Actif=TRUE,((((($B118*$L$4)+'Calculs 3D'!$C$9-OffsetX)/Ecran)*'Calculs 3D'!$C$31)+(((($C118*$L$4)+'Calculs 3D'!$D$9-OffsetY)/Ecran)*'Calculs 3D'!$D$31)+(((($D118*$L$4)+'Calculs 3D'!$E$9-OffsetZ)/Ecran)*'Calculs 3D'!$E$31)),0)</f>
        <v>-8.6273858632160957E-2</v>
      </c>
      <c r="M118" s="105">
        <f>IF(Body4Actif=TRUE,((((($B118*$L$4)+'Calculs 3D'!$C$9-OffsetX)/Ecran)*'Calculs 3D'!$C$32)+(((($C118*$L$4)+'Calculs 3D'!$D$9-OffsetY)/Ecran)*'Calculs 3D'!$D$32)+(((($D118*$L$4)+'Calculs 3D'!$E$9-OffsetZ)/Ecran)*'Calculs 3D'!$E$32)),0)</f>
        <v>-0.17357605710242949</v>
      </c>
      <c r="N118" s="105">
        <f>IF(Body5Actif=TRUE,((((($B118*$N$4)+'Calculs 3D'!$C$10-OffsetX)/Ecran)*'Calculs 3D'!$C$31)+(((($C118*$N$4)+'Calculs 3D'!$D$10-OffsetY)/Ecran)*'Calculs 3D'!$D$31)+(((($D118*$N$4)+'Calculs 3D'!$E$10-OffsetZ)/Ecran)*'Calculs 3D'!$E$31)),0)</f>
        <v>1.0276302802691687E-2</v>
      </c>
      <c r="O118" s="105">
        <f>IF(Body5Actif=TRUE,((((($B118*$N$4)+'Calculs 3D'!$C$10-OffsetX)/Ecran)*'Calculs 3D'!$C$32)+(((($C118*$N$4)+'Calculs 3D'!$D$10-OffsetY)/Ecran)*'Calculs 3D'!$D$32)+(((($D118*$N$4)+'Calculs 3D'!$E$10-OffsetZ)/Ecran)*'Calculs 3D'!$E$32)),0)</f>
        <v>-6.8694993800890621E-3</v>
      </c>
      <c r="P118" s="105">
        <f>IF(Body6Actif=TRUE,((((($B118*$P$4)+'Calculs 3D'!$C$11-OffsetX)/Ecran)*'Calculs 3D'!$C$31)+(((($C118*$P$4)+'Calculs 3D'!$D$11-OffsetY)/Ecran)*'Calculs 3D'!$D$31)+(((($D118*$P$4)+'Calculs 3D'!$E$11-OffsetZ)/Ecran)*'Calculs 3D'!$E$31)),0)</f>
        <v>0.18432874495895571</v>
      </c>
      <c r="Q118" s="105">
        <f>IF(Body6Actif=TRUE,((((($B118*$P$4)+'Calculs 3D'!$C$11-OffsetX)/Ecran)*'Calculs 3D'!$C$32)+(((($C118*$P$4)+'Calculs 3D'!$D$11-OffsetY)/Ecran)*'Calculs 3D'!$D$32)+(((($D118*$P$4)+'Calculs 3D'!$E$11-OffsetZ)/Ecran)*'Calculs 3D'!$E$32)),0)</f>
        <v>0.13031717334925785</v>
      </c>
      <c r="R118" s="105">
        <f>IF(Body7Actif=TRUE,((((($B118*$R$4)+'Calculs 3D'!$C$12-OffsetX)/Ecran)*'Calculs 3D'!$C$31)+(((($C118*$R$4)+'Calculs 3D'!$D$12-OffsetY)/Ecran)*'Calculs 3D'!$D$31)+(((($D118*$R$4)+'Calculs 3D'!$E$12-OffsetZ)/Ecran)*'Calculs 3D'!$E$31)),0)</f>
        <v>-0.26702814972945016</v>
      </c>
      <c r="S118" s="105">
        <f>IF(Body7Actif=TRUE,((((($B118*$R$4)+'Calculs 3D'!$C$12-OffsetX)/Ecran)*'Calculs 3D'!$C$32)+(((($C118*$R$4)+'Calculs 3D'!$D$12-OffsetY)/Ecran)*'Calculs 3D'!$D$32)+(((($D118*$R$4)+'Calculs 3D'!$E$12-OffsetZ)/Ecran)*'Calculs 3D'!$E$32)),0)</f>
        <v>5.9594229971005233E-2</v>
      </c>
      <c r="T118" s="105">
        <f>IF(Body8Actif=TRUE,((((($B118*$T$4)+'Calculs 3D'!$C$13-OffsetX)/Ecran)*'Calculs 3D'!$C$31)+(((($C118*$T$4)+'Calculs 3D'!$D$13-OffsetY)/Ecran)*'Calculs 3D'!$D$31)+(((($D118*$T$4)+'Calculs 3D'!$E$13-OffsetZ)/Ecran)*'Calculs 3D'!$E$31)),0)</f>
        <v>0.17311554460630749</v>
      </c>
      <c r="U118" s="105">
        <f>IF(Body8Actif=TRUE,((((($B118*$T$4)+'Calculs 3D'!$C$13-OffsetX)/Ecran)*'Calculs 3D'!$C$32)+(((($C118*$T$4)+'Calculs 3D'!$D$13-OffsetY)/Ecran)*'Calculs 3D'!$D$32)+(((($D118*$T$4)+'Calculs 3D'!$E$13-OffsetZ)/Ecran)*'Calculs 3D'!$E$32)),0)</f>
        <v>-0.13156276167875181</v>
      </c>
      <c r="V118" s="105">
        <f>IF(Body9Actif=TRUE,((((($B118*$V$4)+'Calculs 3D'!$C$14-OffsetX)/Ecran)*'Calculs 3D'!$C$31)+(((($C118*$V$4)+'Calculs 3D'!$D$14-OffsetY)/Ecran)*'Calculs 3D'!$D$31)+(((($D118*$V$4)+'Calculs 3D'!$E$14-OffsetZ)/Ecran)*'Calculs 3D'!$E$31)),0)</f>
        <v>-0.17079800277280469</v>
      </c>
      <c r="W118" s="105">
        <f>IF(Body9Actif=TRUE,((((($B118*$V$4)+'Calculs 3D'!$C$14-OffsetX)/Ecran)*'Calculs 3D'!$C$32)+(((($C118*$V$4)+'Calculs 3D'!$D$14-OffsetY)/Ecran)*'Calculs 3D'!$D$32)+(((($D118*$V$4)+'Calculs 3D'!$E$14-OffsetZ)/Ecran)*'Calculs 3D'!$E$32)),0)</f>
        <v>0.28729691656754325</v>
      </c>
      <c r="X118" s="105">
        <f>IF(Body10Actif=TRUE,((((($B118*$X$4)+'Calculs 3D'!$C$15-OffsetX)/Ecran)*'Calculs 3D'!$C$31)+(((($C118*$X$4)+'Calculs 3D'!$D$15-OffsetY)/Ecran)*'Calculs 3D'!$D$31)+(((($D118*$X$4)+'Calculs 3D'!$E$15-OffsetZ)/Ecran)*'Calculs 3D'!$E$31)),0)</f>
        <v>-5.0862480174378166E-3</v>
      </c>
      <c r="Y118" s="105">
        <f>IF(Body10Actif=TRUE,((((($B118*$X$4)+'Calculs 3D'!$C$15-OffsetX)/Ecran)*'Calculs 3D'!$C$32)+(((($C118*$X$4)+'Calculs 3D'!$D$15-OffsetY)/Ecran)*'Calculs 3D'!$D$32)+(((($D118*$X$4)+'Calculs 3D'!$E$15-OffsetZ)/Ecran)*'Calculs 3D'!$E$32)),0)</f>
        <v>0.29046655601239973</v>
      </c>
    </row>
    <row r="119" spans="2:25" x14ac:dyDescent="0.3">
      <c r="B119" s="102">
        <v>0.57015169472369898</v>
      </c>
      <c r="C119" s="102">
        <v>0.784746484543699</v>
      </c>
      <c r="D119" s="102">
        <v>-0.25</v>
      </c>
      <c r="F119" s="105">
        <f>IF(Body1Actif=TRUE,((((($B119*$F$4)+'Calculs 3D'!$C$6-OffsetX)/Ecran)*'Calculs 3D'!$C$31)+(((($C119*$F$4)+'Calculs 3D'!$D$6-OffsetY)/Ecran)*'Calculs 3D'!$D$31)+(((($D119*$F$4)+'Calculs 3D'!$E$6-OffsetZ)/Ecran)*'Calculs 3D'!$E$31)),0)</f>
        <v>5.4063412272594147E-2</v>
      </c>
      <c r="G119" s="105">
        <f>IF(Body1Actif=TRUE,((((($B119*$F$4)+'Calculs 3D'!$C$6-OffsetX)/Ecran)*'Calculs 3D'!$C$32)+(((($C119*$F$4)+'Calculs 3D'!$D$6-OffsetY)/Ecran)*'Calculs 3D'!$D$32)+(((($D119*$F$4)+'Calculs 3D'!$E$6-OffsetZ)/Ecran)*'Calculs 3D'!$E$32)),0)</f>
        <v>0.26390910761179659</v>
      </c>
      <c r="H119" s="105">
        <f>IF(Body2Actif=TRUE,((((($B119*$H$4)+'Calculs 3D'!$C$7-OffsetX)/Ecran)*'Calculs 3D'!$C$31)+(((($C119*$H$4)+'Calculs 3D'!$D$7-OffsetY)/Ecran)*'Calculs 3D'!$D$31)+(((($D119*$H$4)+'Calculs 3D'!$E$7-OffsetZ)/Ecran)*'Calculs 3D'!$E$31)),0)</f>
        <v>3.8829309760719126E-2</v>
      </c>
      <c r="I119" s="105">
        <f>IF(Body2Actif=TRUE,((((($B119*$H$4)+'Calculs 3D'!$C$7-OffsetX)/Ecran)*'Calculs 3D'!$C$32)+(((($C119*$H$4)+'Calculs 3D'!$D$7-OffsetY)/Ecran)*'Calculs 3D'!$D$32)+(((($D119*$H$4)+'Calculs 3D'!$E$7-OffsetZ)/Ecran)*'Calculs 3D'!$E$32)),0)</f>
        <v>3.0499451074771866E-2</v>
      </c>
      <c r="J119" s="105">
        <f>IF(Body3Actif=TRUE,((((($B119*$J$4)+'Calculs 3D'!$C$8-OffsetX)/Ecran)*'Calculs 3D'!$C$31)+(((($C119*$J$4)+'Calculs 3D'!$D$8-OffsetY)/Ecran)*'Calculs 3D'!$D$31)+(((($D119*$J$4)+'Calculs 3D'!$E$8-OffsetZ)/Ecran)*'Calculs 3D'!$E$31)),0)</f>
        <v>0.22469578769314974</v>
      </c>
      <c r="K119" s="105">
        <f>IF(Body3Actif=TRUE,((((($B119*$J$4)+'Calculs 3D'!$C$8-OffsetX)/Ecran)*'Calculs 3D'!$C$32)+(((($C119*$J$4)+'Calculs 3D'!$D$8-OffsetY)/Ecran)*'Calculs 3D'!$D$32)+(((($D119*$J$4)+'Calculs 3D'!$E$8-OffsetZ)/Ecran)*'Calculs 3D'!$E$32)),0)</f>
        <v>-8.0787467833047438E-2</v>
      </c>
      <c r="L119" s="105">
        <f>IF(Body4Actif=TRUE,((((($B119*$L$4)+'Calculs 3D'!$C$9-OffsetX)/Ecran)*'Calculs 3D'!$C$31)+(((($C119*$L$4)+'Calculs 3D'!$D$9-OffsetY)/Ecran)*'Calculs 3D'!$D$31)+(((($D119*$L$4)+'Calculs 3D'!$E$9-OffsetZ)/Ecran)*'Calculs 3D'!$E$31)),0)</f>
        <v>-8.6677746826743243E-2</v>
      </c>
      <c r="M119" s="105">
        <f>IF(Body4Actif=TRUE,((((($B119*$L$4)+'Calculs 3D'!$C$9-OffsetX)/Ecran)*'Calculs 3D'!$C$32)+(((($C119*$L$4)+'Calculs 3D'!$D$9-OffsetY)/Ecran)*'Calculs 3D'!$D$32)+(((($D119*$L$4)+'Calculs 3D'!$E$9-OffsetZ)/Ecran)*'Calculs 3D'!$E$32)),0)</f>
        <v>-0.17200608974178702</v>
      </c>
      <c r="N119" s="105">
        <f>IF(Body5Actif=TRUE,((((($B119*$N$4)+'Calculs 3D'!$C$10-OffsetX)/Ecran)*'Calculs 3D'!$C$31)+(((($C119*$N$4)+'Calculs 3D'!$D$10-OffsetY)/Ecran)*'Calculs 3D'!$D$31)+(((($D119*$N$4)+'Calculs 3D'!$E$10-OffsetZ)/Ecran)*'Calculs 3D'!$E$31)),0)</f>
        <v>9.8152273505530026E-3</v>
      </c>
      <c r="O119" s="105">
        <f>IF(Body5Actif=TRUE,((((($B119*$N$4)+'Calculs 3D'!$C$10-OffsetX)/Ecran)*'Calculs 3D'!$C$32)+(((($C119*$N$4)+'Calculs 3D'!$D$10-OffsetY)/Ecran)*'Calculs 3D'!$D$32)+(((($D119*$N$4)+'Calculs 3D'!$E$10-OffsetZ)/Ecran)*'Calculs 3D'!$E$32)),0)</f>
        <v>-5.077237510687671E-3</v>
      </c>
      <c r="P119" s="105">
        <f>IF(Body6Actif=TRUE,((((($B119*$P$4)+'Calculs 3D'!$C$11-OffsetX)/Ecran)*'Calculs 3D'!$C$31)+(((($C119*$P$4)+'Calculs 3D'!$D$11-OffsetY)/Ecran)*'Calculs 3D'!$D$31)+(((($D119*$P$4)+'Calculs 3D'!$E$11-OffsetZ)/Ecran)*'Calculs 3D'!$E$31)),0)</f>
        <v>0.18366056791444282</v>
      </c>
      <c r="Q119" s="105">
        <f>IF(Body6Actif=TRUE,((((($B119*$P$4)+'Calculs 3D'!$C$11-OffsetX)/Ecran)*'Calculs 3D'!$C$32)+(((($C119*$P$4)+'Calculs 3D'!$D$11-OffsetY)/Ecran)*'Calculs 3D'!$D$32)+(((($D119*$P$4)+'Calculs 3D'!$E$11-OffsetZ)/Ecran)*'Calculs 3D'!$E$32)),0)</f>
        <v>0.13291446677126717</v>
      </c>
      <c r="R119" s="105">
        <f>IF(Body7Actif=TRUE,((((($B119*$R$4)+'Calculs 3D'!$C$12-OffsetX)/Ecran)*'Calculs 3D'!$C$31)+(((($C119*$R$4)+'Calculs 3D'!$D$12-OffsetY)/Ecran)*'Calculs 3D'!$D$31)+(((($D119*$R$4)+'Calculs 3D'!$E$12-OffsetZ)/Ecran)*'Calculs 3D'!$E$31)),0)</f>
        <v>-0.2676991755501712</v>
      </c>
      <c r="S119" s="105">
        <f>IF(Body7Actif=TRUE,((((($B119*$R$4)+'Calculs 3D'!$C$12-OffsetX)/Ecran)*'Calculs 3D'!$C$32)+(((($C119*$R$4)+'Calculs 3D'!$D$12-OffsetY)/Ecran)*'Calculs 3D'!$D$32)+(((($D119*$R$4)+'Calculs 3D'!$E$12-OffsetZ)/Ecran)*'Calculs 3D'!$E$32)),0)</f>
        <v>6.2202596966653284E-2</v>
      </c>
      <c r="T119" s="105">
        <f>IF(Body8Actif=TRUE,((((($B119*$T$4)+'Calculs 3D'!$C$13-OffsetX)/Ecran)*'Calculs 3D'!$C$31)+(((($C119*$T$4)+'Calculs 3D'!$D$13-OffsetY)/Ecran)*'Calculs 3D'!$D$31)+(((($D119*$T$4)+'Calculs 3D'!$E$13-OffsetZ)/Ecran)*'Calculs 3D'!$E$31)),0)</f>
        <v>0.17287353210837769</v>
      </c>
      <c r="U119" s="105">
        <f>IF(Body8Actif=TRUE,((((($B119*$T$4)+'Calculs 3D'!$C$13-OffsetX)/Ecran)*'Calculs 3D'!$C$32)+(((($C119*$T$4)+'Calculs 3D'!$D$13-OffsetY)/Ecran)*'Calculs 3D'!$D$32)+(((($D119*$T$4)+'Calculs 3D'!$E$13-OffsetZ)/Ecran)*'Calculs 3D'!$E$32)),0)</f>
        <v>-0.13062202677311721</v>
      </c>
      <c r="V119" s="105">
        <f>IF(Body9Actif=TRUE,((((($B119*$V$4)+'Calculs 3D'!$C$14-OffsetX)/Ecran)*'Calculs 3D'!$C$31)+(((($C119*$V$4)+'Calculs 3D'!$D$14-OffsetY)/Ecran)*'Calculs 3D'!$D$31)+(((($D119*$V$4)+'Calculs 3D'!$E$14-OffsetZ)/Ecran)*'Calculs 3D'!$E$31)),0)</f>
        <v>-0.17113379897160097</v>
      </c>
      <c r="W119" s="105">
        <f>IF(Body9Actif=TRUE,((((($B119*$V$4)+'Calculs 3D'!$C$14-OffsetX)/Ecran)*'Calculs 3D'!$C$32)+(((($C119*$V$4)+'Calculs 3D'!$D$14-OffsetY)/Ecran)*'Calculs 3D'!$D$32)+(((($D119*$V$4)+'Calculs 3D'!$E$14-OffsetZ)/Ecran)*'Calculs 3D'!$E$32)),0)</f>
        <v>0.28860220124535674</v>
      </c>
      <c r="X119" s="105">
        <f>IF(Body10Actif=TRUE,((((($B119*$X$4)+'Calculs 3D'!$C$15-OffsetX)/Ecran)*'Calculs 3D'!$C$31)+(((($C119*$X$4)+'Calculs 3D'!$D$15-OffsetY)/Ecran)*'Calculs 3D'!$D$31)+(((($D119*$X$4)+'Calculs 3D'!$E$15-OffsetZ)/Ecran)*'Calculs 3D'!$E$31)),0)</f>
        <v>-5.5931169652103929E-3</v>
      </c>
      <c r="Y119" s="105">
        <f>IF(Body10Actif=TRUE,((((($B119*$X$4)+'Calculs 3D'!$C$15-OffsetX)/Ecran)*'Calculs 3D'!$C$32)+(((($C119*$X$4)+'Calculs 3D'!$D$15-OffsetY)/Ecran)*'Calculs 3D'!$D$32)+(((($D119*$X$4)+'Calculs 3D'!$E$15-OffsetZ)/Ecran)*'Calculs 3D'!$E$32)),0)</f>
        <v>0.29243682331607551</v>
      </c>
    </row>
    <row r="120" spans="2:25" x14ac:dyDescent="0.3">
      <c r="B120" s="102">
        <v>0.29974648454369901</v>
      </c>
      <c r="C120" s="102">
        <v>0.92252482080629894</v>
      </c>
      <c r="D120" s="102">
        <v>-0.25</v>
      </c>
      <c r="F120" s="105">
        <f>IF(Body1Actif=TRUE,((((($B120*$F$4)+'Calculs 3D'!$C$6-OffsetX)/Ecran)*'Calculs 3D'!$C$31)+(((($C120*$F$4)+'Calculs 3D'!$D$6-OffsetY)/Ecran)*'Calculs 3D'!$D$31)+(((($D120*$F$4)+'Calculs 3D'!$E$6-OffsetZ)/Ecran)*'Calculs 3D'!$E$31)),0)</f>
        <v>5.3543044289440241E-2</v>
      </c>
      <c r="G120" s="105">
        <f>IF(Body1Actif=TRUE,((((($B120*$F$4)+'Calculs 3D'!$C$6-OffsetX)/Ecran)*'Calculs 3D'!$C$32)+(((($C120*$F$4)+'Calculs 3D'!$D$6-OffsetY)/Ecran)*'Calculs 3D'!$D$32)+(((($D120*$F$4)+'Calculs 3D'!$E$6-OffsetZ)/Ecran)*'Calculs 3D'!$E$32)),0)</f>
        <v>0.26453787016043601</v>
      </c>
      <c r="H120" s="105">
        <f>IF(Body2Actif=TRUE,((((($B120*$H$4)+'Calculs 3D'!$C$7-OffsetX)/Ecran)*'Calculs 3D'!$C$31)+(((($C120*$H$4)+'Calculs 3D'!$D$7-OffsetY)/Ecran)*'Calculs 3D'!$D$31)+(((($D120*$H$4)+'Calculs 3D'!$E$7-OffsetZ)/Ecran)*'Calculs 3D'!$E$31)),0)</f>
        <v>3.6800979658193622E-2</v>
      </c>
      <c r="I120" s="105">
        <f>IF(Body2Actif=TRUE,((((($B120*$H$4)+'Calculs 3D'!$C$7-OffsetX)/Ecran)*'Calculs 3D'!$C$32)+(((($C120*$H$4)+'Calculs 3D'!$D$7-OffsetY)/Ecran)*'Calculs 3D'!$D$32)+(((($D120*$H$4)+'Calculs 3D'!$E$7-OffsetZ)/Ecran)*'Calculs 3D'!$E$32)),0)</f>
        <v>3.2950289800506502E-2</v>
      </c>
      <c r="J120" s="105">
        <f>IF(Body3Actif=TRUE,((((($B120*$J$4)+'Calculs 3D'!$C$8-OffsetX)/Ecran)*'Calculs 3D'!$C$31)+(((($C120*$J$4)+'Calculs 3D'!$D$8-OffsetY)/Ecran)*'Calculs 3D'!$D$31)+(((($D120*$J$4)+'Calculs 3D'!$E$8-OffsetZ)/Ecran)*'Calculs 3D'!$E$31)),0)</f>
        <v>0.22379435273900616</v>
      </c>
      <c r="K120" s="105">
        <f>IF(Body3Actif=TRUE,((((($B120*$J$4)+'Calculs 3D'!$C$8-OffsetX)/Ecran)*'Calculs 3D'!$C$32)+(((($C120*$J$4)+'Calculs 3D'!$D$8-OffsetY)/Ecran)*'Calculs 3D'!$D$32)+(((($D120*$J$4)+'Calculs 3D'!$E$8-OffsetZ)/Ecran)*'Calculs 3D'!$E$32)),0)</f>
        <v>-7.9698260661298065E-2</v>
      </c>
      <c r="L120" s="105">
        <f>IF(Body4Actif=TRUE,((((($B120*$L$4)+'Calculs 3D'!$C$9-OffsetX)/Ecran)*'Calculs 3D'!$C$31)+(((($C120*$L$4)+'Calculs 3D'!$D$9-OffsetY)/Ecran)*'Calculs 3D'!$D$31)+(((($D120*$L$4)+'Calculs 3D'!$E$9-OffsetZ)/Ecran)*'Calculs 3D'!$E$31)),0)</f>
        <v>-8.7849876019949868E-2</v>
      </c>
      <c r="M120" s="105">
        <f>IF(Body4Actif=TRUE,((((($B120*$L$4)+'Calculs 3D'!$C$9-OffsetX)/Ecran)*'Calculs 3D'!$C$32)+(((($C120*$L$4)+'Calculs 3D'!$D$9-OffsetY)/Ecran)*'Calculs 3D'!$D$32)+(((($D120*$L$4)+'Calculs 3D'!$E$9-OffsetZ)/Ecran)*'Calculs 3D'!$E$32)),0)</f>
        <v>-0.17058980172501004</v>
      </c>
      <c r="N120" s="105">
        <f>IF(Body5Actif=TRUE,((((($B120*$N$4)+'Calculs 3D'!$C$10-OffsetX)/Ecran)*'Calculs 3D'!$C$31)+(((($C120*$N$4)+'Calculs 3D'!$D$10-OffsetY)/Ecran)*'Calculs 3D'!$D$31)+(((($D120*$N$4)+'Calculs 3D'!$E$10-OffsetZ)/Ecran)*'Calculs 3D'!$E$31)),0)</f>
        <v>8.4771342718938641E-3</v>
      </c>
      <c r="O120" s="105">
        <f>IF(Body5Actif=TRUE,((((($B120*$N$4)+'Calculs 3D'!$C$10-OffsetX)/Ecran)*'Calculs 3D'!$C$32)+(((($C120*$N$4)+'Calculs 3D'!$D$10-OffsetY)/Ecran)*'Calculs 3D'!$D$32)+(((($D120*$N$4)+'Calculs 3D'!$E$10-OffsetZ)/Ecran)*'Calculs 3D'!$E$32)),0)</f>
        <v>-3.4604147204860044E-3</v>
      </c>
      <c r="P120" s="105">
        <f>IF(Body6Actif=TRUE,((((($B120*$P$4)+'Calculs 3D'!$C$11-OffsetX)/Ecran)*'Calculs 3D'!$C$31)+(((($C120*$P$4)+'Calculs 3D'!$D$11-OffsetY)/Ecran)*'Calculs 3D'!$D$31)+(((($D120*$P$4)+'Calculs 3D'!$E$11-OffsetZ)/Ecran)*'Calculs 3D'!$E$31)),0)</f>
        <v>0.18172144260548428</v>
      </c>
      <c r="Q120" s="105">
        <f>IF(Body6Actif=TRUE,((((($B120*$P$4)+'Calculs 3D'!$C$11-OffsetX)/Ecran)*'Calculs 3D'!$C$32)+(((($C120*$P$4)+'Calculs 3D'!$D$11-OffsetY)/Ecran)*'Calculs 3D'!$D$32)+(((($D120*$P$4)+'Calculs 3D'!$E$11-OffsetZ)/Ecran)*'Calculs 3D'!$E$32)),0)</f>
        <v>0.13525751901672284</v>
      </c>
      <c r="R120" s="105">
        <f>IF(Body7Actif=TRUE,((((($B120*$R$4)+'Calculs 3D'!$C$12-OffsetX)/Ecran)*'Calculs 3D'!$C$31)+(((($C120*$R$4)+'Calculs 3D'!$D$12-OffsetY)/Ecran)*'Calculs 3D'!$D$31)+(((($D120*$R$4)+'Calculs 3D'!$E$12-OffsetZ)/Ecran)*'Calculs 3D'!$E$31)),0)</f>
        <v>-0.26964656832969031</v>
      </c>
      <c r="S120" s="105">
        <f>IF(Body7Actif=TRUE,((((($B120*$R$4)+'Calculs 3D'!$C$12-OffsetX)/Ecran)*'Calculs 3D'!$C$32)+(((($C120*$R$4)+'Calculs 3D'!$D$12-OffsetY)/Ecran)*'Calculs 3D'!$D$32)+(((($D120*$R$4)+'Calculs 3D'!$E$12-OffsetZ)/Ecran)*'Calculs 3D'!$E$32)),0)</f>
        <v>6.4555638827205858E-2</v>
      </c>
      <c r="T120" s="105">
        <f>IF(Body8Actif=TRUE,((((($B120*$T$4)+'Calculs 3D'!$C$13-OffsetX)/Ecran)*'Calculs 3D'!$C$31)+(((($C120*$T$4)+'Calculs 3D'!$D$13-OffsetY)/Ecran)*'Calculs 3D'!$D$31)+(((($D120*$T$4)+'Calculs 3D'!$E$13-OffsetZ)/Ecran)*'Calculs 3D'!$E$31)),0)</f>
        <v>0.172171184484086</v>
      </c>
      <c r="U120" s="105">
        <f>IF(Body8Actif=TRUE,((((($B120*$T$4)+'Calculs 3D'!$C$13-OffsetX)/Ecran)*'Calculs 3D'!$C$32)+(((($C120*$T$4)+'Calculs 3D'!$D$13-OffsetY)/Ecran)*'Calculs 3D'!$D$32)+(((($D120*$T$4)+'Calculs 3D'!$E$13-OffsetZ)/Ecran)*'Calculs 3D'!$E$32)),0)</f>
        <v>-0.12977337755453167</v>
      </c>
      <c r="V120" s="105">
        <f>IF(Body9Actif=TRUE,((((($B120*$V$4)+'Calculs 3D'!$C$14-OffsetX)/Ecran)*'Calculs 3D'!$C$31)+(((($C120*$V$4)+'Calculs 3D'!$D$14-OffsetY)/Ecran)*'Calculs 3D'!$D$31)+(((($D120*$V$4)+'Calculs 3D'!$E$14-OffsetZ)/Ecran)*'Calculs 3D'!$E$31)),0)</f>
        <v>-0.17210831749642194</v>
      </c>
      <c r="W120" s="105">
        <f>IF(Body9Actif=TRUE,((((($B120*$V$4)+'Calculs 3D'!$C$14-OffsetX)/Ecran)*'Calculs 3D'!$C$32)+(((($C120*$V$4)+'Calculs 3D'!$D$14-OffsetY)/Ecran)*'Calculs 3D'!$D$32)+(((($D120*$V$4)+'Calculs 3D'!$E$14-OffsetZ)/Ecran)*'Calculs 3D'!$E$32)),0)</f>
        <v>0.28977971556445264</v>
      </c>
      <c r="X120" s="105">
        <f>IF(Body10Actif=TRUE,((((($B120*$X$4)+'Calculs 3D'!$C$15-OffsetX)/Ecran)*'Calculs 3D'!$C$31)+(((($C120*$X$4)+'Calculs 3D'!$D$15-OffsetY)/Ecran)*'Calculs 3D'!$D$31)+(((($D120*$X$4)+'Calculs 3D'!$E$15-OffsetZ)/Ecran)*'Calculs 3D'!$E$31)),0)</f>
        <v>-7.0641079443565513E-3</v>
      </c>
      <c r="Y120" s="105">
        <f>IF(Body10Actif=TRUE,((((($B120*$X$4)+'Calculs 3D'!$C$15-OffsetX)/Ecran)*'Calculs 3D'!$C$32)+(((($C120*$X$4)+'Calculs 3D'!$D$15-OffsetY)/Ecran)*'Calculs 3D'!$D$32)+(((($D120*$X$4)+'Calculs 3D'!$E$15-OffsetZ)/Ecran)*'Calculs 3D'!$E$32)),0)</f>
        <v>0.29421422712840806</v>
      </c>
    </row>
    <row r="121" spans="2:25" x14ac:dyDescent="0.3">
      <c r="B121" s="102">
        <v>5.9419700063068066E-17</v>
      </c>
      <c r="C121" s="102">
        <v>0.97</v>
      </c>
      <c r="D121" s="102">
        <v>-0.25</v>
      </c>
      <c r="F121" s="105">
        <f>IF(Body1Actif=TRUE,((((($B121*$F$4)+'Calculs 3D'!$C$6-OffsetX)/Ecran)*'Calculs 3D'!$C$31)+(((($C121*$F$4)+'Calculs 3D'!$D$6-OffsetY)/Ecran)*'Calculs 3D'!$D$31)+(((($D121*$F$4)+'Calculs 3D'!$E$6-OffsetZ)/Ecran)*'Calculs 3D'!$E$31)),0)</f>
        <v>5.2732552154006622E-2</v>
      </c>
      <c r="G121" s="105">
        <f>IF(Body1Actif=TRUE,((((($B121*$F$4)+'Calculs 3D'!$C$6-OffsetX)/Ecran)*'Calculs 3D'!$C$32)+(((($C121*$F$4)+'Calculs 3D'!$D$6-OffsetY)/Ecran)*'Calculs 3D'!$D$32)+(((($D121*$F$4)+'Calculs 3D'!$E$6-OffsetZ)/Ecran)*'Calculs 3D'!$E$32)),0)</f>
        <v>0.26503685894427698</v>
      </c>
      <c r="H121" s="105">
        <f>IF(Body2Actif=TRUE,((((($B121*$H$4)+'Calculs 3D'!$C$7-OffsetX)/Ecran)*'Calculs 3D'!$C$31)+(((($C121*$H$4)+'Calculs 3D'!$D$7-OffsetY)/Ecran)*'Calculs 3D'!$D$31)+(((($D121*$H$4)+'Calculs 3D'!$E$7-OffsetZ)/Ecran)*'Calculs 3D'!$E$31)),0)</f>
        <v>3.3641781457342701E-2</v>
      </c>
      <c r="I121" s="105">
        <f>IF(Body2Actif=TRUE,((((($B121*$H$4)+'Calculs 3D'!$C$7-OffsetX)/Ecran)*'Calculs 3D'!$C$32)+(((($C121*$H$4)+'Calculs 3D'!$D$7-OffsetY)/Ecran)*'Calculs 3D'!$D$32)+(((($D121*$H$4)+'Calculs 3D'!$E$7-OffsetZ)/Ecran)*'Calculs 3D'!$E$32)),0)</f>
        <v>3.4895286425688538E-2</v>
      </c>
      <c r="J121" s="105">
        <f>IF(Body3Actif=TRUE,((((($B121*$J$4)+'Calculs 3D'!$C$8-OffsetX)/Ecran)*'Calculs 3D'!$C$31)+(((($C121*$J$4)+'Calculs 3D'!$D$8-OffsetY)/Ecran)*'Calculs 3D'!$D$31)+(((($D121*$J$4)+'Calculs 3D'!$E$8-OffsetZ)/Ecran)*'Calculs 3D'!$E$31)),0)</f>
        <v>0.22239033488127741</v>
      </c>
      <c r="K121" s="105">
        <f>IF(Body3Actif=TRUE,((((($B121*$J$4)+'Calculs 3D'!$C$8-OffsetX)/Ecran)*'Calculs 3D'!$C$32)+(((($C121*$J$4)+'Calculs 3D'!$D$8-OffsetY)/Ecran)*'Calculs 3D'!$D$32)+(((($D121*$J$4)+'Calculs 3D'!$E$8-OffsetZ)/Ecran)*'Calculs 3D'!$E$32)),0)</f>
        <v>-7.8833860955625251E-2</v>
      </c>
      <c r="L121" s="105">
        <f>IF(Body4Actif=TRUE,((((($B121*$L$4)+'Calculs 3D'!$C$9-OffsetX)/Ecran)*'Calculs 3D'!$C$31)+(((($C121*$L$4)+'Calculs 3D'!$D$9-OffsetY)/Ecran)*'Calculs 3D'!$D$31)+(((($D121*$L$4)+'Calculs 3D'!$E$9-OffsetZ)/Ecran)*'Calculs 3D'!$E$31)),0)</f>
        <v>-8.9675510039645467E-2</v>
      </c>
      <c r="M121" s="105">
        <f>IF(Body4Actif=TRUE,((((($B121*$L$4)+'Calculs 3D'!$C$9-OffsetX)/Ecran)*'Calculs 3D'!$C$32)+(((($C121*$L$4)+'Calculs 3D'!$D$9-OffsetY)/Ecran)*'Calculs 3D'!$D$32)+(((($D121*$L$4)+'Calculs 3D'!$E$9-OffsetZ)/Ecran)*'Calculs 3D'!$E$32)),0)</f>
        <v>-0.16946582919103953</v>
      </c>
      <c r="N121" s="105">
        <f>IF(Body5Actif=TRUE,((((($B121*$N$4)+'Calculs 3D'!$C$10-OffsetX)/Ecran)*'Calculs 3D'!$C$31)+(((($C121*$N$4)+'Calculs 3D'!$D$10-OffsetY)/Ecran)*'Calculs 3D'!$D$31)+(((($D121*$N$4)+'Calculs 3D'!$E$10-OffsetZ)/Ecran)*'Calculs 3D'!$E$31)),0)</f>
        <v>6.3930054402961062E-3</v>
      </c>
      <c r="O121" s="105">
        <f>IF(Body5Actif=TRUE,((((($B121*$N$4)+'Calculs 3D'!$C$10-OffsetX)/Ecran)*'Calculs 3D'!$C$32)+(((($C121*$N$4)+'Calculs 3D'!$D$10-OffsetY)/Ecran)*'Calculs 3D'!$D$32)+(((($D121*$N$4)+'Calculs 3D'!$E$10-OffsetZ)/Ecran)*'Calculs 3D'!$E$32)),0)</f>
        <v>-2.177296889255791E-3</v>
      </c>
      <c r="P121" s="105">
        <f>IF(Body6Actif=TRUE,((((($B121*$P$4)+'Calculs 3D'!$C$11-OffsetX)/Ecran)*'Calculs 3D'!$C$31)+(((($C121*$P$4)+'Calculs 3D'!$D$11-OffsetY)/Ecran)*'Calculs 3D'!$D$31)+(((($D121*$P$4)+'Calculs 3D'!$E$11-OffsetZ)/Ecran)*'Calculs 3D'!$E$31)),0)</f>
        <v>0.17870118412800146</v>
      </c>
      <c r="Q121" s="105">
        <f>IF(Body6Actif=TRUE,((((($B121*$P$4)+'Calculs 3D'!$C$11-OffsetX)/Ecran)*'Calculs 3D'!$C$32)+(((($C121*$P$4)+'Calculs 3D'!$D$11-OffsetY)/Ecran)*'Calculs 3D'!$D$32)+(((($D121*$P$4)+'Calculs 3D'!$E$11-OffsetZ)/Ecran)*'Calculs 3D'!$E$32)),0)</f>
        <v>0.13711697580683474</v>
      </c>
      <c r="R121" s="105">
        <f>IF(Body7Actif=TRUE,((((($B121*$R$4)+'Calculs 3D'!$C$12-OffsetX)/Ecran)*'Calculs 3D'!$C$31)+(((($C121*$R$4)+'Calculs 3D'!$D$12-OffsetY)/Ecran)*'Calculs 3D'!$D$31)+(((($D121*$R$4)+'Calculs 3D'!$E$12-OffsetZ)/Ecran)*'Calculs 3D'!$E$31)),0)</f>
        <v>-0.2726797036944647</v>
      </c>
      <c r="S121" s="105">
        <f>IF(Body7Actif=TRUE,((((($B121*$R$4)+'Calculs 3D'!$C$12-OffsetX)/Ecran)*'Calculs 3D'!$C$32)+(((($C121*$R$4)+'Calculs 3D'!$D$12-OffsetY)/Ecran)*'Calculs 3D'!$D$32)+(((($D121*$R$4)+'Calculs 3D'!$E$12-OffsetZ)/Ecran)*'Calculs 3D'!$E$32)),0)</f>
        <v>6.6423023420745339E-2</v>
      </c>
      <c r="T121" s="105">
        <f>IF(Body8Actif=TRUE,((((($B121*$T$4)+'Calculs 3D'!$C$13-OffsetX)/Ecran)*'Calculs 3D'!$C$31)+(((($C121*$T$4)+'Calculs 3D'!$D$13-OffsetY)/Ecran)*'Calculs 3D'!$D$31)+(((($D121*$T$4)+'Calculs 3D'!$E$13-OffsetZ)/Ecran)*'Calculs 3D'!$E$31)),0)</f>
        <v>0.17107725241244165</v>
      </c>
      <c r="U121" s="105">
        <f>IF(Body8Actif=TRUE,((((($B121*$T$4)+'Calculs 3D'!$C$13-OffsetX)/Ecran)*'Calculs 3D'!$C$32)+(((($C121*$T$4)+'Calculs 3D'!$D$13-OffsetY)/Ecran)*'Calculs 3D'!$D$32)+(((($D121*$T$4)+'Calculs 3D'!$E$13-OffsetZ)/Ecran)*'Calculs 3D'!$E$32)),0)</f>
        <v>-0.12909988572139702</v>
      </c>
      <c r="V121" s="105">
        <f>IF(Body9Actif=TRUE,((((($B121*$V$4)+'Calculs 3D'!$C$14-OffsetX)/Ecran)*'Calculs 3D'!$C$31)+(((($C121*$V$4)+'Calculs 3D'!$D$14-OffsetY)/Ecran)*'Calculs 3D'!$D$31)+(((($D121*$V$4)+'Calculs 3D'!$E$14-OffsetZ)/Ecran)*'Calculs 3D'!$E$31)),0)</f>
        <v>-0.17362616568418837</v>
      </c>
      <c r="W121" s="105">
        <f>IF(Body9Actif=TRUE,((((($B121*$V$4)+'Calculs 3D'!$C$14-OffsetX)/Ecran)*'Calculs 3D'!$C$32)+(((($C121*$V$4)+'Calculs 3D'!$D$14-OffsetY)/Ecran)*'Calculs 3D'!$D$32)+(((($D121*$V$4)+'Calculs 3D'!$E$14-OffsetZ)/Ecran)*'Calculs 3D'!$E$32)),0)</f>
        <v>0.29071419621905326</v>
      </c>
      <c r="X121" s="105">
        <f>IF(Body10Actif=TRUE,((((($B121*$X$4)+'Calculs 3D'!$C$15-OffsetX)/Ecran)*'Calculs 3D'!$C$31)+(((($C121*$X$4)+'Calculs 3D'!$D$15-OffsetY)/Ecran)*'Calculs 3D'!$D$31)+(((($D121*$X$4)+'Calculs 3D'!$E$15-OffsetZ)/Ecran)*'Calculs 3D'!$E$31)),0)</f>
        <v>-9.3552301088405676E-3</v>
      </c>
      <c r="Y121" s="105">
        <f>IF(Body10Actif=TRUE,((((($B121*$X$4)+'Calculs 3D'!$C$15-OffsetX)/Ecran)*'Calculs 3D'!$C$32)+(((($C121*$X$4)+'Calculs 3D'!$D$15-OffsetY)/Ecran)*'Calculs 3D'!$D$32)+(((($D121*$X$4)+'Calculs 3D'!$E$15-OffsetZ)/Ecran)*'Calculs 3D'!$E$32)),0)</f>
        <v>0.29562478278034565</v>
      </c>
    </row>
    <row r="122" spans="2:25" x14ac:dyDescent="0.3">
      <c r="B122" s="102">
        <v>-0.2997464845436989</v>
      </c>
      <c r="C122" s="102">
        <v>0.92252482080629905</v>
      </c>
      <c r="D122" s="102">
        <v>-0.25</v>
      </c>
      <c r="F122" s="105">
        <f>IF(Body1Actif=TRUE,((((($B122*$F$4)+'Calculs 3D'!$C$6-OffsetX)/Ecran)*'Calculs 3D'!$C$31)+(((($C122*$F$4)+'Calculs 3D'!$D$6-OffsetY)/Ecran)*'Calculs 3D'!$D$31)+(((($D122*$F$4)+'Calculs 3D'!$E$6-OffsetZ)/Ecran)*'Calculs 3D'!$E$31)),0)</f>
        <v>5.1711272483540238E-2</v>
      </c>
      <c r="G122" s="105">
        <f>IF(Body1Actif=TRUE,((((($B122*$F$4)+'Calculs 3D'!$C$6-OffsetX)/Ecran)*'Calculs 3D'!$C$32)+(((($C122*$F$4)+'Calculs 3D'!$D$6-OffsetY)/Ecran)*'Calculs 3D'!$D$32)+(((($D122*$F$4)+'Calculs 3D'!$E$6-OffsetZ)/Ecran)*'Calculs 3D'!$E$32)),0)</f>
        <v>0.26535722946449769</v>
      </c>
      <c r="H122" s="105">
        <f>IF(Body2Actif=TRUE,((((($B122*$H$4)+'Calculs 3D'!$C$7-OffsetX)/Ecran)*'Calculs 3D'!$C$31)+(((($C122*$H$4)+'Calculs 3D'!$D$7-OffsetY)/Ecran)*'Calculs 3D'!$D$31)+(((($D122*$H$4)+'Calculs 3D'!$E$7-OffsetZ)/Ecran)*'Calculs 3D'!$E$31)),0)</f>
        <v>2.9660959489493828E-2</v>
      </c>
      <c r="I122" s="105">
        <f>IF(Body2Actif=TRUE,((((($B122*$H$4)+'Calculs 3D'!$C$7-OffsetX)/Ecran)*'Calculs 3D'!$C$32)+(((($C122*$H$4)+'Calculs 3D'!$D$7-OffsetY)/Ecran)*'Calculs 3D'!$D$32)+(((($D122*$H$4)+'Calculs 3D'!$E$7-OffsetZ)/Ecran)*'Calculs 3D'!$E$32)),0)</f>
        <v>3.6144051129056831E-2</v>
      </c>
      <c r="J122" s="105">
        <f>IF(Body3Actif=TRUE,((((($B122*$J$4)+'Calculs 3D'!$C$8-OffsetX)/Ecran)*'Calculs 3D'!$C$31)+(((($C122*$J$4)+'Calculs 3D'!$D$8-OffsetY)/Ecran)*'Calculs 3D'!$D$31)+(((($D122*$J$4)+'Calculs 3D'!$E$8-OffsetZ)/Ecran)*'Calculs 3D'!$E$31)),0)</f>
        <v>0.22062116917024566</v>
      </c>
      <c r="K122" s="105">
        <f>IF(Body3Actif=TRUE,((((($B122*$J$4)+'Calculs 3D'!$C$8-OffsetX)/Ecran)*'Calculs 3D'!$C$32)+(((($C122*$J$4)+'Calculs 3D'!$D$8-OffsetY)/Ecran)*'Calculs 3D'!$D$32)+(((($D122*$J$4)+'Calculs 3D'!$E$8-OffsetZ)/Ecran)*'Calculs 3D'!$E$32)),0)</f>
        <v>-7.8278882181847059E-2</v>
      </c>
      <c r="L122" s="105">
        <f>IF(Body4Actif=TRUE,((((($B122*$L$4)+'Calculs 3D'!$C$9-OffsetX)/Ecran)*'Calculs 3D'!$C$31)+(((($C122*$L$4)+'Calculs 3D'!$D$9-OffsetY)/Ecran)*'Calculs 3D'!$D$31)+(((($D122*$L$4)+'Calculs 3D'!$E$9-OffsetZ)/Ecran)*'Calculs 3D'!$E$31)),0)</f>
        <v>-9.197594310804208E-2</v>
      </c>
      <c r="M122" s="105">
        <f>IF(Body4Actif=TRUE,((((($B122*$L$4)+'Calculs 3D'!$C$9-OffsetX)/Ecran)*'Calculs 3D'!$C$32)+(((($C122*$L$4)+'Calculs 3D'!$D$9-OffsetY)/Ecran)*'Calculs 3D'!$D$32)+(((($D122*$L$4)+'Calculs 3D'!$E$9-OffsetZ)/Ecran)*'Calculs 3D'!$E$32)),0)</f>
        <v>-0.16874419440267766</v>
      </c>
      <c r="N122" s="105">
        <f>IF(Body5Actif=TRUE,((((($B122*$N$4)+'Calculs 3D'!$C$10-OffsetX)/Ecran)*'Calculs 3D'!$C$31)+(((($C122*$N$4)+'Calculs 3D'!$D$10-OffsetY)/Ecran)*'Calculs 3D'!$D$31)+(((($D122*$N$4)+'Calculs 3D'!$E$10-OffsetZ)/Ecran)*'Calculs 3D'!$E$31)),0)</f>
        <v>3.7668499067759469E-3</v>
      </c>
      <c r="O122" s="105">
        <f>IF(Body5Actif=TRUE,((((($B122*$N$4)+'Calculs 3D'!$C$10-OffsetX)/Ecran)*'Calculs 3D'!$C$32)+(((($C122*$N$4)+'Calculs 3D'!$D$10-OffsetY)/Ecran)*'Calculs 3D'!$D$32)+(((($D122*$N$4)+'Calculs 3D'!$E$10-OffsetZ)/Ecran)*'Calculs 3D'!$E$32)),0)</f>
        <v>-1.3534845303254505E-3</v>
      </c>
      <c r="P122" s="105">
        <f>IF(Body6Actif=TRUE,((((($B122*$P$4)+'Calculs 3D'!$C$11-OffsetX)/Ecran)*'Calculs 3D'!$C$31)+(((($C122*$P$4)+'Calculs 3D'!$D$11-OffsetY)/Ecran)*'Calculs 3D'!$D$31)+(((($D122*$P$4)+'Calculs 3D'!$E$11-OffsetZ)/Ecran)*'Calculs 3D'!$E$31)),0)</f>
        <v>0.17489543642514854</v>
      </c>
      <c r="Q122" s="105">
        <f>IF(Body6Actif=TRUE,((((($B122*$P$4)+'Calculs 3D'!$C$11-OffsetX)/Ecran)*'Calculs 3D'!$C$32)+(((($C122*$P$4)+'Calculs 3D'!$D$11-OffsetY)/Ecran)*'Calculs 3D'!$D$32)+(((($D122*$P$4)+'Calculs 3D'!$E$11-OffsetZ)/Ecran)*'Calculs 3D'!$E$32)),0)</f>
        <v>0.13831082055538946</v>
      </c>
      <c r="R122" s="105">
        <f>IF(Body7Actif=TRUE,((((($B122*$R$4)+'Calculs 3D'!$C$12-OffsetX)/Ecran)*'Calculs 3D'!$C$31)+(((($C122*$R$4)+'Calculs 3D'!$D$12-OffsetY)/Ecran)*'Calculs 3D'!$D$31)+(((($D122*$R$4)+'Calculs 3D'!$E$12-OffsetZ)/Ecran)*'Calculs 3D'!$E$31)),0)</f>
        <v>-0.27650167722189378</v>
      </c>
      <c r="S122" s="105">
        <f>IF(Body7Actif=TRUE,((((($B122*$R$4)+'Calculs 3D'!$C$12-OffsetX)/Ecran)*'Calculs 3D'!$C$32)+(((($C122*$R$4)+'Calculs 3D'!$D$12-OffsetY)/Ecran)*'Calculs 3D'!$D$32)+(((($D122*$R$4)+'Calculs 3D'!$E$12-OffsetZ)/Ecran)*'Calculs 3D'!$E$32)),0)</f>
        <v>6.7621958132422583E-2</v>
      </c>
      <c r="T122" s="105">
        <f>IF(Body8Actif=TRUE,((((($B122*$T$4)+'Calculs 3D'!$C$13-OffsetX)/Ecran)*'Calculs 3D'!$C$31)+(((($C122*$T$4)+'Calculs 3D'!$D$13-OffsetY)/Ecran)*'Calculs 3D'!$D$31)+(((($D122*$T$4)+'Calculs 3D'!$E$13-OffsetZ)/Ecran)*'Calculs 3D'!$E$31)),0)</f>
        <v>0.16969881758649014</v>
      </c>
      <c r="U122" s="105">
        <f>IF(Body8Actif=TRUE,((((($B122*$T$4)+'Calculs 3D'!$C$13-OffsetX)/Ecran)*'Calculs 3D'!$C$32)+(((($C122*$T$4)+'Calculs 3D'!$D$13-OffsetY)/Ecran)*'Calculs 3D'!$D$32)+(((($D122*$T$4)+'Calculs 3D'!$E$13-OffsetZ)/Ecran)*'Calculs 3D'!$E$32)),0)</f>
        <v>-0.12866747734683412</v>
      </c>
      <c r="V122" s="105">
        <f>IF(Body9Actif=TRUE,((((($B122*$V$4)+'Calculs 3D'!$C$14-OffsetX)/Ecran)*'Calculs 3D'!$C$31)+(((($C122*$V$4)+'Calculs 3D'!$D$14-OffsetY)/Ecran)*'Calculs 3D'!$D$31)+(((($D122*$V$4)+'Calculs 3D'!$E$14-OffsetZ)/Ecran)*'Calculs 3D'!$E$31)),0)</f>
        <v>-0.17553876597881146</v>
      </c>
      <c r="W122" s="105">
        <f>IF(Body9Actif=TRUE,((((($B122*$V$4)+'Calculs 3D'!$C$14-OffsetX)/Ecran)*'Calculs 3D'!$C$32)+(((($C122*$V$4)+'Calculs 3D'!$D$14-OffsetY)/Ecran)*'Calculs 3D'!$D$32)+(((($D122*$V$4)+'Calculs 3D'!$E$14-OffsetZ)/Ecran)*'Calculs 3D'!$E$32)),0)</f>
        <v>0.29131416973177676</v>
      </c>
      <c r="X122" s="105">
        <f>IF(Body10Actif=TRUE,((((($B122*$X$4)+'Calculs 3D'!$C$15-OffsetX)/Ecran)*'Calculs 3D'!$C$31)+(((($C122*$X$4)+'Calculs 3D'!$D$15-OffsetY)/Ecran)*'Calculs 3D'!$D$31)+(((($D122*$X$4)+'Calculs 3D'!$E$15-OffsetZ)/Ecran)*'Calculs 3D'!$E$31)),0)</f>
        <v>-1.2242212458016072E-2</v>
      </c>
      <c r="Y122" s="105">
        <f>IF(Body10Actif=TRUE,((((($B122*$X$4)+'Calculs 3D'!$C$15-OffsetX)/Ecran)*'Calculs 3D'!$C$32)+(((($C122*$X$4)+'Calculs 3D'!$D$15-OffsetY)/Ecran)*'Calculs 3D'!$D$32)+(((($D122*$X$4)+'Calculs 3D'!$E$15-OffsetZ)/Ecran)*'Calculs 3D'!$E$32)),0)</f>
        <v>0.2965304152567575</v>
      </c>
    </row>
    <row r="123" spans="2:25" x14ac:dyDescent="0.3">
      <c r="B123" s="102">
        <v>-0.57015169472369887</v>
      </c>
      <c r="C123" s="102">
        <v>0.784746484543699</v>
      </c>
      <c r="D123" s="102">
        <v>-0.25</v>
      </c>
      <c r="F123" s="105">
        <f>IF(Body1Actif=TRUE,((((($B123*$F$4)+'Calculs 3D'!$C$6-OffsetX)/Ecran)*'Calculs 3D'!$C$31)+(((($C123*$F$4)+'Calculs 3D'!$D$6-OffsetY)/Ecran)*'Calculs 3D'!$D$31)+(((($D123*$F$4)+'Calculs 3D'!$E$6-OffsetZ)/Ecran)*'Calculs 3D'!$E$31)),0)</f>
        <v>5.0579175247860278E-2</v>
      </c>
      <c r="G123" s="105">
        <f>IF(Body1Actif=TRUE,((((($B123*$F$4)+'Calculs 3D'!$C$6-OffsetX)/Ecran)*'Calculs 3D'!$C$32)+(((($C123*$F$4)+'Calculs 3D'!$D$6-OffsetY)/Ecran)*'Calculs 3D'!$D$32)+(((($D123*$F$4)+'Calculs 3D'!$E$6-OffsetZ)/Ecran)*'Calculs 3D'!$E$32)),0)</f>
        <v>0.26546762162242643</v>
      </c>
      <c r="H123" s="105">
        <f>IF(Body2Actif=TRUE,((((($B123*$H$4)+'Calculs 3D'!$C$7-OffsetX)/Ecran)*'Calculs 3D'!$C$31)+(((($C123*$H$4)+'Calculs 3D'!$D$7-OffsetY)/Ecran)*'Calculs 3D'!$D$31)+(((($D123*$H$4)+'Calculs 3D'!$E$7-OffsetZ)/Ecran)*'Calculs 3D'!$E$31)),0)</f>
        <v>2.5248184344877592E-2</v>
      </c>
      <c r="I123" s="105">
        <f>IF(Body2Actif=TRUE,((((($B123*$H$4)+'Calculs 3D'!$C$7-OffsetX)/Ecran)*'Calculs 3D'!$C$32)+(((($C123*$H$4)+'Calculs 3D'!$D$7-OffsetY)/Ecran)*'Calculs 3D'!$D$32)+(((($D123*$H$4)+'Calculs 3D'!$E$7-OffsetZ)/Ecran)*'Calculs 3D'!$E$32)),0)</f>
        <v>3.6574346120790385E-2</v>
      </c>
      <c r="J123" s="105">
        <f>IF(Body3Actif=TRUE,((((($B123*$J$4)+'Calculs 3D'!$C$8-OffsetX)/Ecran)*'Calculs 3D'!$C$31)+(((($C123*$J$4)+'Calculs 3D'!$D$8-OffsetY)/Ecran)*'Calculs 3D'!$D$31)+(((($D123*$J$4)+'Calculs 3D'!$E$8-OffsetZ)/Ecran)*'Calculs 3D'!$E$31)),0)</f>
        <v>0.218660033872209</v>
      </c>
      <c r="K123" s="105">
        <f>IF(Body3Actif=TRUE,((((($B123*$J$4)+'Calculs 3D'!$C$8-OffsetX)/Ecran)*'Calculs 3D'!$C$32)+(((($C123*$J$4)+'Calculs 3D'!$D$8-OffsetY)/Ecran)*'Calculs 3D'!$D$32)+(((($D123*$J$4)+'Calculs 3D'!$E$8-OffsetZ)/Ecran)*'Calculs 3D'!$E$32)),0)</f>
        <v>-7.8087649529105491E-2</v>
      </c>
      <c r="L123" s="105">
        <f>IF(Body4Actif=TRUE,((((($B123*$L$4)+'Calculs 3D'!$C$9-OffsetX)/Ecran)*'Calculs 3D'!$C$31)+(((($C123*$L$4)+'Calculs 3D'!$D$9-OffsetY)/Ecran)*'Calculs 3D'!$D$31)+(((($D123*$L$4)+'Calculs 3D'!$E$9-OffsetZ)/Ecran)*'Calculs 3D'!$E$31)),0)</f>
        <v>-9.4525992808345352E-2</v>
      </c>
      <c r="M123" s="105">
        <f>IF(Body4Actif=TRUE,((((($B123*$L$4)+'Calculs 3D'!$C$9-OffsetX)/Ecran)*'Calculs 3D'!$C$32)+(((($C123*$L$4)+'Calculs 3D'!$D$9-OffsetY)/Ecran)*'Calculs 3D'!$D$32)+(((($D123*$L$4)+'Calculs 3D'!$E$9-OffsetZ)/Ecran)*'Calculs 3D'!$E$32)),0)</f>
        <v>-0.16849553600093453</v>
      </c>
      <c r="N123" s="105">
        <f>IF(Body5Actif=TRUE,((((($B123*$N$4)+'Calculs 3D'!$C$10-OffsetX)/Ecran)*'Calculs 3D'!$C$31)+(((($C123*$N$4)+'Calculs 3D'!$D$10-OffsetY)/Ecran)*'Calculs 3D'!$D$31)+(((($D123*$N$4)+'Calculs 3D'!$E$10-OffsetZ)/Ecran)*'Calculs 3D'!$E$31)),0)</f>
        <v>8.557340724558507E-4</v>
      </c>
      <c r="O123" s="105">
        <f>IF(Body5Actif=TRUE,((((($B123*$N$4)+'Calculs 3D'!$C$10-OffsetX)/Ecran)*'Calculs 3D'!$C$32)+(((($C123*$N$4)+'Calculs 3D'!$D$10-OffsetY)/Ecran)*'Calculs 3D'!$D$32)+(((($D123*$N$4)+'Calculs 3D'!$E$10-OffsetZ)/Ecran)*'Calculs 3D'!$E$32)),0)</f>
        <v>-1.0696181372253054E-3</v>
      </c>
      <c r="P123" s="105">
        <f>IF(Body6Actif=TRUE,((((($B123*$P$4)+'Calculs 3D'!$C$11-OffsetX)/Ecran)*'Calculs 3D'!$C$31)+(((($C123*$P$4)+'Calculs 3D'!$D$11-OffsetY)/Ecran)*'Calculs 3D'!$D$31)+(((($D123*$P$4)+'Calculs 3D'!$E$11-OffsetZ)/Ecran)*'Calculs 3D'!$E$31)),0)</f>
        <v>0.17067673259828417</v>
      </c>
      <c r="Q123" s="105">
        <f>IF(Body6Actif=TRUE,((((($B123*$P$4)+'Calculs 3D'!$C$11-OffsetX)/Ecran)*'Calculs 3D'!$C$32)+(((($C123*$P$4)+'Calculs 3D'!$D$11-OffsetY)/Ecran)*'Calculs 3D'!$D$32)+(((($D123*$P$4)+'Calculs 3D'!$E$11-OffsetZ)/Ecran)*'Calculs 3D'!$E$32)),0)</f>
        <v>0.13872219142039302</v>
      </c>
      <c r="R123" s="105">
        <f>IF(Body7Actif=TRUE,((((($B123*$R$4)+'Calculs 3D'!$C$12-OffsetX)/Ecran)*'Calculs 3D'!$C$31)+(((($C123*$R$4)+'Calculs 3D'!$D$12-OffsetY)/Ecran)*'Calculs 3D'!$D$31)+(((($D123*$R$4)+'Calculs 3D'!$E$12-OffsetZ)/Ecran)*'Calculs 3D'!$E$31)),0)</f>
        <v>-0.28073836751385717</v>
      </c>
      <c r="S123" s="105">
        <f>IF(Body7Actif=TRUE,((((($B123*$R$4)+'Calculs 3D'!$C$12-OffsetX)/Ecran)*'Calculs 3D'!$C$32)+(((($C123*$R$4)+'Calculs 3D'!$D$12-OffsetY)/Ecran)*'Calculs 3D'!$D$32)+(((($D123*$R$4)+'Calculs 3D'!$E$12-OffsetZ)/Ecran)*'Calculs 3D'!$E$32)),0)</f>
        <v>6.8035082879189288E-2</v>
      </c>
      <c r="T123" s="105">
        <f>IF(Body8Actif=TRUE,((((($B123*$T$4)+'Calculs 3D'!$C$13-OffsetX)/Ecran)*'Calculs 3D'!$C$31)+(((($C123*$T$4)+'Calculs 3D'!$D$13-OffsetY)/Ecran)*'Calculs 3D'!$D$31)+(((($D123*$T$4)+'Calculs 3D'!$E$13-OffsetZ)/Ecran)*'Calculs 3D'!$E$31)),0)</f>
        <v>0.16817081081111579</v>
      </c>
      <c r="U123" s="105">
        <f>IF(Body8Actif=TRUE,((((($B123*$T$4)+'Calculs 3D'!$C$13-OffsetX)/Ecran)*'Calculs 3D'!$C$32)+(((($C123*$T$4)+'Calculs 3D'!$D$13-OffsetY)/Ecran)*'Calculs 3D'!$D$32)+(((($D123*$T$4)+'Calculs 3D'!$E$13-OffsetZ)/Ecran)*'Calculs 3D'!$E$32)),0)</f>
        <v>-0.12851847957531143</v>
      </c>
      <c r="V123" s="105">
        <f>IF(Body9Actif=TRUE,((((($B123*$V$4)+'Calculs 3D'!$C$14-OffsetX)/Ecran)*'Calculs 3D'!$C$31)+(((($C123*$V$4)+'Calculs 3D'!$D$14-OffsetY)/Ecran)*'Calculs 3D'!$D$31)+(((($D123*$V$4)+'Calculs 3D'!$E$14-OffsetZ)/Ecran)*'Calculs 3D'!$E$31)),0)</f>
        <v>-0.17765889973758367</v>
      </c>
      <c r="W123" s="105">
        <f>IF(Body9Actif=TRUE,((((($B123*$V$4)+'Calculs 3D'!$C$14-OffsetX)/Ecran)*'Calculs 3D'!$C$32)+(((($C123*$V$4)+'Calculs 3D'!$D$14-OffsetY)/Ecran)*'Calculs 3D'!$D$32)+(((($D123*$V$4)+'Calculs 3D'!$E$14-OffsetZ)/Ecran)*'Calculs 3D'!$E$32)),0)</f>
        <v>0.29152090651493645</v>
      </c>
      <c r="X123" s="105">
        <f>IF(Body10Actif=TRUE,((((($B123*$X$4)+'Calculs 3D'!$C$15-OffsetX)/Ecran)*'Calculs 3D'!$C$31)+(((($C123*$X$4)+'Calculs 3D'!$D$15-OffsetY)/Ecran)*'Calculs 3D'!$D$31)+(((($D123*$X$4)+'Calculs 3D'!$E$15-OffsetZ)/Ecran)*'Calculs 3D'!$E$31)),0)</f>
        <v>-1.5442457044756885E-2</v>
      </c>
      <c r="Y123" s="105">
        <f>IF(Body10Actif=TRUE,((((($B123*$X$4)+'Calculs 3D'!$C$15-OffsetX)/Ecran)*'Calculs 3D'!$C$32)+(((($C123*$X$4)+'Calculs 3D'!$D$15-OffsetY)/Ecran)*'Calculs 3D'!$D$32)+(((($D123*$X$4)+'Calculs 3D'!$E$15-OffsetZ)/Ecran)*'Calculs 3D'!$E$32)),0)</f>
        <v>0.2968424749409399</v>
      </c>
    </row>
    <row r="124" spans="2:25" x14ac:dyDescent="0.3">
      <c r="B124" s="102">
        <v>-0.78474648454369889</v>
      </c>
      <c r="C124" s="102">
        <v>0.57015169472369909</v>
      </c>
      <c r="D124" s="102">
        <v>-0.25</v>
      </c>
      <c r="F124" s="105">
        <f>IF(Body1Actif=TRUE,((((($B124*$F$4)+'Calculs 3D'!$C$6-OffsetX)/Ecran)*'Calculs 3D'!$C$31)+(((($C124*$F$4)+'Calculs 3D'!$D$6-OffsetY)/Ecran)*'Calculs 3D'!$D$31)+(((($D124*$F$4)+'Calculs 3D'!$E$6-OffsetZ)/Ecran)*'Calculs 3D'!$E$31)),0)</f>
        <v>4.9447078012180304E-2</v>
      </c>
      <c r="G124" s="105">
        <f>IF(Body1Actif=TRUE,((((($B124*$F$4)+'Calculs 3D'!$C$6-OffsetX)/Ecran)*'Calculs 3D'!$C$32)+(((($C124*$F$4)+'Calculs 3D'!$D$6-OffsetY)/Ecran)*'Calculs 3D'!$D$32)+(((($D124*$F$4)+'Calculs 3D'!$E$6-OffsetZ)/Ecran)*'Calculs 3D'!$E$32)),0)</f>
        <v>0.26535722946449769</v>
      </c>
      <c r="H124" s="105">
        <f>IF(Body2Actif=TRUE,((((($B124*$H$4)+'Calculs 3D'!$C$7-OffsetX)/Ecran)*'Calculs 3D'!$C$31)+(((($C124*$H$4)+'Calculs 3D'!$D$7-OffsetY)/Ecran)*'Calculs 3D'!$D$31)+(((($D124*$H$4)+'Calculs 3D'!$E$7-OffsetZ)/Ecran)*'Calculs 3D'!$E$31)),0)</f>
        <v>2.0835409200261355E-2</v>
      </c>
      <c r="I124" s="105">
        <f>IF(Body2Actif=TRUE,((((($B124*$H$4)+'Calculs 3D'!$C$7-OffsetX)/Ecran)*'Calculs 3D'!$C$32)+(((($C124*$H$4)+'Calculs 3D'!$D$7-OffsetY)/Ecran)*'Calculs 3D'!$D$32)+(((($D124*$H$4)+'Calculs 3D'!$E$7-OffsetZ)/Ecran)*'Calculs 3D'!$E$32)),0)</f>
        <v>3.6144051129056831E-2</v>
      </c>
      <c r="J124" s="105">
        <f>IF(Body3Actif=TRUE,((((($B124*$J$4)+'Calculs 3D'!$C$8-OffsetX)/Ecran)*'Calculs 3D'!$C$31)+(((($C124*$J$4)+'Calculs 3D'!$D$8-OffsetY)/Ecran)*'Calculs 3D'!$D$31)+(((($D124*$J$4)+'Calculs 3D'!$E$8-OffsetZ)/Ecran)*'Calculs 3D'!$E$31)),0)</f>
        <v>0.21669889857417229</v>
      </c>
      <c r="K124" s="105">
        <f>IF(Body3Actif=TRUE,((((($B124*$J$4)+'Calculs 3D'!$C$8-OffsetX)/Ecran)*'Calculs 3D'!$C$32)+(((($C124*$J$4)+'Calculs 3D'!$D$8-OffsetY)/Ecran)*'Calculs 3D'!$D$32)+(((($D124*$J$4)+'Calculs 3D'!$E$8-OffsetZ)/Ecran)*'Calculs 3D'!$E$32)),0)</f>
        <v>-7.8278882181847087E-2</v>
      </c>
      <c r="L124" s="105">
        <f>IF(Body4Actif=TRUE,((((($B124*$L$4)+'Calculs 3D'!$C$9-OffsetX)/Ecran)*'Calculs 3D'!$C$31)+(((($C124*$L$4)+'Calculs 3D'!$D$9-OffsetY)/Ecran)*'Calculs 3D'!$D$31)+(((($D124*$L$4)+'Calculs 3D'!$E$9-OffsetZ)/Ecran)*'Calculs 3D'!$E$31)),0)</f>
        <v>-9.7076042508648638E-2</v>
      </c>
      <c r="M124" s="105">
        <f>IF(Body4Actif=TRUE,((((($B124*$L$4)+'Calculs 3D'!$C$9-OffsetX)/Ecran)*'Calculs 3D'!$C$32)+(((($C124*$L$4)+'Calculs 3D'!$D$9-OffsetY)/Ecran)*'Calculs 3D'!$D$32)+(((($D124*$L$4)+'Calculs 3D'!$E$9-OffsetZ)/Ecran)*'Calculs 3D'!$E$32)),0)</f>
        <v>-0.16874419440267766</v>
      </c>
      <c r="N124" s="105">
        <f>IF(Body5Actif=TRUE,((((($B124*$N$4)+'Calculs 3D'!$C$10-OffsetX)/Ecran)*'Calculs 3D'!$C$31)+(((($C124*$N$4)+'Calculs 3D'!$D$10-OffsetY)/Ecran)*'Calculs 3D'!$D$31)+(((($D124*$N$4)+'Calculs 3D'!$E$10-OffsetZ)/Ecran)*'Calculs 3D'!$E$31)),0)</f>
        <v>-2.0553817618642369E-3</v>
      </c>
      <c r="O124" s="105">
        <f>IF(Body5Actif=TRUE,((((($B124*$N$4)+'Calculs 3D'!$C$10-OffsetX)/Ecran)*'Calculs 3D'!$C$32)+(((($C124*$N$4)+'Calculs 3D'!$D$10-OffsetY)/Ecran)*'Calculs 3D'!$D$32)+(((($D124*$N$4)+'Calculs 3D'!$E$10-OffsetZ)/Ecran)*'Calculs 3D'!$E$32)),0)</f>
        <v>-1.3534845303254522E-3</v>
      </c>
      <c r="P124" s="105">
        <f>IF(Body6Actif=TRUE,((((($B124*$P$4)+'Calculs 3D'!$C$11-OffsetX)/Ecran)*'Calculs 3D'!$C$31)+(((($C124*$P$4)+'Calculs 3D'!$D$11-OffsetY)/Ecran)*'Calculs 3D'!$D$31)+(((($D124*$P$4)+'Calculs 3D'!$E$11-OffsetZ)/Ecran)*'Calculs 3D'!$E$31)),0)</f>
        <v>0.16645802877141982</v>
      </c>
      <c r="Q124" s="105">
        <f>IF(Body6Actif=TRUE,((((($B124*$P$4)+'Calculs 3D'!$C$11-OffsetX)/Ecran)*'Calculs 3D'!$C$32)+(((($C124*$P$4)+'Calculs 3D'!$D$11-OffsetY)/Ecran)*'Calculs 3D'!$D$32)+(((($D124*$P$4)+'Calculs 3D'!$E$11-OffsetZ)/Ecran)*'Calculs 3D'!$E$32)),0)</f>
        <v>0.13831082055538946</v>
      </c>
      <c r="R124" s="105">
        <f>IF(Body7Actif=TRUE,((((($B124*$R$4)+'Calculs 3D'!$C$12-OffsetX)/Ecran)*'Calculs 3D'!$C$31)+(((($C124*$R$4)+'Calculs 3D'!$D$12-OffsetY)/Ecran)*'Calculs 3D'!$D$31)+(((($D124*$R$4)+'Calculs 3D'!$E$12-OffsetZ)/Ecran)*'Calculs 3D'!$E$31)),0)</f>
        <v>-0.28497505780582055</v>
      </c>
      <c r="S124" s="105">
        <f>IF(Body7Actif=TRUE,((((($B124*$R$4)+'Calculs 3D'!$C$12-OffsetX)/Ecran)*'Calculs 3D'!$C$32)+(((($C124*$R$4)+'Calculs 3D'!$D$12-OffsetY)/Ecran)*'Calculs 3D'!$D$32)+(((($D124*$R$4)+'Calculs 3D'!$E$12-OffsetZ)/Ecran)*'Calculs 3D'!$E$32)),0)</f>
        <v>6.7621958132422597E-2</v>
      </c>
      <c r="T124" s="105">
        <f>IF(Body8Actif=TRUE,((((($B124*$T$4)+'Calculs 3D'!$C$13-OffsetX)/Ecran)*'Calculs 3D'!$C$31)+(((($C124*$T$4)+'Calculs 3D'!$D$13-OffsetY)/Ecran)*'Calculs 3D'!$D$31)+(((($D124*$T$4)+'Calculs 3D'!$E$13-OffsetZ)/Ecran)*'Calculs 3D'!$E$31)),0)</f>
        <v>0.16664280403574139</v>
      </c>
      <c r="U124" s="105">
        <f>IF(Body8Actif=TRUE,((((($B124*$T$4)+'Calculs 3D'!$C$13-OffsetX)/Ecran)*'Calculs 3D'!$C$32)+(((($C124*$T$4)+'Calculs 3D'!$D$13-OffsetY)/Ecran)*'Calculs 3D'!$D$32)+(((($D124*$T$4)+'Calculs 3D'!$E$13-OffsetZ)/Ecran)*'Calculs 3D'!$E$32)),0)</f>
        <v>-0.12866747734683412</v>
      </c>
      <c r="V124" s="105">
        <f>IF(Body9Actif=TRUE,((((($B124*$V$4)+'Calculs 3D'!$C$14-OffsetX)/Ecran)*'Calculs 3D'!$C$31)+(((($C124*$V$4)+'Calculs 3D'!$D$14-OffsetY)/Ecran)*'Calculs 3D'!$D$31)+(((($D124*$V$4)+'Calculs 3D'!$E$14-OffsetZ)/Ecran)*'Calculs 3D'!$E$31)),0)</f>
        <v>-0.17977903349635591</v>
      </c>
      <c r="W124" s="105">
        <f>IF(Body9Actif=TRUE,((((($B124*$V$4)+'Calculs 3D'!$C$14-OffsetX)/Ecran)*'Calculs 3D'!$C$32)+(((($C124*$V$4)+'Calculs 3D'!$D$14-OffsetY)/Ecran)*'Calculs 3D'!$D$32)+(((($D124*$V$4)+'Calculs 3D'!$E$14-OffsetZ)/Ecran)*'Calculs 3D'!$E$32)),0)</f>
        <v>0.29131416973177676</v>
      </c>
      <c r="X124" s="105">
        <f>IF(Body10Actif=TRUE,((((($B124*$X$4)+'Calculs 3D'!$C$15-OffsetX)/Ecran)*'Calculs 3D'!$C$31)+(((($C124*$X$4)+'Calculs 3D'!$D$15-OffsetY)/Ecran)*'Calculs 3D'!$D$31)+(((($D124*$X$4)+'Calculs 3D'!$E$15-OffsetZ)/Ecran)*'Calculs 3D'!$E$31)),0)</f>
        <v>-1.8642701631497727E-2</v>
      </c>
      <c r="Y124" s="105">
        <f>IF(Body10Actif=TRUE,((((($B124*$X$4)+'Calculs 3D'!$C$15-OffsetX)/Ecran)*'Calculs 3D'!$C$32)+(((($C124*$X$4)+'Calculs 3D'!$D$15-OffsetY)/Ecran)*'Calculs 3D'!$D$32)+(((($D124*$X$4)+'Calculs 3D'!$E$15-OffsetZ)/Ecran)*'Calculs 3D'!$E$32)),0)</f>
        <v>0.29653041525675744</v>
      </c>
    </row>
    <row r="125" spans="2:25" x14ac:dyDescent="0.3">
      <c r="B125" s="102">
        <v>-0.92252482080629894</v>
      </c>
      <c r="C125" s="102">
        <v>0.29974648454369907</v>
      </c>
      <c r="D125" s="102">
        <v>-0.25</v>
      </c>
      <c r="F125" s="105">
        <f>IF(Body1Actif=TRUE,((((($B125*$F$4)+'Calculs 3D'!$C$6-OffsetX)/Ecran)*'Calculs 3D'!$C$31)+(((($C125*$F$4)+'Calculs 3D'!$D$6-OffsetY)/Ecran)*'Calculs 3D'!$D$31)+(((($D125*$F$4)+'Calculs 3D'!$E$6-OffsetZ)/Ecran)*'Calculs 3D'!$E$31)),0)</f>
        <v>4.8425798341713934E-2</v>
      </c>
      <c r="G125" s="105">
        <f>IF(Body1Actif=TRUE,((((($B125*$F$4)+'Calculs 3D'!$C$6-OffsetX)/Ecran)*'Calculs 3D'!$C$32)+(((($C125*$F$4)+'Calculs 3D'!$D$6-OffsetY)/Ecran)*'Calculs 3D'!$D$32)+(((($D125*$F$4)+'Calculs 3D'!$E$6-OffsetZ)/Ecran)*'Calculs 3D'!$E$32)),0)</f>
        <v>0.26503685894427698</v>
      </c>
      <c r="H125" s="105">
        <f>IF(Body2Actif=TRUE,((((($B125*$H$4)+'Calculs 3D'!$C$7-OffsetX)/Ecran)*'Calculs 3D'!$C$31)+(((($C125*$H$4)+'Calculs 3D'!$D$7-OffsetY)/Ecran)*'Calculs 3D'!$D$31)+(((($D125*$H$4)+'Calculs 3D'!$E$7-OffsetZ)/Ecran)*'Calculs 3D'!$E$31)),0)</f>
        <v>1.6854587232412472E-2</v>
      </c>
      <c r="I125" s="105">
        <f>IF(Body2Actif=TRUE,((((($B125*$H$4)+'Calculs 3D'!$C$7-OffsetX)/Ecran)*'Calculs 3D'!$C$32)+(((($C125*$H$4)+'Calculs 3D'!$D$7-OffsetY)/Ecran)*'Calculs 3D'!$D$32)+(((($D125*$H$4)+'Calculs 3D'!$E$7-OffsetZ)/Ecran)*'Calculs 3D'!$E$32)),0)</f>
        <v>3.4895286425688544E-2</v>
      </c>
      <c r="J125" s="105">
        <f>IF(Body3Actif=TRUE,((((($B125*$J$4)+'Calculs 3D'!$C$8-OffsetX)/Ecran)*'Calculs 3D'!$C$31)+(((($C125*$J$4)+'Calculs 3D'!$D$8-OffsetY)/Ecran)*'Calculs 3D'!$D$31)+(((($D125*$J$4)+'Calculs 3D'!$E$8-OffsetZ)/Ecran)*'Calculs 3D'!$E$31)),0)</f>
        <v>0.21492973286314054</v>
      </c>
      <c r="K125" s="105">
        <f>IF(Body3Actif=TRUE,((((($B125*$J$4)+'Calculs 3D'!$C$8-OffsetX)/Ecran)*'Calculs 3D'!$C$32)+(((($C125*$J$4)+'Calculs 3D'!$D$8-OffsetY)/Ecran)*'Calculs 3D'!$D$32)+(((($D125*$J$4)+'Calculs 3D'!$E$8-OffsetZ)/Ecran)*'Calculs 3D'!$E$32)),0)</f>
        <v>-7.8833860955625237E-2</v>
      </c>
      <c r="L125" s="105">
        <f>IF(Body4Actif=TRUE,((((($B125*$L$4)+'Calculs 3D'!$C$9-OffsetX)/Ecran)*'Calculs 3D'!$C$31)+(((($C125*$L$4)+'Calculs 3D'!$D$9-OffsetY)/Ecran)*'Calculs 3D'!$D$31)+(((($D125*$L$4)+'Calculs 3D'!$E$9-OffsetZ)/Ecran)*'Calculs 3D'!$E$31)),0)</f>
        <v>-9.9376475577045237E-2</v>
      </c>
      <c r="M125" s="105">
        <f>IF(Body4Actif=TRUE,((((($B125*$L$4)+'Calculs 3D'!$C$9-OffsetX)/Ecran)*'Calculs 3D'!$C$32)+(((($C125*$L$4)+'Calculs 3D'!$D$9-OffsetY)/Ecran)*'Calculs 3D'!$D$32)+(((($D125*$L$4)+'Calculs 3D'!$E$9-OffsetZ)/Ecran)*'Calculs 3D'!$E$32)),0)</f>
        <v>-0.16946582919103953</v>
      </c>
      <c r="N125" s="105">
        <f>IF(Body5Actif=TRUE,((((($B125*$N$4)+'Calculs 3D'!$C$10-OffsetX)/Ecran)*'Calculs 3D'!$C$31)+(((($C125*$N$4)+'Calculs 3D'!$D$10-OffsetY)/Ecran)*'Calculs 3D'!$D$31)+(((($D125*$N$4)+'Calculs 3D'!$E$10-OffsetZ)/Ecran)*'Calculs 3D'!$E$31)),0)</f>
        <v>-4.6815372953843987E-3</v>
      </c>
      <c r="O125" s="105">
        <f>IF(Body5Actif=TRUE,((((($B125*$N$4)+'Calculs 3D'!$C$10-OffsetX)/Ecran)*'Calculs 3D'!$C$32)+(((($C125*$N$4)+'Calculs 3D'!$D$10-OffsetY)/Ecran)*'Calculs 3D'!$D$32)+(((($D125*$N$4)+'Calculs 3D'!$E$10-OffsetZ)/Ecran)*'Calculs 3D'!$E$32)),0)</f>
        <v>-2.177296889255791E-3</v>
      </c>
      <c r="P125" s="105">
        <f>IF(Body6Actif=TRUE,((((($B125*$P$4)+'Calculs 3D'!$C$11-OffsetX)/Ecran)*'Calculs 3D'!$C$31)+(((($C125*$P$4)+'Calculs 3D'!$D$11-OffsetY)/Ecran)*'Calculs 3D'!$D$31)+(((($D125*$P$4)+'Calculs 3D'!$E$11-OffsetZ)/Ecran)*'Calculs 3D'!$E$31)),0)</f>
        <v>0.16265228106856688</v>
      </c>
      <c r="Q125" s="105">
        <f>IF(Body6Actif=TRUE,((((($B125*$P$4)+'Calculs 3D'!$C$11-OffsetX)/Ecran)*'Calculs 3D'!$C$32)+(((($C125*$P$4)+'Calculs 3D'!$D$11-OffsetY)/Ecran)*'Calculs 3D'!$D$32)+(((($D125*$P$4)+'Calculs 3D'!$E$11-OffsetZ)/Ecran)*'Calculs 3D'!$E$32)),0)</f>
        <v>0.13711697580683474</v>
      </c>
      <c r="R125" s="105">
        <f>IF(Body7Actif=TRUE,((((($B125*$R$4)+'Calculs 3D'!$C$12-OffsetX)/Ecran)*'Calculs 3D'!$C$31)+(((($C125*$R$4)+'Calculs 3D'!$D$12-OffsetY)/Ecran)*'Calculs 3D'!$D$31)+(((($D125*$R$4)+'Calculs 3D'!$E$12-OffsetZ)/Ecran)*'Calculs 3D'!$E$31)),0)</f>
        <v>-0.28879703133324958</v>
      </c>
      <c r="S125" s="105">
        <f>IF(Body7Actif=TRUE,((((($B125*$R$4)+'Calculs 3D'!$C$12-OffsetX)/Ecran)*'Calculs 3D'!$C$32)+(((($C125*$R$4)+'Calculs 3D'!$D$12-OffsetY)/Ecran)*'Calculs 3D'!$D$32)+(((($D125*$R$4)+'Calculs 3D'!$E$12-OffsetZ)/Ecran)*'Calculs 3D'!$E$32)),0)</f>
        <v>6.6423023420745325E-2</v>
      </c>
      <c r="T125" s="105">
        <f>IF(Body8Actif=TRUE,((((($B125*$T$4)+'Calculs 3D'!$C$13-OffsetX)/Ecran)*'Calculs 3D'!$C$31)+(((($C125*$T$4)+'Calculs 3D'!$D$13-OffsetY)/Ecran)*'Calculs 3D'!$D$31)+(((($D125*$T$4)+'Calculs 3D'!$E$13-OffsetZ)/Ecran)*'Calculs 3D'!$E$31)),0)</f>
        <v>0.1652643692097899</v>
      </c>
      <c r="U125" s="105">
        <f>IF(Body8Actif=TRUE,((((($B125*$T$4)+'Calculs 3D'!$C$13-OffsetX)/Ecran)*'Calculs 3D'!$C$32)+(((($C125*$T$4)+'Calculs 3D'!$D$13-OffsetY)/Ecran)*'Calculs 3D'!$D$32)+(((($D125*$T$4)+'Calculs 3D'!$E$13-OffsetZ)/Ecran)*'Calculs 3D'!$E$32)),0)</f>
        <v>-0.12909988572139705</v>
      </c>
      <c r="V125" s="105">
        <f>IF(Body9Actif=TRUE,((((($B125*$V$4)+'Calculs 3D'!$C$14-OffsetX)/Ecran)*'Calculs 3D'!$C$31)+(((($C125*$V$4)+'Calculs 3D'!$D$14-OffsetY)/Ecran)*'Calculs 3D'!$D$31)+(((($D125*$V$4)+'Calculs 3D'!$E$14-OffsetZ)/Ecran)*'Calculs 3D'!$E$31)),0)</f>
        <v>-0.18169163379097897</v>
      </c>
      <c r="W125" s="105">
        <f>IF(Body9Actif=TRUE,((((($B125*$V$4)+'Calculs 3D'!$C$14-OffsetX)/Ecran)*'Calculs 3D'!$C$32)+(((($C125*$V$4)+'Calculs 3D'!$D$14-OffsetY)/Ecran)*'Calculs 3D'!$D$32)+(((($D125*$V$4)+'Calculs 3D'!$E$14-OffsetZ)/Ecran)*'Calculs 3D'!$E$32)),0)</f>
        <v>0.29071419621905326</v>
      </c>
      <c r="X125" s="105">
        <f>IF(Body10Actif=TRUE,((((($B125*$X$4)+'Calculs 3D'!$C$15-OffsetX)/Ecran)*'Calculs 3D'!$C$31)+(((($C125*$X$4)+'Calculs 3D'!$D$15-OffsetY)/Ecran)*'Calculs 3D'!$D$31)+(((($D125*$X$4)+'Calculs 3D'!$E$15-OffsetZ)/Ecran)*'Calculs 3D'!$E$31)),0)</f>
        <v>-2.1529683980673231E-2</v>
      </c>
      <c r="Y125" s="105">
        <f>IF(Body10Actif=TRUE,((((($B125*$X$4)+'Calculs 3D'!$C$15-OffsetX)/Ecran)*'Calculs 3D'!$C$32)+(((($C125*$X$4)+'Calculs 3D'!$D$15-OffsetY)/Ecran)*'Calculs 3D'!$D$32)+(((($D125*$X$4)+'Calculs 3D'!$E$15-OffsetZ)/Ecran)*'Calculs 3D'!$E$32)),0)</f>
        <v>0.29562478278034565</v>
      </c>
    </row>
    <row r="126" spans="2:25" x14ac:dyDescent="0.3">
      <c r="B126" s="102">
        <v>-0.97</v>
      </c>
      <c r="C126" s="102">
        <v>1.1883940012613613E-16</v>
      </c>
      <c r="D126" s="102">
        <v>-0.25</v>
      </c>
      <c r="F126" s="105">
        <f>IF(Body1Actif=TRUE,((((($B126*$F$4)+'Calculs 3D'!$C$6-OffsetX)/Ecran)*'Calculs 3D'!$C$31)+(((($C126*$F$4)+'Calculs 3D'!$D$6-OffsetY)/Ecran)*'Calculs 3D'!$D$31)+(((($D126*$F$4)+'Calculs 3D'!$E$6-OffsetZ)/Ecran)*'Calculs 3D'!$E$31)),0)</f>
        <v>4.7615306206280315E-2</v>
      </c>
      <c r="G126" s="105">
        <f>IF(Body1Actif=TRUE,((((($B126*$F$4)+'Calculs 3D'!$C$6-OffsetX)/Ecran)*'Calculs 3D'!$C$32)+(((($C126*$F$4)+'Calculs 3D'!$D$6-OffsetY)/Ecran)*'Calculs 3D'!$D$32)+(((($D126*$F$4)+'Calculs 3D'!$E$6-OffsetZ)/Ecran)*'Calculs 3D'!$E$32)),0)</f>
        <v>0.26453787016043606</v>
      </c>
      <c r="H126" s="105">
        <f>IF(Body2Actif=TRUE,((((($B126*$H$4)+'Calculs 3D'!$C$7-OffsetX)/Ecran)*'Calculs 3D'!$C$31)+(((($C126*$H$4)+'Calculs 3D'!$D$7-OffsetY)/Ecran)*'Calculs 3D'!$D$31)+(((($D126*$H$4)+'Calculs 3D'!$E$7-OffsetZ)/Ecran)*'Calculs 3D'!$E$31)),0)</f>
        <v>1.3695389031561558E-2</v>
      </c>
      <c r="I126" s="105">
        <f>IF(Body2Actif=TRUE,((((($B126*$H$4)+'Calculs 3D'!$C$7-OffsetX)/Ecran)*'Calculs 3D'!$C$32)+(((($C126*$H$4)+'Calculs 3D'!$D$7-OffsetY)/Ecran)*'Calculs 3D'!$D$32)+(((($D126*$H$4)+'Calculs 3D'!$E$7-OffsetZ)/Ecran)*'Calculs 3D'!$E$32)),0)</f>
        <v>3.2950289800506502E-2</v>
      </c>
      <c r="J126" s="105">
        <f>IF(Body3Actif=TRUE,((((($B126*$J$4)+'Calculs 3D'!$C$8-OffsetX)/Ecran)*'Calculs 3D'!$C$31)+(((($C126*$J$4)+'Calculs 3D'!$D$8-OffsetY)/Ecran)*'Calculs 3D'!$D$31)+(((($D126*$J$4)+'Calculs 3D'!$E$8-OffsetZ)/Ecran)*'Calculs 3D'!$E$31)),0)</f>
        <v>0.21352571500541179</v>
      </c>
      <c r="K126" s="105">
        <f>IF(Body3Actif=TRUE,((((($B126*$J$4)+'Calculs 3D'!$C$8-OffsetX)/Ecran)*'Calculs 3D'!$C$32)+(((($C126*$J$4)+'Calculs 3D'!$D$8-OffsetY)/Ecran)*'Calculs 3D'!$D$32)+(((($D126*$J$4)+'Calculs 3D'!$E$8-OffsetZ)/Ecran)*'Calculs 3D'!$E$32)),0)</f>
        <v>-7.9698260661298093E-2</v>
      </c>
      <c r="L126" s="105">
        <f>IF(Body4Actif=TRUE,((((($B126*$L$4)+'Calculs 3D'!$C$9-OffsetX)/Ecran)*'Calculs 3D'!$C$31)+(((($C126*$L$4)+'Calculs 3D'!$D$9-OffsetY)/Ecran)*'Calculs 3D'!$D$31)+(((($D126*$L$4)+'Calculs 3D'!$E$9-OffsetZ)/Ecran)*'Calculs 3D'!$E$31)),0)</f>
        <v>-0.10120210959674084</v>
      </c>
      <c r="M126" s="105">
        <f>IF(Body4Actif=TRUE,((((($B126*$L$4)+'Calculs 3D'!$C$9-OffsetX)/Ecran)*'Calculs 3D'!$C$32)+(((($C126*$L$4)+'Calculs 3D'!$D$9-OffsetY)/Ecran)*'Calculs 3D'!$D$32)+(((($D126*$L$4)+'Calculs 3D'!$E$9-OffsetZ)/Ecran)*'Calculs 3D'!$E$32)),0)</f>
        <v>-0.17058980172501004</v>
      </c>
      <c r="N126" s="105">
        <f>IF(Body5Actif=TRUE,((((($B126*$N$4)+'Calculs 3D'!$C$10-OffsetX)/Ecran)*'Calculs 3D'!$C$31)+(((($C126*$N$4)+'Calculs 3D'!$D$10-OffsetY)/Ecran)*'Calculs 3D'!$D$31)+(((($D126*$N$4)+'Calculs 3D'!$E$10-OffsetZ)/Ecran)*'Calculs 3D'!$E$31)),0)</f>
        <v>-6.765666126982154E-3</v>
      </c>
      <c r="O126" s="105">
        <f>IF(Body5Actif=TRUE,((((($B126*$N$4)+'Calculs 3D'!$C$10-OffsetX)/Ecran)*'Calculs 3D'!$C$32)+(((($C126*$N$4)+'Calculs 3D'!$D$10-OffsetY)/Ecran)*'Calculs 3D'!$D$32)+(((($D126*$N$4)+'Calculs 3D'!$E$10-OffsetZ)/Ecran)*'Calculs 3D'!$E$32)),0)</f>
        <v>-3.4604147204860061E-3</v>
      </c>
      <c r="P126" s="105">
        <f>IF(Body6Actif=TRUE,((((($B126*$P$4)+'Calculs 3D'!$C$11-OffsetX)/Ecran)*'Calculs 3D'!$C$31)+(((($C126*$P$4)+'Calculs 3D'!$D$11-OffsetY)/Ecran)*'Calculs 3D'!$D$31)+(((($D126*$P$4)+'Calculs 3D'!$E$11-OffsetZ)/Ecran)*'Calculs 3D'!$E$31)),0)</f>
        <v>0.15963202259108406</v>
      </c>
      <c r="Q126" s="105">
        <f>IF(Body6Actif=TRUE,((((($B126*$P$4)+'Calculs 3D'!$C$11-OffsetX)/Ecran)*'Calculs 3D'!$C$32)+(((($C126*$P$4)+'Calculs 3D'!$D$11-OffsetY)/Ecran)*'Calculs 3D'!$D$32)+(((($D126*$P$4)+'Calculs 3D'!$E$11-OffsetZ)/Ecran)*'Calculs 3D'!$E$32)),0)</f>
        <v>0.13525751901672284</v>
      </c>
      <c r="R126" s="105">
        <f>IF(Body7Actif=TRUE,((((($B126*$R$4)+'Calculs 3D'!$C$12-OffsetX)/Ecran)*'Calculs 3D'!$C$31)+(((($C126*$R$4)+'Calculs 3D'!$D$12-OffsetY)/Ecran)*'Calculs 3D'!$D$31)+(((($D126*$R$4)+'Calculs 3D'!$E$12-OffsetZ)/Ecran)*'Calculs 3D'!$E$31)),0)</f>
        <v>-0.29183016669802403</v>
      </c>
      <c r="S126" s="105">
        <f>IF(Body7Actif=TRUE,((((($B126*$R$4)+'Calculs 3D'!$C$12-OffsetX)/Ecran)*'Calculs 3D'!$C$32)+(((($C126*$R$4)+'Calculs 3D'!$D$12-OffsetY)/Ecran)*'Calculs 3D'!$D$32)+(((($D126*$R$4)+'Calculs 3D'!$E$12-OffsetZ)/Ecran)*'Calculs 3D'!$E$32)),0)</f>
        <v>6.4555638827205844E-2</v>
      </c>
      <c r="T126" s="105">
        <f>IF(Body8Actif=TRUE,((((($B126*$T$4)+'Calculs 3D'!$C$13-OffsetX)/Ecran)*'Calculs 3D'!$C$31)+(((($C126*$T$4)+'Calculs 3D'!$D$13-OffsetY)/Ecran)*'Calculs 3D'!$D$31)+(((($D126*$T$4)+'Calculs 3D'!$E$13-OffsetZ)/Ecran)*'Calculs 3D'!$E$31)),0)</f>
        <v>0.16417043713814555</v>
      </c>
      <c r="U126" s="105">
        <f>IF(Body8Actif=TRUE,((((($B126*$T$4)+'Calculs 3D'!$C$13-OffsetX)/Ecran)*'Calculs 3D'!$C$32)+(((($C126*$T$4)+'Calculs 3D'!$D$13-OffsetY)/Ecran)*'Calculs 3D'!$D$32)+(((($D126*$T$4)+'Calculs 3D'!$E$13-OffsetZ)/Ecran)*'Calculs 3D'!$E$32)),0)</f>
        <v>-0.12977337755453164</v>
      </c>
      <c r="V126" s="105">
        <f>IF(Body9Actif=TRUE,((((($B126*$V$4)+'Calculs 3D'!$C$14-OffsetX)/Ecran)*'Calculs 3D'!$C$31)+(((($C126*$V$4)+'Calculs 3D'!$D$14-OffsetY)/Ecran)*'Calculs 3D'!$D$31)+(((($D126*$V$4)+'Calculs 3D'!$E$14-OffsetZ)/Ecran)*'Calculs 3D'!$E$31)),0)</f>
        <v>-0.18320948197874543</v>
      </c>
      <c r="W126" s="105">
        <f>IF(Body9Actif=TRUE,((((($B126*$V$4)+'Calculs 3D'!$C$14-OffsetX)/Ecran)*'Calculs 3D'!$C$32)+(((($C126*$V$4)+'Calculs 3D'!$D$14-OffsetY)/Ecran)*'Calculs 3D'!$D$32)+(((($D126*$V$4)+'Calculs 3D'!$E$14-OffsetZ)/Ecran)*'Calculs 3D'!$E$32)),0)</f>
        <v>0.28977971556445264</v>
      </c>
      <c r="X126" s="105">
        <f>IF(Body10Actif=TRUE,((((($B126*$X$4)+'Calculs 3D'!$C$15-OffsetX)/Ecran)*'Calculs 3D'!$C$31)+(((($C126*$X$4)+'Calculs 3D'!$D$15-OffsetY)/Ecran)*'Calculs 3D'!$D$31)+(((($D126*$X$4)+'Calculs 3D'!$E$15-OffsetZ)/Ecran)*'Calculs 3D'!$E$31)),0)</f>
        <v>-2.3820806145157303E-2</v>
      </c>
      <c r="Y126" s="105">
        <f>IF(Body10Actif=TRUE,((((($B126*$X$4)+'Calculs 3D'!$C$15-OffsetX)/Ecran)*'Calculs 3D'!$C$32)+(((($C126*$X$4)+'Calculs 3D'!$D$15-OffsetY)/Ecran)*'Calculs 3D'!$D$32)+(((($D126*$X$4)+'Calculs 3D'!$E$15-OffsetZ)/Ecran)*'Calculs 3D'!$E$32)),0)</f>
        <v>0.29421422712840806</v>
      </c>
    </row>
    <row r="127" spans="2:25" x14ac:dyDescent="0.3">
      <c r="B127" s="102">
        <v>-0.92252482080629894</v>
      </c>
      <c r="C127" s="102">
        <v>-0.29974648454369929</v>
      </c>
      <c r="D127" s="102">
        <v>-0.25</v>
      </c>
      <c r="F127" s="105">
        <f>IF(Body1Actif=TRUE,((((($B127*$F$4)+'Calculs 3D'!$C$6-OffsetX)/Ecran)*'Calculs 3D'!$C$31)+(((($C127*$F$4)+'Calculs 3D'!$D$6-OffsetY)/Ecran)*'Calculs 3D'!$D$31)+(((($D127*$F$4)+'Calculs 3D'!$E$6-OffsetZ)/Ecran)*'Calculs 3D'!$E$31)),0)</f>
        <v>4.7094938223126402E-2</v>
      </c>
      <c r="G127" s="105">
        <f>IF(Body1Actif=TRUE,((((($B127*$F$4)+'Calculs 3D'!$C$6-OffsetX)/Ecran)*'Calculs 3D'!$C$32)+(((($C127*$F$4)+'Calculs 3D'!$D$6-OffsetY)/Ecran)*'Calculs 3D'!$D$32)+(((($D127*$F$4)+'Calculs 3D'!$E$6-OffsetZ)/Ecran)*'Calculs 3D'!$E$32)),0)</f>
        <v>0.26390910761179659</v>
      </c>
      <c r="H127" s="105">
        <f>IF(Body2Actif=TRUE,((((($B127*$H$4)+'Calculs 3D'!$C$7-OffsetX)/Ecran)*'Calculs 3D'!$C$31)+(((($C127*$H$4)+'Calculs 3D'!$D$7-OffsetY)/Ecran)*'Calculs 3D'!$D$31)+(((($D127*$H$4)+'Calculs 3D'!$E$7-OffsetZ)/Ecran)*'Calculs 3D'!$E$31)),0)</f>
        <v>1.1667058929036054E-2</v>
      </c>
      <c r="I127" s="105">
        <f>IF(Body2Actif=TRUE,((((($B127*$H$4)+'Calculs 3D'!$C$7-OffsetX)/Ecran)*'Calculs 3D'!$C$32)+(((($C127*$H$4)+'Calculs 3D'!$D$7-OffsetY)/Ecran)*'Calculs 3D'!$D$32)+(((($D127*$H$4)+'Calculs 3D'!$E$7-OffsetZ)/Ecran)*'Calculs 3D'!$E$32)),0)</f>
        <v>3.0499451074771863E-2</v>
      </c>
      <c r="J127" s="105">
        <f>IF(Body3Actif=TRUE,((((($B127*$J$4)+'Calculs 3D'!$C$8-OffsetX)/Ecran)*'Calculs 3D'!$C$31)+(((($C127*$J$4)+'Calculs 3D'!$D$8-OffsetY)/Ecran)*'Calculs 3D'!$D$31)+(((($D127*$J$4)+'Calculs 3D'!$E$8-OffsetZ)/Ecran)*'Calculs 3D'!$E$31)),0)</f>
        <v>0.21262428005126821</v>
      </c>
      <c r="K127" s="105">
        <f>IF(Body3Actif=TRUE,((((($B127*$J$4)+'Calculs 3D'!$C$8-OffsetX)/Ecran)*'Calculs 3D'!$C$32)+(((($C127*$J$4)+'Calculs 3D'!$D$8-OffsetY)/Ecran)*'Calculs 3D'!$D$32)+(((($D127*$J$4)+'Calculs 3D'!$E$8-OffsetZ)/Ecran)*'Calculs 3D'!$E$32)),0)</f>
        <v>-8.0787467833047452E-2</v>
      </c>
      <c r="L127" s="105">
        <f>IF(Body4Actif=TRUE,((((($B127*$L$4)+'Calculs 3D'!$C$9-OffsetX)/Ecran)*'Calculs 3D'!$C$31)+(((($C127*$L$4)+'Calculs 3D'!$D$9-OffsetY)/Ecran)*'Calculs 3D'!$D$31)+(((($D127*$L$4)+'Calculs 3D'!$E$9-OffsetZ)/Ecran)*'Calculs 3D'!$E$31)),0)</f>
        <v>-0.10237423878994747</v>
      </c>
      <c r="M127" s="105">
        <f>IF(Body4Actif=TRUE,((((($B127*$L$4)+'Calculs 3D'!$C$9-OffsetX)/Ecran)*'Calculs 3D'!$C$32)+(((($C127*$L$4)+'Calculs 3D'!$D$9-OffsetY)/Ecran)*'Calculs 3D'!$D$32)+(((($D127*$L$4)+'Calculs 3D'!$E$9-OffsetZ)/Ecran)*'Calculs 3D'!$E$32)),0)</f>
        <v>-0.17200608974178702</v>
      </c>
      <c r="N127" s="105">
        <f>IF(Body5Actif=TRUE,((((($B127*$N$4)+'Calculs 3D'!$C$10-OffsetX)/Ecran)*'Calculs 3D'!$C$31)+(((($C127*$N$4)+'Calculs 3D'!$D$10-OffsetY)/Ecran)*'Calculs 3D'!$D$31)+(((($D127*$N$4)+'Calculs 3D'!$E$10-OffsetZ)/Ecran)*'Calculs 3D'!$E$31)),0)</f>
        <v>-8.1037592056412977E-3</v>
      </c>
      <c r="O127" s="105">
        <f>IF(Body5Actif=TRUE,((((($B127*$N$4)+'Calculs 3D'!$C$10-OffsetX)/Ecran)*'Calculs 3D'!$C$32)+(((($C127*$N$4)+'Calculs 3D'!$D$10-OffsetY)/Ecran)*'Calculs 3D'!$D$32)+(((($D127*$N$4)+'Calculs 3D'!$E$10-OffsetZ)/Ecran)*'Calculs 3D'!$E$32)),0)</f>
        <v>-5.077237510687671E-3</v>
      </c>
      <c r="P127" s="105">
        <f>IF(Body6Actif=TRUE,((((($B127*$P$4)+'Calculs 3D'!$C$11-OffsetX)/Ecran)*'Calculs 3D'!$C$31)+(((($C127*$P$4)+'Calculs 3D'!$D$11-OffsetY)/Ecran)*'Calculs 3D'!$D$31)+(((($D127*$P$4)+'Calculs 3D'!$E$11-OffsetZ)/Ecran)*'Calculs 3D'!$E$31)),0)</f>
        <v>0.15769289728212554</v>
      </c>
      <c r="Q127" s="105">
        <f>IF(Body6Actif=TRUE,((((($B127*$P$4)+'Calculs 3D'!$C$11-OffsetX)/Ecran)*'Calculs 3D'!$C$32)+(((($C127*$P$4)+'Calculs 3D'!$D$11-OffsetY)/Ecran)*'Calculs 3D'!$D$32)+(((($D127*$P$4)+'Calculs 3D'!$E$11-OffsetZ)/Ecran)*'Calculs 3D'!$E$32)),0)</f>
        <v>0.13291446677126717</v>
      </c>
      <c r="R127" s="105">
        <f>IF(Body7Actif=TRUE,((((($B127*$R$4)+'Calculs 3D'!$C$12-OffsetX)/Ecran)*'Calculs 3D'!$C$31)+(((($C127*$R$4)+'Calculs 3D'!$D$12-OffsetY)/Ecran)*'Calculs 3D'!$D$31)+(((($D127*$R$4)+'Calculs 3D'!$E$12-OffsetZ)/Ecran)*'Calculs 3D'!$E$31)),0)</f>
        <v>-0.29377755947754314</v>
      </c>
      <c r="S127" s="105">
        <f>IF(Body7Actif=TRUE,((((($B127*$R$4)+'Calculs 3D'!$C$12-OffsetX)/Ecran)*'Calculs 3D'!$C$32)+(((($C127*$R$4)+'Calculs 3D'!$D$12-OffsetY)/Ecran)*'Calculs 3D'!$D$32)+(((($D127*$R$4)+'Calculs 3D'!$E$12-OffsetZ)/Ecran)*'Calculs 3D'!$E$32)),0)</f>
        <v>6.2202596966653298E-2</v>
      </c>
      <c r="T127" s="105">
        <f>IF(Body8Actif=TRUE,((((($B127*$T$4)+'Calculs 3D'!$C$13-OffsetX)/Ecran)*'Calculs 3D'!$C$31)+(((($C127*$T$4)+'Calculs 3D'!$D$13-OffsetY)/Ecran)*'Calculs 3D'!$D$31)+(((($D127*$T$4)+'Calculs 3D'!$E$13-OffsetZ)/Ecran)*'Calculs 3D'!$E$31)),0)</f>
        <v>0.16346808951385383</v>
      </c>
      <c r="U127" s="105">
        <f>IF(Body8Actif=TRUE,((((($B127*$T$4)+'Calculs 3D'!$C$13-OffsetX)/Ecran)*'Calculs 3D'!$C$32)+(((($C127*$T$4)+'Calculs 3D'!$D$13-OffsetY)/Ecran)*'Calculs 3D'!$D$32)+(((($D127*$T$4)+'Calculs 3D'!$E$13-OffsetZ)/Ecran)*'Calculs 3D'!$E$32)),0)</f>
        <v>-0.13062202677311724</v>
      </c>
      <c r="V127" s="105">
        <f>IF(Body9Actif=TRUE,((((($B127*$V$4)+'Calculs 3D'!$C$14-OffsetX)/Ecran)*'Calculs 3D'!$C$31)+(((($C127*$V$4)+'Calculs 3D'!$D$14-OffsetY)/Ecran)*'Calculs 3D'!$D$31)+(((($D127*$V$4)+'Calculs 3D'!$E$14-OffsetZ)/Ecran)*'Calculs 3D'!$E$31)),0)</f>
        <v>-0.1841840005035664</v>
      </c>
      <c r="W127" s="105">
        <f>IF(Body9Actif=TRUE,((((($B127*$V$4)+'Calculs 3D'!$C$14-OffsetX)/Ecran)*'Calculs 3D'!$C$32)+(((($C127*$V$4)+'Calculs 3D'!$D$14-OffsetY)/Ecran)*'Calculs 3D'!$D$32)+(((($D127*$V$4)+'Calculs 3D'!$E$14-OffsetZ)/Ecran)*'Calculs 3D'!$E$32)),0)</f>
        <v>0.28860220124535668</v>
      </c>
      <c r="X127" s="105">
        <f>IF(Body10Actif=TRUE,((((($B127*$X$4)+'Calculs 3D'!$C$15-OffsetX)/Ecran)*'Calculs 3D'!$C$31)+(((($C127*$X$4)+'Calculs 3D'!$D$15-OffsetY)/Ecran)*'Calculs 3D'!$D$31)+(((($D127*$X$4)+'Calculs 3D'!$E$15-OffsetZ)/Ecran)*'Calculs 3D'!$E$31)),0)</f>
        <v>-2.529179712430342E-2</v>
      </c>
      <c r="Y127" s="105">
        <f>IF(Body10Actif=TRUE,((((($B127*$X$4)+'Calculs 3D'!$C$15-OffsetX)/Ecran)*'Calculs 3D'!$C$32)+(((($C127*$X$4)+'Calculs 3D'!$D$15-OffsetY)/Ecran)*'Calculs 3D'!$D$32)+(((($D127*$X$4)+'Calculs 3D'!$E$15-OffsetZ)/Ecran)*'Calculs 3D'!$E$32)),0)</f>
        <v>0.29243682331607551</v>
      </c>
    </row>
    <row r="128" spans="2:25" x14ac:dyDescent="0.3">
      <c r="B128" s="102">
        <v>-0.78474648454369911</v>
      </c>
      <c r="C128" s="102">
        <v>-0.57015169472369887</v>
      </c>
      <c r="D128" s="102">
        <v>-0.25</v>
      </c>
      <c r="F128" s="105">
        <f>IF(Body1Actif=TRUE,((((($B128*$F$4)+'Calculs 3D'!$C$6-OffsetX)/Ecran)*'Calculs 3D'!$C$31)+(((($C128*$F$4)+'Calculs 3D'!$D$6-OffsetY)/Ecran)*'Calculs 3D'!$D$31)+(((($D128*$F$4)+'Calculs 3D'!$E$6-OffsetZ)/Ecran)*'Calculs 3D'!$E$31)),0)</f>
        <v>4.6915631636060287E-2</v>
      </c>
      <c r="G128" s="105">
        <f>IF(Body1Actif=TRUE,((((($B128*$F$4)+'Calculs 3D'!$C$6-OffsetX)/Ecran)*'Calculs 3D'!$C$32)+(((($C128*$F$4)+'Calculs 3D'!$D$6-OffsetY)/Ecran)*'Calculs 3D'!$D$32)+(((($D128*$F$4)+'Calculs 3D'!$E$6-OffsetZ)/Ecran)*'Calculs 3D'!$E$32)),0)</f>
        <v>0.26321211895746577</v>
      </c>
      <c r="H128" s="105">
        <f>IF(Body2Actif=TRUE,((((($B128*$H$4)+'Calculs 3D'!$C$7-OffsetX)/Ecran)*'Calculs 3D'!$C$31)+(((($C128*$H$4)+'Calculs 3D'!$D$7-OffsetY)/Ecran)*'Calculs 3D'!$D$31)+(((($D128*$H$4)+'Calculs 3D'!$E$7-OffsetZ)/Ecran)*'Calculs 3D'!$E$31)),0)</f>
        <v>1.096814400747799E-2</v>
      </c>
      <c r="I128" s="105">
        <f>IF(Body2Actif=TRUE,((((($B128*$H$4)+'Calculs 3D'!$C$7-OffsetX)/Ecran)*'Calculs 3D'!$C$32)+(((($C128*$H$4)+'Calculs 3D'!$D$7-OffsetY)/Ecran)*'Calculs 3D'!$D$32)+(((($D128*$H$4)+'Calculs 3D'!$E$7-OffsetZ)/Ecran)*'Calculs 3D'!$E$32)),0)</f>
        <v>2.7782675418957042E-2</v>
      </c>
      <c r="J128" s="105">
        <f>IF(Body3Actif=TRUE,((((($B128*$J$4)+'Calculs 3D'!$C$8-OffsetX)/Ecran)*'Calculs 3D'!$C$31)+(((($C128*$J$4)+'Calculs 3D'!$D$8-OffsetY)/Ecran)*'Calculs 3D'!$D$31)+(((($D128*$J$4)+'Calculs 3D'!$E$8-OffsetZ)/Ecran)*'Calculs 3D'!$E$31)),0)</f>
        <v>0.21231366673468799</v>
      </c>
      <c r="K128" s="105">
        <f>IF(Body3Actif=TRUE,((((($B128*$J$4)+'Calculs 3D'!$C$8-OffsetX)/Ecran)*'Calculs 3D'!$C$32)+(((($C128*$J$4)+'Calculs 3D'!$D$8-OffsetY)/Ecran)*'Calculs 3D'!$D$32)+(((($D128*$J$4)+'Calculs 3D'!$E$8-OffsetZ)/Ecran)*'Calculs 3D'!$E$32)),0)</f>
        <v>-8.1994863283949948E-2</v>
      </c>
      <c r="L128" s="105">
        <f>IF(Body4Actif=TRUE,((((($B128*$L$4)+'Calculs 3D'!$C$9-OffsetX)/Ecran)*'Calculs 3D'!$C$31)+(((($C128*$L$4)+'Calculs 3D'!$D$9-OffsetY)/Ecran)*'Calculs 3D'!$D$31)+(((($D128*$L$4)+'Calculs 3D'!$E$9-OffsetZ)/Ecran)*'Calculs 3D'!$E$31)),0)</f>
        <v>-0.10277812698452975</v>
      </c>
      <c r="M128" s="105">
        <f>IF(Body4Actif=TRUE,((((($B128*$L$4)+'Calculs 3D'!$C$9-OffsetX)/Ecran)*'Calculs 3D'!$C$32)+(((($C128*$L$4)+'Calculs 3D'!$D$9-OffsetY)/Ecran)*'Calculs 3D'!$D$32)+(((($D128*$L$4)+'Calculs 3D'!$E$9-OffsetZ)/Ecran)*'Calculs 3D'!$E$32)),0)</f>
        <v>-0.17357605710242949</v>
      </c>
      <c r="N128" s="105">
        <f>IF(Body5Actif=TRUE,((((($B128*$N$4)+'Calculs 3D'!$C$10-OffsetX)/Ecran)*'Calculs 3D'!$C$31)+(((($C128*$N$4)+'Calculs 3D'!$D$10-OffsetY)/Ecran)*'Calculs 3D'!$D$31)+(((($D128*$N$4)+'Calculs 3D'!$E$10-OffsetZ)/Ecran)*'Calculs 3D'!$E$31)),0)</f>
        <v>-8.5648346577799819E-3</v>
      </c>
      <c r="O128" s="105">
        <f>IF(Body5Actif=TRUE,((((($B128*$N$4)+'Calculs 3D'!$C$10-OffsetX)/Ecran)*'Calculs 3D'!$C$32)+(((($C128*$N$4)+'Calculs 3D'!$D$10-OffsetY)/Ecran)*'Calculs 3D'!$D$32)+(((($D128*$N$4)+'Calculs 3D'!$E$10-OffsetZ)/Ecran)*'Calculs 3D'!$E$32)),0)</f>
        <v>-6.8694993800890621E-3</v>
      </c>
      <c r="P128" s="105">
        <f>IF(Body6Actif=TRUE,((((($B128*$P$4)+'Calculs 3D'!$C$11-OffsetX)/Ecran)*'Calculs 3D'!$C$31)+(((($C128*$P$4)+'Calculs 3D'!$D$11-OffsetY)/Ecran)*'Calculs 3D'!$D$31)+(((($D128*$P$4)+'Calculs 3D'!$E$11-OffsetZ)/Ecran)*'Calculs 3D'!$E$31)),0)</f>
        <v>0.15702472023761266</v>
      </c>
      <c r="Q128" s="105">
        <f>IF(Body6Actif=TRUE,((((($B128*$P$4)+'Calculs 3D'!$C$11-OffsetX)/Ecran)*'Calculs 3D'!$C$32)+(((($C128*$P$4)+'Calculs 3D'!$D$11-OffsetY)/Ecran)*'Calculs 3D'!$D$32)+(((($D128*$P$4)+'Calculs 3D'!$E$11-OffsetZ)/Ecran)*'Calculs 3D'!$E$32)),0)</f>
        <v>0.13031717334925785</v>
      </c>
      <c r="R128" s="105">
        <f>IF(Body7Actif=TRUE,((((($B128*$R$4)+'Calculs 3D'!$C$12-OffsetX)/Ecran)*'Calculs 3D'!$C$31)+(((($C128*$R$4)+'Calculs 3D'!$D$12-OffsetY)/Ecran)*'Calculs 3D'!$D$31)+(((($D128*$R$4)+'Calculs 3D'!$E$12-OffsetZ)/Ecran)*'Calculs 3D'!$E$31)),0)</f>
        <v>-0.29444858529826412</v>
      </c>
      <c r="S128" s="105">
        <f>IF(Body7Actif=TRUE,((((($B128*$R$4)+'Calculs 3D'!$C$12-OffsetX)/Ecran)*'Calculs 3D'!$C$32)+(((($C128*$R$4)+'Calculs 3D'!$D$12-OffsetY)/Ecran)*'Calculs 3D'!$D$32)+(((($D128*$R$4)+'Calculs 3D'!$E$12-OffsetZ)/Ecran)*'Calculs 3D'!$E$32)),0)</f>
        <v>5.9594229971005205E-2</v>
      </c>
      <c r="T128" s="105">
        <f>IF(Body8Actif=TRUE,((((($B128*$T$4)+'Calculs 3D'!$C$13-OffsetX)/Ecran)*'Calculs 3D'!$C$31)+(((($C128*$T$4)+'Calculs 3D'!$D$13-OffsetY)/Ecran)*'Calculs 3D'!$D$31)+(((($D128*$T$4)+'Calculs 3D'!$E$13-OffsetZ)/Ecran)*'Calculs 3D'!$E$31)),0)</f>
        <v>0.16322607701592406</v>
      </c>
      <c r="U128" s="105">
        <f>IF(Body8Actif=TRUE,((((($B128*$T$4)+'Calculs 3D'!$C$13-OffsetX)/Ecran)*'Calculs 3D'!$C$32)+(((($C128*$T$4)+'Calculs 3D'!$D$13-OffsetY)/Ecran)*'Calculs 3D'!$D$32)+(((($D128*$T$4)+'Calculs 3D'!$E$13-OffsetZ)/Ecran)*'Calculs 3D'!$E$32)),0)</f>
        <v>-0.13156276167875181</v>
      </c>
      <c r="V128" s="105">
        <f>IF(Body9Actif=TRUE,((((($B128*$V$4)+'Calculs 3D'!$C$14-OffsetX)/Ecran)*'Calculs 3D'!$C$31)+(((($C128*$V$4)+'Calculs 3D'!$D$14-OffsetY)/Ecran)*'Calculs 3D'!$D$31)+(((($D128*$V$4)+'Calculs 3D'!$E$14-OffsetZ)/Ecran)*'Calculs 3D'!$E$31)),0)</f>
        <v>-0.18451979670236271</v>
      </c>
      <c r="W128" s="105">
        <f>IF(Body9Actif=TRUE,((((($B128*$V$4)+'Calculs 3D'!$C$14-OffsetX)/Ecran)*'Calculs 3D'!$C$32)+(((($C128*$V$4)+'Calculs 3D'!$D$14-OffsetY)/Ecran)*'Calculs 3D'!$D$32)+(((($D128*$V$4)+'Calculs 3D'!$E$14-OffsetZ)/Ecran)*'Calculs 3D'!$E$32)),0)</f>
        <v>0.28729691656754325</v>
      </c>
      <c r="X128" s="105">
        <f>IF(Body10Actif=TRUE,((((($B128*$X$4)+'Calculs 3D'!$C$15-OffsetX)/Ecran)*'Calculs 3D'!$C$31)+(((($C128*$X$4)+'Calculs 3D'!$D$15-OffsetY)/Ecran)*'Calculs 3D'!$D$31)+(((($D128*$X$4)+'Calculs 3D'!$E$15-OffsetZ)/Ecran)*'Calculs 3D'!$E$31)),0)</f>
        <v>-2.5798666072075982E-2</v>
      </c>
      <c r="Y128" s="105">
        <f>IF(Body10Actif=TRUE,((((($B128*$X$4)+'Calculs 3D'!$C$15-OffsetX)/Ecran)*'Calculs 3D'!$C$32)+(((($C128*$X$4)+'Calculs 3D'!$D$15-OffsetY)/Ecran)*'Calculs 3D'!$D$32)+(((($D128*$X$4)+'Calculs 3D'!$E$15-OffsetZ)/Ecran)*'Calculs 3D'!$E$32)),0)</f>
        <v>0.29046655601239973</v>
      </c>
    </row>
    <row r="129" spans="2:25" x14ac:dyDescent="0.3">
      <c r="B129" s="102">
        <v>-0.57015169472369909</v>
      </c>
      <c r="C129" s="102">
        <v>-0.78474648454369889</v>
      </c>
      <c r="D129" s="102">
        <v>-0.25</v>
      </c>
      <c r="F129" s="105">
        <f>IF(Body1Actif=TRUE,((((($B129*$F$4)+'Calculs 3D'!$C$6-OffsetX)/Ecran)*'Calculs 3D'!$C$31)+(((($C129*$F$4)+'Calculs 3D'!$D$6-OffsetY)/Ecran)*'Calculs 3D'!$D$31)+(((($D129*$F$4)+'Calculs 3D'!$E$6-OffsetZ)/Ecran)*'Calculs 3D'!$E$31)),0)</f>
        <v>4.7094938223126395E-2</v>
      </c>
      <c r="G129" s="105">
        <f>IF(Body1Actif=TRUE,((((($B129*$F$4)+'Calculs 3D'!$C$6-OffsetX)/Ecran)*'Calculs 3D'!$C$32)+(((($C129*$F$4)+'Calculs 3D'!$D$6-OffsetY)/Ecran)*'Calculs 3D'!$D$32)+(((($D129*$F$4)+'Calculs 3D'!$E$6-OffsetZ)/Ecran)*'Calculs 3D'!$E$32)),0)</f>
        <v>0.26251513030313495</v>
      </c>
      <c r="H129" s="105">
        <f>IF(Body2Actif=TRUE,((((($B129*$H$4)+'Calculs 3D'!$C$7-OffsetX)/Ecran)*'Calculs 3D'!$C$31)+(((($C129*$H$4)+'Calculs 3D'!$D$7-OffsetY)/Ecran)*'Calculs 3D'!$D$31)+(((($D129*$H$4)+'Calculs 3D'!$E$7-OffsetZ)/Ecran)*'Calculs 3D'!$E$31)),0)</f>
        <v>1.1667058929036057E-2</v>
      </c>
      <c r="I129" s="105">
        <f>IF(Body2Actif=TRUE,((((($B129*$H$4)+'Calculs 3D'!$C$7-OffsetX)/Ecran)*'Calculs 3D'!$C$32)+(((($C129*$H$4)+'Calculs 3D'!$D$7-OffsetY)/Ecran)*'Calculs 3D'!$D$32)+(((($D129*$H$4)+'Calculs 3D'!$E$7-OffsetZ)/Ecran)*'Calculs 3D'!$E$32)),0)</f>
        <v>2.5065899763142215E-2</v>
      </c>
      <c r="J129" s="105">
        <f>IF(Body3Actif=TRUE,((((($B129*$J$4)+'Calculs 3D'!$C$8-OffsetX)/Ecran)*'Calculs 3D'!$C$31)+(((($C129*$J$4)+'Calculs 3D'!$D$8-OffsetY)/Ecran)*'Calculs 3D'!$D$31)+(((($D129*$J$4)+'Calculs 3D'!$E$8-OffsetZ)/Ecran)*'Calculs 3D'!$E$31)),0)</f>
        <v>0.21262428005126821</v>
      </c>
      <c r="K129" s="105">
        <f>IF(Body3Actif=TRUE,((((($B129*$J$4)+'Calculs 3D'!$C$8-OffsetX)/Ecran)*'Calculs 3D'!$C$32)+(((($C129*$J$4)+'Calculs 3D'!$D$8-OffsetY)/Ecran)*'Calculs 3D'!$D$32)+(((($D129*$J$4)+'Calculs 3D'!$E$8-OffsetZ)/Ecran)*'Calculs 3D'!$E$32)),0)</f>
        <v>-8.320225873485243E-2</v>
      </c>
      <c r="L129" s="105">
        <f>IF(Body4Actif=TRUE,((((($B129*$L$4)+'Calculs 3D'!$C$9-OffsetX)/Ecran)*'Calculs 3D'!$C$31)+(((($C129*$L$4)+'Calculs 3D'!$D$9-OffsetY)/Ecran)*'Calculs 3D'!$D$31)+(((($D129*$L$4)+'Calculs 3D'!$E$9-OffsetZ)/Ecran)*'Calculs 3D'!$E$31)),0)</f>
        <v>-0.10237423878994746</v>
      </c>
      <c r="M129" s="105">
        <f>IF(Body4Actif=TRUE,((((($B129*$L$4)+'Calculs 3D'!$C$9-OffsetX)/Ecran)*'Calculs 3D'!$C$32)+(((($C129*$L$4)+'Calculs 3D'!$D$9-OffsetY)/Ecran)*'Calculs 3D'!$D$32)+(((($D129*$L$4)+'Calculs 3D'!$E$9-OffsetZ)/Ecran)*'Calculs 3D'!$E$32)),0)</f>
        <v>-0.17514602446307198</v>
      </c>
      <c r="N129" s="105">
        <f>IF(Body5Actif=TRUE,((((($B129*$N$4)+'Calculs 3D'!$C$10-OffsetX)/Ecran)*'Calculs 3D'!$C$31)+(((($C129*$N$4)+'Calculs 3D'!$D$10-OffsetY)/Ecran)*'Calculs 3D'!$D$31)+(((($D129*$N$4)+'Calculs 3D'!$E$10-OffsetZ)/Ecran)*'Calculs 3D'!$E$31)),0)</f>
        <v>-8.1037592056412977E-3</v>
      </c>
      <c r="O129" s="105">
        <f>IF(Body5Actif=TRUE,((((($B129*$N$4)+'Calculs 3D'!$C$10-OffsetX)/Ecran)*'Calculs 3D'!$C$32)+(((($C129*$N$4)+'Calculs 3D'!$D$10-OffsetY)/Ecran)*'Calculs 3D'!$D$32)+(((($D129*$N$4)+'Calculs 3D'!$E$10-OffsetZ)/Ecran)*'Calculs 3D'!$E$32)),0)</f>
        <v>-8.6617612494904548E-3</v>
      </c>
      <c r="P129" s="105">
        <f>IF(Body6Actif=TRUE,((((($B129*$P$4)+'Calculs 3D'!$C$11-OffsetX)/Ecran)*'Calculs 3D'!$C$31)+(((($C129*$P$4)+'Calculs 3D'!$D$11-OffsetY)/Ecran)*'Calculs 3D'!$D$31)+(((($D129*$P$4)+'Calculs 3D'!$E$11-OffsetZ)/Ecran)*'Calculs 3D'!$E$31)),0)</f>
        <v>0.15769289728212554</v>
      </c>
      <c r="Q129" s="105">
        <f>IF(Body6Actif=TRUE,((((($B129*$P$4)+'Calculs 3D'!$C$11-OffsetX)/Ecran)*'Calculs 3D'!$C$32)+(((($C129*$P$4)+'Calculs 3D'!$D$11-OffsetY)/Ecran)*'Calculs 3D'!$D$32)+(((($D129*$P$4)+'Calculs 3D'!$E$11-OffsetZ)/Ecran)*'Calculs 3D'!$E$32)),0)</f>
        <v>0.12771987992724854</v>
      </c>
      <c r="R129" s="105">
        <f>IF(Body7Actif=TRUE,((((($B129*$R$4)+'Calculs 3D'!$C$12-OffsetX)/Ecran)*'Calculs 3D'!$C$31)+(((($C129*$R$4)+'Calculs 3D'!$D$12-OffsetY)/Ecran)*'Calculs 3D'!$D$31)+(((($D129*$R$4)+'Calculs 3D'!$E$12-OffsetZ)/Ecran)*'Calculs 3D'!$E$31)),0)</f>
        <v>-0.29377755947754314</v>
      </c>
      <c r="S129" s="105">
        <f>IF(Body7Actif=TRUE,((((($B129*$R$4)+'Calculs 3D'!$C$12-OffsetX)/Ecran)*'Calculs 3D'!$C$32)+(((($C129*$R$4)+'Calculs 3D'!$D$12-OffsetY)/Ecran)*'Calculs 3D'!$D$32)+(((($D129*$R$4)+'Calculs 3D'!$E$12-OffsetZ)/Ecran)*'Calculs 3D'!$E$32)),0)</f>
        <v>5.6985862975357141E-2</v>
      </c>
      <c r="T129" s="105">
        <f>IF(Body8Actif=TRUE,((((($B129*$T$4)+'Calculs 3D'!$C$13-OffsetX)/Ecran)*'Calculs 3D'!$C$31)+(((($C129*$T$4)+'Calculs 3D'!$D$13-OffsetY)/Ecran)*'Calculs 3D'!$D$31)+(((($D129*$T$4)+'Calculs 3D'!$E$13-OffsetZ)/Ecran)*'Calculs 3D'!$E$31)),0)</f>
        <v>0.16346808951385386</v>
      </c>
      <c r="U129" s="105">
        <f>IF(Body8Actif=TRUE,((((($B129*$T$4)+'Calculs 3D'!$C$13-OffsetX)/Ecran)*'Calculs 3D'!$C$32)+(((($C129*$T$4)+'Calculs 3D'!$D$13-OffsetY)/Ecran)*'Calculs 3D'!$D$32)+(((($D129*$T$4)+'Calculs 3D'!$E$13-OffsetZ)/Ecran)*'Calculs 3D'!$E$32)),0)</f>
        <v>-0.1325034965843864</v>
      </c>
      <c r="V129" s="105">
        <f>IF(Body9Actif=TRUE,((((($B129*$V$4)+'Calculs 3D'!$C$14-OffsetX)/Ecran)*'Calculs 3D'!$C$31)+(((($C129*$V$4)+'Calculs 3D'!$D$14-OffsetY)/Ecran)*'Calculs 3D'!$D$31)+(((($D129*$V$4)+'Calculs 3D'!$E$14-OffsetZ)/Ecran)*'Calculs 3D'!$E$31)),0)</f>
        <v>-0.1841840005035664</v>
      </c>
      <c r="W129" s="105">
        <f>IF(Body9Actif=TRUE,((((($B129*$V$4)+'Calculs 3D'!$C$14-OffsetX)/Ecran)*'Calculs 3D'!$C$32)+(((($C129*$V$4)+'Calculs 3D'!$D$14-OffsetY)/Ecran)*'Calculs 3D'!$D$32)+(((($D129*$V$4)+'Calculs 3D'!$E$14-OffsetZ)/Ecran)*'Calculs 3D'!$E$32)),0)</f>
        <v>0.28599163188972981</v>
      </c>
      <c r="X129" s="105">
        <f>IF(Body10Actif=TRUE,((((($B129*$X$4)+'Calculs 3D'!$C$15-OffsetX)/Ecran)*'Calculs 3D'!$C$31)+(((($C129*$X$4)+'Calculs 3D'!$D$15-OffsetY)/Ecran)*'Calculs 3D'!$D$31)+(((($D129*$X$4)+'Calculs 3D'!$E$15-OffsetZ)/Ecran)*'Calculs 3D'!$E$31)),0)</f>
        <v>-2.5291797124303406E-2</v>
      </c>
      <c r="Y129" s="105">
        <f>IF(Body10Actif=TRUE,((((($B129*$X$4)+'Calculs 3D'!$C$15-OffsetX)/Ecran)*'Calculs 3D'!$C$32)+(((($C129*$X$4)+'Calculs 3D'!$D$15-OffsetY)/Ecran)*'Calculs 3D'!$D$32)+(((($D129*$X$4)+'Calculs 3D'!$E$15-OffsetZ)/Ecran)*'Calculs 3D'!$E$32)),0)</f>
        <v>0.2884962887087239</v>
      </c>
    </row>
    <row r="130" spans="2:25" x14ac:dyDescent="0.3">
      <c r="B130" s="102">
        <v>-0.29974648454369912</v>
      </c>
      <c r="C130" s="102">
        <v>-0.92252482080629894</v>
      </c>
      <c r="D130" s="102">
        <v>-0.25</v>
      </c>
      <c r="F130" s="105">
        <f>IF(Body1Actif=TRUE,((((($B130*$F$4)+'Calculs 3D'!$C$6-OffsetX)/Ecran)*'Calculs 3D'!$C$31)+(((($C130*$F$4)+'Calculs 3D'!$D$6-OffsetY)/Ecran)*'Calculs 3D'!$D$31)+(((($D130*$F$4)+'Calculs 3D'!$E$6-OffsetZ)/Ecran)*'Calculs 3D'!$E$31)),0)</f>
        <v>4.7615306206280308E-2</v>
      </c>
      <c r="G130" s="105">
        <f>IF(Body1Actif=TRUE,((((($B130*$F$4)+'Calculs 3D'!$C$6-OffsetX)/Ecran)*'Calculs 3D'!$C$32)+(((($C130*$F$4)+'Calculs 3D'!$D$6-OffsetY)/Ecran)*'Calculs 3D'!$D$32)+(((($D130*$F$4)+'Calculs 3D'!$E$6-OffsetZ)/Ecran)*'Calculs 3D'!$E$32)),0)</f>
        <v>0.26188636775449553</v>
      </c>
      <c r="H130" s="105">
        <f>IF(Body2Actif=TRUE,((((($B130*$H$4)+'Calculs 3D'!$C$7-OffsetX)/Ecran)*'Calculs 3D'!$C$31)+(((($C130*$H$4)+'Calculs 3D'!$D$7-OffsetY)/Ecran)*'Calculs 3D'!$D$31)+(((($D130*$H$4)+'Calculs 3D'!$E$7-OffsetZ)/Ecran)*'Calculs 3D'!$E$31)),0)</f>
        <v>1.3695389031561554E-2</v>
      </c>
      <c r="I130" s="105">
        <f>IF(Body2Actif=TRUE,((((($B130*$H$4)+'Calculs 3D'!$C$7-OffsetX)/Ecran)*'Calculs 3D'!$C$32)+(((($C130*$H$4)+'Calculs 3D'!$D$7-OffsetY)/Ecran)*'Calculs 3D'!$D$32)+(((($D130*$H$4)+'Calculs 3D'!$E$7-OffsetZ)/Ecran)*'Calculs 3D'!$E$32)),0)</f>
        <v>2.2615061037407583E-2</v>
      </c>
      <c r="J130" s="105">
        <f>IF(Body3Actif=TRUE,((((($B130*$J$4)+'Calculs 3D'!$C$8-OffsetX)/Ecran)*'Calculs 3D'!$C$31)+(((($C130*$J$4)+'Calculs 3D'!$D$8-OffsetY)/Ecran)*'Calculs 3D'!$D$31)+(((($D130*$J$4)+'Calculs 3D'!$E$8-OffsetZ)/Ecran)*'Calculs 3D'!$E$31)),0)</f>
        <v>0.21352571500541179</v>
      </c>
      <c r="K130" s="105">
        <f>IF(Body3Actif=TRUE,((((($B130*$J$4)+'Calculs 3D'!$C$8-OffsetX)/Ecran)*'Calculs 3D'!$C$32)+(((($C130*$J$4)+'Calculs 3D'!$D$8-OffsetY)/Ecran)*'Calculs 3D'!$D$32)+(((($D130*$J$4)+'Calculs 3D'!$E$8-OffsetZ)/Ecran)*'Calculs 3D'!$E$32)),0)</f>
        <v>-8.4291465906601817E-2</v>
      </c>
      <c r="L130" s="105">
        <f>IF(Body4Actif=TRUE,((((($B130*$L$4)+'Calculs 3D'!$C$9-OffsetX)/Ecran)*'Calculs 3D'!$C$31)+(((($C130*$L$4)+'Calculs 3D'!$D$9-OffsetY)/Ecran)*'Calculs 3D'!$D$31)+(((($D130*$L$4)+'Calculs 3D'!$E$9-OffsetZ)/Ecran)*'Calculs 3D'!$E$31)),0)</f>
        <v>-0.10120210959674084</v>
      </c>
      <c r="M130" s="105">
        <f>IF(Body4Actif=TRUE,((((($B130*$L$4)+'Calculs 3D'!$C$9-OffsetX)/Ecran)*'Calculs 3D'!$C$32)+(((($C130*$L$4)+'Calculs 3D'!$D$9-OffsetY)/Ecran)*'Calculs 3D'!$D$32)+(((($D130*$L$4)+'Calculs 3D'!$E$9-OffsetZ)/Ecran)*'Calculs 3D'!$E$32)),0)</f>
        <v>-0.17656231247984894</v>
      </c>
      <c r="N130" s="105">
        <f>IF(Body5Actif=TRUE,((((($B130*$N$4)+'Calculs 3D'!$C$10-OffsetX)/Ecran)*'Calculs 3D'!$C$31)+(((($C130*$N$4)+'Calculs 3D'!$D$10-OffsetY)/Ecran)*'Calculs 3D'!$D$31)+(((($D130*$N$4)+'Calculs 3D'!$E$10-OffsetZ)/Ecran)*'Calculs 3D'!$E$31)),0)</f>
        <v>-6.7656661269821575E-3</v>
      </c>
      <c r="O130" s="105">
        <f>IF(Body5Actif=TRUE,((((($B130*$N$4)+'Calculs 3D'!$C$10-OffsetX)/Ecran)*'Calculs 3D'!$C$32)+(((($C130*$N$4)+'Calculs 3D'!$D$10-OffsetY)/Ecran)*'Calculs 3D'!$D$32)+(((($D130*$N$4)+'Calculs 3D'!$E$10-OffsetZ)/Ecran)*'Calculs 3D'!$E$32)),0)</f>
        <v>-1.0278584039692118E-2</v>
      </c>
      <c r="P130" s="105">
        <f>IF(Body6Actif=TRUE,((((($B130*$P$4)+'Calculs 3D'!$C$11-OffsetX)/Ecran)*'Calculs 3D'!$C$31)+(((($C130*$P$4)+'Calculs 3D'!$D$11-OffsetY)/Ecran)*'Calculs 3D'!$D$31)+(((($D130*$P$4)+'Calculs 3D'!$E$11-OffsetZ)/Ecran)*'Calculs 3D'!$E$31)),0)</f>
        <v>0.15963202259108406</v>
      </c>
      <c r="Q130" s="105">
        <f>IF(Body6Actif=TRUE,((((($B130*$P$4)+'Calculs 3D'!$C$11-OffsetX)/Ecran)*'Calculs 3D'!$C$32)+(((($C130*$P$4)+'Calculs 3D'!$D$11-OffsetY)/Ecran)*'Calculs 3D'!$D$32)+(((($D130*$P$4)+'Calculs 3D'!$E$11-OffsetZ)/Ecran)*'Calculs 3D'!$E$32)),0)</f>
        <v>0.12537682768179287</v>
      </c>
      <c r="R130" s="105">
        <f>IF(Body7Actif=TRUE,((((($B130*$R$4)+'Calculs 3D'!$C$12-OffsetX)/Ecran)*'Calculs 3D'!$C$31)+(((($C130*$R$4)+'Calculs 3D'!$D$12-OffsetY)/Ecran)*'Calculs 3D'!$D$31)+(((($D130*$R$4)+'Calculs 3D'!$E$12-OffsetZ)/Ecran)*'Calculs 3D'!$E$31)),0)</f>
        <v>-0.29183016669802403</v>
      </c>
      <c r="S130" s="105">
        <f>IF(Body7Actif=TRUE,((((($B130*$R$4)+'Calculs 3D'!$C$12-OffsetX)/Ecran)*'Calculs 3D'!$C$32)+(((($C130*$R$4)+'Calculs 3D'!$D$12-OffsetY)/Ecran)*'Calculs 3D'!$D$32)+(((($D130*$R$4)+'Calculs 3D'!$E$12-OffsetZ)/Ecran)*'Calculs 3D'!$E$32)),0)</f>
        <v>5.4632821114804581E-2</v>
      </c>
      <c r="T130" s="105">
        <f>IF(Body8Actif=TRUE,((((($B130*$T$4)+'Calculs 3D'!$C$13-OffsetX)/Ecran)*'Calculs 3D'!$C$31)+(((($C130*$T$4)+'Calculs 3D'!$D$13-OffsetY)/Ecran)*'Calculs 3D'!$D$31)+(((($D130*$T$4)+'Calculs 3D'!$E$13-OffsetZ)/Ecran)*'Calculs 3D'!$E$31)),0)</f>
        <v>0.16417043713814555</v>
      </c>
      <c r="U130" s="105">
        <f>IF(Body8Actif=TRUE,((((($B130*$T$4)+'Calculs 3D'!$C$13-OffsetX)/Ecran)*'Calculs 3D'!$C$32)+(((($C130*$T$4)+'Calculs 3D'!$D$13-OffsetY)/Ecran)*'Calculs 3D'!$D$32)+(((($D130*$T$4)+'Calculs 3D'!$E$13-OffsetZ)/Ecran)*'Calculs 3D'!$E$32)),0)</f>
        <v>-0.13335214580297194</v>
      </c>
      <c r="V130" s="105">
        <f>IF(Body9Actif=TRUE,((((($B130*$V$4)+'Calculs 3D'!$C$14-OffsetX)/Ecran)*'Calculs 3D'!$C$31)+(((($C130*$V$4)+'Calculs 3D'!$D$14-OffsetY)/Ecran)*'Calculs 3D'!$D$31)+(((($D130*$V$4)+'Calculs 3D'!$E$14-OffsetZ)/Ecran)*'Calculs 3D'!$E$31)),0)</f>
        <v>-0.1832094819787454</v>
      </c>
      <c r="W130" s="105">
        <f>IF(Body9Actif=TRUE,((((($B130*$V$4)+'Calculs 3D'!$C$14-OffsetX)/Ecran)*'Calculs 3D'!$C$32)+(((($C130*$V$4)+'Calculs 3D'!$D$14-OffsetY)/Ecran)*'Calculs 3D'!$D$32)+(((($D130*$V$4)+'Calculs 3D'!$E$14-OffsetZ)/Ecran)*'Calculs 3D'!$E$32)),0)</f>
        <v>0.28481411757063391</v>
      </c>
      <c r="X130" s="105">
        <f>IF(Body10Actif=TRUE,((((($B130*$X$4)+'Calculs 3D'!$C$15-OffsetX)/Ecran)*'Calculs 3D'!$C$31)+(((($C130*$X$4)+'Calculs 3D'!$D$15-OffsetY)/Ecran)*'Calculs 3D'!$D$31)+(((($D130*$X$4)+'Calculs 3D'!$E$15-OffsetZ)/Ecran)*'Calculs 3D'!$E$31)),0)</f>
        <v>-2.3820806145157275E-2</v>
      </c>
      <c r="Y130" s="105">
        <f>IF(Body10Actif=TRUE,((((($B130*$X$4)+'Calculs 3D'!$C$15-OffsetX)/Ecran)*'Calculs 3D'!$C$32)+(((($C130*$X$4)+'Calculs 3D'!$D$15-OffsetY)/Ecran)*'Calculs 3D'!$D$32)+(((($D130*$X$4)+'Calculs 3D'!$E$15-OffsetZ)/Ecran)*'Calculs 3D'!$E$32)),0)</f>
        <v>0.28671888489639141</v>
      </c>
    </row>
    <row r="131" spans="2:25" x14ac:dyDescent="0.3">
      <c r="B131" s="102">
        <v>-1.782591001892042E-16</v>
      </c>
      <c r="C131" s="102">
        <v>-0.97</v>
      </c>
      <c r="D131" s="102">
        <v>-0.25</v>
      </c>
      <c r="F131" s="105">
        <f>IF(Body1Actif=TRUE,((((($B131*$F$4)+'Calculs 3D'!$C$6-OffsetX)/Ecran)*'Calculs 3D'!$C$31)+(((($C131*$F$4)+'Calculs 3D'!$D$6-OffsetY)/Ecran)*'Calculs 3D'!$D$31)+(((($D131*$F$4)+'Calculs 3D'!$E$6-OffsetZ)/Ecran)*'Calculs 3D'!$E$31)),0)</f>
        <v>4.8425798341713948E-2</v>
      </c>
      <c r="G131" s="105">
        <f>IF(Body1Actif=TRUE,((((($B131*$F$4)+'Calculs 3D'!$C$6-OffsetX)/Ecran)*'Calculs 3D'!$C$32)+(((($C131*$F$4)+'Calculs 3D'!$D$6-OffsetY)/Ecran)*'Calculs 3D'!$D$32)+(((($D131*$F$4)+'Calculs 3D'!$E$6-OffsetZ)/Ecran)*'Calculs 3D'!$E$32)),0)</f>
        <v>0.26138737897065462</v>
      </c>
      <c r="H131" s="105">
        <f>IF(Body2Actif=TRUE,((((($B131*$H$4)+'Calculs 3D'!$C$7-OffsetX)/Ecran)*'Calculs 3D'!$C$31)+(((($C131*$H$4)+'Calculs 3D'!$D$7-OffsetY)/Ecran)*'Calculs 3D'!$D$31)+(((($D131*$H$4)+'Calculs 3D'!$E$7-OffsetZ)/Ecran)*'Calculs 3D'!$E$31)),0)</f>
        <v>1.6854587232412468E-2</v>
      </c>
      <c r="I131" s="105">
        <f>IF(Body2Actif=TRUE,((((($B131*$H$4)+'Calculs 3D'!$C$7-OffsetX)/Ecran)*'Calculs 3D'!$C$32)+(((($C131*$H$4)+'Calculs 3D'!$D$7-OffsetY)/Ecran)*'Calculs 3D'!$D$32)+(((($D131*$H$4)+'Calculs 3D'!$E$7-OffsetZ)/Ecran)*'Calculs 3D'!$E$32)),0)</f>
        <v>2.0670064412225544E-2</v>
      </c>
      <c r="J131" s="105">
        <f>IF(Body3Actif=TRUE,((((($B131*$J$4)+'Calculs 3D'!$C$8-OffsetX)/Ecran)*'Calculs 3D'!$C$31)+(((($C131*$J$4)+'Calculs 3D'!$D$8-OffsetY)/Ecran)*'Calculs 3D'!$D$31)+(((($D131*$J$4)+'Calculs 3D'!$E$8-OffsetZ)/Ecran)*'Calculs 3D'!$E$31)),0)</f>
        <v>0.21492973286314054</v>
      </c>
      <c r="K131" s="105">
        <f>IF(Body3Actif=TRUE,((((($B131*$J$4)+'Calculs 3D'!$C$8-OffsetX)/Ecran)*'Calculs 3D'!$C$32)+(((($C131*$J$4)+'Calculs 3D'!$D$8-OffsetY)/Ecran)*'Calculs 3D'!$D$32)+(((($D131*$J$4)+'Calculs 3D'!$E$8-OffsetZ)/Ecran)*'Calculs 3D'!$E$32)),0)</f>
        <v>-8.5155865612274673E-2</v>
      </c>
      <c r="L131" s="105">
        <f>IF(Body4Actif=TRUE,((((($B131*$L$4)+'Calculs 3D'!$C$9-OffsetX)/Ecran)*'Calculs 3D'!$C$31)+(((($C131*$L$4)+'Calculs 3D'!$D$9-OffsetY)/Ecran)*'Calculs 3D'!$D$31)+(((($D131*$L$4)+'Calculs 3D'!$E$9-OffsetZ)/Ecran)*'Calculs 3D'!$E$31)),0)</f>
        <v>-9.9376475577045237E-2</v>
      </c>
      <c r="M131" s="105">
        <f>IF(Body4Actif=TRUE,((((($B131*$L$4)+'Calculs 3D'!$C$9-OffsetX)/Ecran)*'Calculs 3D'!$C$32)+(((($C131*$L$4)+'Calculs 3D'!$D$9-OffsetY)/Ecran)*'Calculs 3D'!$D$32)+(((($D131*$L$4)+'Calculs 3D'!$E$9-OffsetZ)/Ecran)*'Calculs 3D'!$E$32)),0)</f>
        <v>-0.17768628501381944</v>
      </c>
      <c r="N131" s="105">
        <f>IF(Body5Actif=TRUE,((((($B131*$N$4)+'Calculs 3D'!$C$10-OffsetX)/Ecran)*'Calculs 3D'!$C$31)+(((($C131*$N$4)+'Calculs 3D'!$D$10-OffsetY)/Ecran)*'Calculs 3D'!$D$31)+(((($D131*$N$4)+'Calculs 3D'!$E$10-OffsetZ)/Ecran)*'Calculs 3D'!$E$31)),0)</f>
        <v>-4.6815372953844013E-3</v>
      </c>
      <c r="O131" s="105">
        <f>IF(Body5Actif=TRUE,((((($B131*$N$4)+'Calculs 3D'!$C$10-OffsetX)/Ecran)*'Calculs 3D'!$C$32)+(((($C131*$N$4)+'Calculs 3D'!$D$10-OffsetY)/Ecran)*'Calculs 3D'!$D$32)+(((($D131*$N$4)+'Calculs 3D'!$E$10-OffsetZ)/Ecran)*'Calculs 3D'!$E$32)),0)</f>
        <v>-1.1561701870922333E-2</v>
      </c>
      <c r="P131" s="105">
        <f>IF(Body6Actif=TRUE,((((($B131*$P$4)+'Calculs 3D'!$C$11-OffsetX)/Ecran)*'Calculs 3D'!$C$31)+(((($C131*$P$4)+'Calculs 3D'!$D$11-OffsetY)/Ecran)*'Calculs 3D'!$D$31)+(((($D131*$P$4)+'Calculs 3D'!$E$11-OffsetZ)/Ecran)*'Calculs 3D'!$E$31)),0)</f>
        <v>0.16265228106856688</v>
      </c>
      <c r="Q131" s="105">
        <f>IF(Body6Actif=TRUE,((((($B131*$P$4)+'Calculs 3D'!$C$11-OffsetX)/Ecran)*'Calculs 3D'!$C$32)+(((($C131*$P$4)+'Calculs 3D'!$D$11-OffsetY)/Ecran)*'Calculs 3D'!$D$32)+(((($D131*$P$4)+'Calculs 3D'!$E$11-OffsetZ)/Ecran)*'Calculs 3D'!$E$32)),0)</f>
        <v>0.12351737089168097</v>
      </c>
      <c r="R131" s="105">
        <f>IF(Body7Actif=TRUE,((((($B131*$R$4)+'Calculs 3D'!$C$12-OffsetX)/Ecran)*'Calculs 3D'!$C$31)+(((($C131*$R$4)+'Calculs 3D'!$D$12-OffsetY)/Ecran)*'Calculs 3D'!$D$31)+(((($D131*$R$4)+'Calculs 3D'!$E$12-OffsetZ)/Ecran)*'Calculs 3D'!$E$31)),0)</f>
        <v>-0.28879703133324958</v>
      </c>
      <c r="S131" s="105">
        <f>IF(Body7Actif=TRUE,((((($B131*$R$4)+'Calculs 3D'!$C$12-OffsetX)/Ecran)*'Calculs 3D'!$C$32)+(((($C131*$R$4)+'Calculs 3D'!$D$12-OffsetY)/Ecran)*'Calculs 3D'!$D$32)+(((($D131*$R$4)+'Calculs 3D'!$E$12-OffsetZ)/Ecran)*'Calculs 3D'!$E$32)),0)</f>
        <v>5.2765436521265099E-2</v>
      </c>
      <c r="T131" s="105">
        <f>IF(Body8Actif=TRUE,((((($B131*$T$4)+'Calculs 3D'!$C$13-OffsetX)/Ecran)*'Calculs 3D'!$C$31)+(((($C131*$T$4)+'Calculs 3D'!$D$13-OffsetY)/Ecran)*'Calculs 3D'!$D$31)+(((($D131*$T$4)+'Calculs 3D'!$E$13-OffsetZ)/Ecran)*'Calculs 3D'!$E$31)),0)</f>
        <v>0.1652643692097899</v>
      </c>
      <c r="U131" s="105">
        <f>IF(Body8Actif=TRUE,((((($B131*$T$4)+'Calculs 3D'!$C$13-OffsetX)/Ecran)*'Calculs 3D'!$C$32)+(((($C131*$T$4)+'Calculs 3D'!$D$13-OffsetY)/Ecran)*'Calculs 3D'!$D$32)+(((($D131*$T$4)+'Calculs 3D'!$E$13-OffsetZ)/Ecran)*'Calculs 3D'!$E$32)),0)</f>
        <v>-0.13402563763610659</v>
      </c>
      <c r="V131" s="105">
        <f>IF(Body9Actif=TRUE,((((($B131*$V$4)+'Calculs 3D'!$C$14-OffsetX)/Ecran)*'Calculs 3D'!$C$31)+(((($C131*$V$4)+'Calculs 3D'!$D$14-OffsetY)/Ecran)*'Calculs 3D'!$D$31)+(((($D131*$V$4)+'Calculs 3D'!$E$14-OffsetZ)/Ecran)*'Calculs 3D'!$E$31)),0)</f>
        <v>-0.18169163379097897</v>
      </c>
      <c r="W131" s="105">
        <f>IF(Body9Actif=TRUE,((((($B131*$V$4)+'Calculs 3D'!$C$14-OffsetX)/Ecran)*'Calculs 3D'!$C$32)+(((($C131*$V$4)+'Calculs 3D'!$D$14-OffsetY)/Ecran)*'Calculs 3D'!$D$32)+(((($D131*$V$4)+'Calculs 3D'!$E$14-OffsetZ)/Ecran)*'Calculs 3D'!$E$32)),0)</f>
        <v>0.28387963691603324</v>
      </c>
      <c r="X131" s="105">
        <f>IF(Body10Actif=TRUE,((((($B131*$X$4)+'Calculs 3D'!$C$15-OffsetX)/Ecran)*'Calculs 3D'!$C$31)+(((($C131*$X$4)+'Calculs 3D'!$D$15-OffsetY)/Ecran)*'Calculs 3D'!$D$31)+(((($D131*$X$4)+'Calculs 3D'!$E$15-OffsetZ)/Ecran)*'Calculs 3D'!$E$31)),0)</f>
        <v>-2.1529683980673245E-2</v>
      </c>
      <c r="Y131" s="105">
        <f>IF(Body10Actif=TRUE,((((($B131*$X$4)+'Calculs 3D'!$C$15-OffsetX)/Ecran)*'Calculs 3D'!$C$32)+(((($C131*$X$4)+'Calculs 3D'!$D$15-OffsetY)/Ecran)*'Calculs 3D'!$D$32)+(((($D131*$X$4)+'Calculs 3D'!$E$15-OffsetZ)/Ecran)*'Calculs 3D'!$E$32)),0)</f>
        <v>0.28530832924445382</v>
      </c>
    </row>
    <row r="132" spans="2:25" x14ac:dyDescent="0.3">
      <c r="B132" s="102">
        <v>0.29974648454369879</v>
      </c>
      <c r="C132" s="102">
        <v>-0.92252482080629905</v>
      </c>
      <c r="D132" s="102">
        <v>-0.25</v>
      </c>
      <c r="F132" s="105">
        <f>IF(Body1Actif=TRUE,((((($B132*$F$4)+'Calculs 3D'!$C$6-OffsetX)/Ecran)*'Calculs 3D'!$C$31)+(((($C132*$F$4)+'Calculs 3D'!$D$6-OffsetY)/Ecran)*'Calculs 3D'!$D$31)+(((($D132*$F$4)+'Calculs 3D'!$E$6-OffsetZ)/Ecran)*'Calculs 3D'!$E$31)),0)</f>
        <v>4.9447078012180311E-2</v>
      </c>
      <c r="G132" s="105">
        <f>IF(Body1Actif=TRUE,((((($B132*$F$4)+'Calculs 3D'!$C$6-OffsetX)/Ecran)*'Calculs 3D'!$C$32)+(((($C132*$F$4)+'Calculs 3D'!$D$6-OffsetY)/Ecran)*'Calculs 3D'!$D$32)+(((($D132*$F$4)+'Calculs 3D'!$E$6-OffsetZ)/Ecran)*'Calculs 3D'!$E$32)),0)</f>
        <v>0.26106700845043385</v>
      </c>
      <c r="H132" s="105">
        <f>IF(Body2Actif=TRUE,((((($B132*$H$4)+'Calculs 3D'!$C$7-OffsetX)/Ecran)*'Calculs 3D'!$C$31)+(((($C132*$H$4)+'Calculs 3D'!$D$7-OffsetY)/Ecran)*'Calculs 3D'!$D$31)+(((($D132*$H$4)+'Calculs 3D'!$E$7-OffsetZ)/Ecran)*'Calculs 3D'!$E$31)),0)</f>
        <v>2.0835409200261352E-2</v>
      </c>
      <c r="I132" s="105">
        <f>IF(Body2Actif=TRUE,((((($B132*$H$4)+'Calculs 3D'!$C$7-OffsetX)/Ecran)*'Calculs 3D'!$C$32)+(((($C132*$H$4)+'Calculs 3D'!$D$7-OffsetY)/Ecran)*'Calculs 3D'!$D$32)+(((($D132*$H$4)+'Calculs 3D'!$E$7-OffsetZ)/Ecran)*'Calculs 3D'!$E$32)),0)</f>
        <v>1.9421299708857247E-2</v>
      </c>
      <c r="J132" s="105">
        <f>IF(Body3Actif=TRUE,((((($B132*$J$4)+'Calculs 3D'!$C$8-OffsetX)/Ecran)*'Calculs 3D'!$C$31)+(((($C132*$J$4)+'Calculs 3D'!$D$8-OffsetY)/Ecran)*'Calculs 3D'!$D$31)+(((($D132*$J$4)+'Calculs 3D'!$E$8-OffsetZ)/Ecran)*'Calculs 3D'!$E$31)),0)</f>
        <v>0.21669889857417229</v>
      </c>
      <c r="K132" s="105">
        <f>IF(Body3Actif=TRUE,((((($B132*$J$4)+'Calculs 3D'!$C$8-OffsetX)/Ecran)*'Calculs 3D'!$C$32)+(((($C132*$J$4)+'Calculs 3D'!$D$8-OffsetY)/Ecran)*'Calculs 3D'!$D$32)+(((($D132*$J$4)+'Calculs 3D'!$E$8-OffsetZ)/Ecran)*'Calculs 3D'!$E$32)),0)</f>
        <v>-8.5710844386052823E-2</v>
      </c>
      <c r="L132" s="105">
        <f>IF(Body4Actif=TRUE,((((($B132*$L$4)+'Calculs 3D'!$C$9-OffsetX)/Ecran)*'Calculs 3D'!$C$31)+(((($C132*$L$4)+'Calculs 3D'!$D$9-OffsetY)/Ecran)*'Calculs 3D'!$D$31)+(((($D132*$L$4)+'Calculs 3D'!$E$9-OffsetZ)/Ecran)*'Calculs 3D'!$E$31)),0)</f>
        <v>-9.7076042508648652E-2</v>
      </c>
      <c r="M132" s="105">
        <f>IF(Body4Actif=TRUE,((((($B132*$L$4)+'Calculs 3D'!$C$9-OffsetX)/Ecran)*'Calculs 3D'!$C$32)+(((($C132*$L$4)+'Calculs 3D'!$D$9-OffsetY)/Ecran)*'Calculs 3D'!$D$32)+(((($D132*$L$4)+'Calculs 3D'!$E$9-OffsetZ)/Ecran)*'Calculs 3D'!$E$32)),0)</f>
        <v>-0.17840791980218132</v>
      </c>
      <c r="N132" s="105">
        <f>IF(Body5Actif=TRUE,((((($B132*$N$4)+'Calculs 3D'!$C$10-OffsetX)/Ecran)*'Calculs 3D'!$C$31)+(((($C132*$N$4)+'Calculs 3D'!$D$10-OffsetY)/Ecran)*'Calculs 3D'!$D$31)+(((($D132*$N$4)+'Calculs 3D'!$E$10-OffsetZ)/Ecran)*'Calculs 3D'!$E$31)),0)</f>
        <v>-2.0553817618642412E-3</v>
      </c>
      <c r="O132" s="105">
        <f>IF(Body5Actif=TRUE,((((($B132*$N$4)+'Calculs 3D'!$C$10-OffsetX)/Ecran)*'Calculs 3D'!$C$32)+(((($C132*$N$4)+'Calculs 3D'!$D$10-OffsetY)/Ecran)*'Calculs 3D'!$D$32)+(((($D132*$N$4)+'Calculs 3D'!$E$10-OffsetZ)/Ecran)*'Calculs 3D'!$E$32)),0)</f>
        <v>-1.2385514229852672E-2</v>
      </c>
      <c r="P132" s="105">
        <f>IF(Body6Actif=TRUE,((((($B132*$P$4)+'Calculs 3D'!$C$11-OffsetX)/Ecran)*'Calculs 3D'!$C$31)+(((($C132*$P$4)+'Calculs 3D'!$D$11-OffsetY)/Ecran)*'Calculs 3D'!$D$31)+(((($D132*$P$4)+'Calculs 3D'!$E$11-OffsetZ)/Ecran)*'Calculs 3D'!$E$31)),0)</f>
        <v>0.16645802877141982</v>
      </c>
      <c r="Q132" s="105">
        <f>IF(Body6Actif=TRUE,((((($B132*$P$4)+'Calculs 3D'!$C$11-OffsetX)/Ecran)*'Calculs 3D'!$C$32)+(((($C132*$P$4)+'Calculs 3D'!$D$11-OffsetY)/Ecran)*'Calculs 3D'!$D$32)+(((($D132*$P$4)+'Calculs 3D'!$E$11-OffsetZ)/Ecran)*'Calculs 3D'!$E$32)),0)</f>
        <v>0.12232352614312622</v>
      </c>
      <c r="R132" s="105">
        <f>IF(Body7Actif=TRUE,((((($B132*$R$4)+'Calculs 3D'!$C$12-OffsetX)/Ecran)*'Calculs 3D'!$C$31)+(((($C132*$R$4)+'Calculs 3D'!$D$12-OffsetY)/Ecran)*'Calculs 3D'!$D$31)+(((($D132*$R$4)+'Calculs 3D'!$E$12-OffsetZ)/Ecran)*'Calculs 3D'!$E$31)),0)</f>
        <v>-0.28497505780582055</v>
      </c>
      <c r="S132" s="105">
        <f>IF(Body7Actif=TRUE,((((($B132*$R$4)+'Calculs 3D'!$C$12-OffsetX)/Ecran)*'Calculs 3D'!$C$32)+(((($C132*$R$4)+'Calculs 3D'!$D$12-OffsetY)/Ecran)*'Calculs 3D'!$D$32)+(((($D132*$R$4)+'Calculs 3D'!$E$12-OffsetZ)/Ecran)*'Calculs 3D'!$E$32)),0)</f>
        <v>5.1566501809587856E-2</v>
      </c>
      <c r="T132" s="105">
        <f>IF(Body8Actif=TRUE,((((($B132*$T$4)+'Calculs 3D'!$C$13-OffsetX)/Ecran)*'Calculs 3D'!$C$31)+(((($C132*$T$4)+'Calculs 3D'!$D$13-OffsetY)/Ecran)*'Calculs 3D'!$D$31)+(((($D132*$T$4)+'Calculs 3D'!$E$13-OffsetZ)/Ecran)*'Calculs 3D'!$E$31)),0)</f>
        <v>0.16664280403574142</v>
      </c>
      <c r="U132" s="105">
        <f>IF(Body8Actif=TRUE,((((($B132*$T$4)+'Calculs 3D'!$C$13-OffsetX)/Ecran)*'Calculs 3D'!$C$32)+(((($C132*$T$4)+'Calculs 3D'!$D$13-OffsetY)/Ecran)*'Calculs 3D'!$D$32)+(((($D132*$T$4)+'Calculs 3D'!$E$13-OffsetZ)/Ecran)*'Calculs 3D'!$E$32)),0)</f>
        <v>-0.13445804601066949</v>
      </c>
      <c r="V132" s="105">
        <f>IF(Body9Actif=TRUE,((((($B132*$V$4)+'Calculs 3D'!$C$14-OffsetX)/Ecran)*'Calculs 3D'!$C$31)+(((($C132*$V$4)+'Calculs 3D'!$D$14-OffsetY)/Ecran)*'Calculs 3D'!$D$31)+(((($D132*$V$4)+'Calculs 3D'!$E$14-OffsetZ)/Ecran)*'Calculs 3D'!$E$31)),0)</f>
        <v>-0.17977903349635588</v>
      </c>
      <c r="W132" s="105">
        <f>IF(Body9Actif=TRUE,((((($B132*$V$4)+'Calculs 3D'!$C$14-OffsetX)/Ecran)*'Calculs 3D'!$C$32)+(((($C132*$V$4)+'Calculs 3D'!$D$14-OffsetY)/Ecran)*'Calculs 3D'!$D$32)+(((($D132*$V$4)+'Calculs 3D'!$E$14-OffsetZ)/Ecran)*'Calculs 3D'!$E$32)),0)</f>
        <v>0.28327966340330979</v>
      </c>
      <c r="X132" s="105">
        <f>IF(Body10Actif=TRUE,((((($B132*$X$4)+'Calculs 3D'!$C$15-OffsetX)/Ecran)*'Calculs 3D'!$C$31)+(((($C132*$X$4)+'Calculs 3D'!$D$15-OffsetY)/Ecran)*'Calculs 3D'!$D$31)+(((($D132*$X$4)+'Calculs 3D'!$E$15-OffsetZ)/Ecran)*'Calculs 3D'!$E$31)),0)</f>
        <v>-1.8642701631497754E-2</v>
      </c>
      <c r="Y132" s="105">
        <f>IF(Body10Actif=TRUE,((((($B132*$X$4)+'Calculs 3D'!$C$15-OffsetX)/Ecran)*'Calculs 3D'!$C$32)+(((($C132*$X$4)+'Calculs 3D'!$D$15-OffsetY)/Ecran)*'Calculs 3D'!$D$32)+(((($D132*$X$4)+'Calculs 3D'!$E$15-OffsetZ)/Ecran)*'Calculs 3D'!$E$32)),0)</f>
        <v>0.28440269676804197</v>
      </c>
    </row>
    <row r="133" spans="2:25" x14ac:dyDescent="0.3">
      <c r="B133" s="102">
        <v>0.57015169472369875</v>
      </c>
      <c r="C133" s="102">
        <v>-0.78474648454369911</v>
      </c>
      <c r="D133" s="102">
        <v>-0.25</v>
      </c>
      <c r="F133" s="105">
        <f>IF(Body1Actif=TRUE,((((($B133*$F$4)+'Calculs 3D'!$C$6-OffsetX)/Ecran)*'Calculs 3D'!$C$31)+(((($C133*$F$4)+'Calculs 3D'!$D$6-OffsetY)/Ecran)*'Calculs 3D'!$D$31)+(((($D133*$F$4)+'Calculs 3D'!$E$6-OffsetZ)/Ecran)*'Calculs 3D'!$E$31)),0)</f>
        <v>5.0579175247860264E-2</v>
      </c>
      <c r="G133" s="105">
        <f>IF(Body1Actif=TRUE,((((($B133*$F$4)+'Calculs 3D'!$C$6-OffsetX)/Ecran)*'Calculs 3D'!$C$32)+(((($C133*$F$4)+'Calculs 3D'!$D$6-OffsetY)/Ecran)*'Calculs 3D'!$D$32)+(((($D133*$F$4)+'Calculs 3D'!$E$6-OffsetZ)/Ecran)*'Calculs 3D'!$E$32)),0)</f>
        <v>0.26095661629250511</v>
      </c>
      <c r="H133" s="105">
        <f>IF(Body2Actif=TRUE,((((($B133*$H$4)+'Calculs 3D'!$C$7-OffsetX)/Ecran)*'Calculs 3D'!$C$31)+(((($C133*$H$4)+'Calculs 3D'!$D$7-OffsetY)/Ecran)*'Calculs 3D'!$D$31)+(((($D133*$H$4)+'Calculs 3D'!$E$7-OffsetZ)/Ecran)*'Calculs 3D'!$E$31)),0)</f>
        <v>2.5248184344877588E-2</v>
      </c>
      <c r="I133" s="105">
        <f>IF(Body2Actif=TRUE,((((($B133*$H$4)+'Calculs 3D'!$C$7-OffsetX)/Ecran)*'Calculs 3D'!$C$32)+(((($C133*$H$4)+'Calculs 3D'!$D$7-OffsetY)/Ecran)*'Calculs 3D'!$D$32)+(((($D133*$H$4)+'Calculs 3D'!$E$7-OffsetZ)/Ecran)*'Calculs 3D'!$E$32)),0)</f>
        <v>1.8991004717123693E-2</v>
      </c>
      <c r="J133" s="105">
        <f>IF(Body3Actif=TRUE,((((($B133*$J$4)+'Calculs 3D'!$C$8-OffsetX)/Ecran)*'Calculs 3D'!$C$31)+(((($C133*$J$4)+'Calculs 3D'!$D$8-OffsetY)/Ecran)*'Calculs 3D'!$D$31)+(((($D133*$J$4)+'Calculs 3D'!$E$8-OffsetZ)/Ecran)*'Calculs 3D'!$E$31)),0)</f>
        <v>0.218660033872209</v>
      </c>
      <c r="K133" s="105">
        <f>IF(Body3Actif=TRUE,((((($B133*$J$4)+'Calculs 3D'!$C$8-OffsetX)/Ecran)*'Calculs 3D'!$C$32)+(((($C133*$J$4)+'Calculs 3D'!$D$8-OffsetY)/Ecran)*'Calculs 3D'!$D$32)+(((($D133*$J$4)+'Calculs 3D'!$E$8-OffsetZ)/Ecran)*'Calculs 3D'!$E$32)),0)</f>
        <v>-8.5902077038794405E-2</v>
      </c>
      <c r="L133" s="105">
        <f>IF(Body4Actif=TRUE,((((($B133*$L$4)+'Calculs 3D'!$C$9-OffsetX)/Ecran)*'Calculs 3D'!$C$31)+(((($C133*$L$4)+'Calculs 3D'!$D$9-OffsetY)/Ecran)*'Calculs 3D'!$D$31)+(((($D133*$L$4)+'Calculs 3D'!$E$9-OffsetZ)/Ecran)*'Calculs 3D'!$E$31)),0)</f>
        <v>-9.4525992808345366E-2</v>
      </c>
      <c r="M133" s="105">
        <f>IF(Body4Actif=TRUE,((((($B133*$L$4)+'Calculs 3D'!$C$9-OffsetX)/Ecran)*'Calculs 3D'!$C$32)+(((($C133*$L$4)+'Calculs 3D'!$D$9-OffsetY)/Ecran)*'Calculs 3D'!$D$32)+(((($D133*$L$4)+'Calculs 3D'!$E$9-OffsetZ)/Ecran)*'Calculs 3D'!$E$32)),0)</f>
        <v>-0.17865657820392447</v>
      </c>
      <c r="N133" s="105">
        <f>IF(Body5Actif=TRUE,((((($B133*$N$4)+'Calculs 3D'!$C$10-OffsetX)/Ecran)*'Calculs 3D'!$C$31)+(((($C133*$N$4)+'Calculs 3D'!$D$10-OffsetY)/Ecran)*'Calculs 3D'!$D$31)+(((($D133*$N$4)+'Calculs 3D'!$E$10-OffsetZ)/Ecran)*'Calculs 3D'!$E$31)),0)</f>
        <v>8.5573407245585092E-4</v>
      </c>
      <c r="O133" s="105">
        <f>IF(Body5Actif=TRUE,((((($B133*$N$4)+'Calculs 3D'!$C$10-OffsetX)/Ecran)*'Calculs 3D'!$C$32)+(((($C133*$N$4)+'Calculs 3D'!$D$10-OffsetY)/Ecran)*'Calculs 3D'!$D$32)+(((($D133*$N$4)+'Calculs 3D'!$E$10-OffsetZ)/Ecran)*'Calculs 3D'!$E$32)),0)</f>
        <v>-1.2669380622952819E-2</v>
      </c>
      <c r="P133" s="105">
        <f>IF(Body6Actif=TRUE,((((($B133*$P$4)+'Calculs 3D'!$C$11-OffsetX)/Ecran)*'Calculs 3D'!$C$31)+(((($C133*$P$4)+'Calculs 3D'!$D$11-OffsetY)/Ecran)*'Calculs 3D'!$D$31)+(((($D133*$P$4)+'Calculs 3D'!$E$11-OffsetZ)/Ecran)*'Calculs 3D'!$E$31)),0)</f>
        <v>0.1706767325982842</v>
      </c>
      <c r="Q133" s="105">
        <f>IF(Body6Actif=TRUE,((((($B133*$P$4)+'Calculs 3D'!$C$11-OffsetX)/Ecran)*'Calculs 3D'!$C$32)+(((($C133*$P$4)+'Calculs 3D'!$D$11-OffsetY)/Ecran)*'Calculs 3D'!$D$32)+(((($D133*$P$4)+'Calculs 3D'!$E$11-OffsetZ)/Ecran)*'Calculs 3D'!$E$32)),0)</f>
        <v>0.12191215527812269</v>
      </c>
      <c r="R133" s="105">
        <f>IF(Body7Actif=TRUE,((((($B133*$R$4)+'Calculs 3D'!$C$12-OffsetX)/Ecran)*'Calculs 3D'!$C$31)+(((($C133*$R$4)+'Calculs 3D'!$D$12-OffsetY)/Ecran)*'Calculs 3D'!$D$31)+(((($D133*$R$4)+'Calculs 3D'!$E$12-OffsetZ)/Ecran)*'Calculs 3D'!$E$31)),0)</f>
        <v>-0.28073836751385717</v>
      </c>
      <c r="S133" s="105">
        <f>IF(Body7Actif=TRUE,((((($B133*$R$4)+'Calculs 3D'!$C$12-OffsetX)/Ecran)*'Calculs 3D'!$C$32)+(((($C133*$R$4)+'Calculs 3D'!$D$12-OffsetY)/Ecran)*'Calculs 3D'!$D$32)+(((($D133*$R$4)+'Calculs 3D'!$E$12-OffsetZ)/Ecran)*'Calculs 3D'!$E$32)),0)</f>
        <v>5.1153377062821137E-2</v>
      </c>
      <c r="T133" s="105">
        <f>IF(Body8Actif=TRUE,((((($B133*$T$4)+'Calculs 3D'!$C$13-OffsetX)/Ecran)*'Calculs 3D'!$C$31)+(((($C133*$T$4)+'Calculs 3D'!$D$13-OffsetY)/Ecran)*'Calculs 3D'!$D$31)+(((($D133*$T$4)+'Calculs 3D'!$E$13-OffsetZ)/Ecran)*'Calculs 3D'!$E$31)),0)</f>
        <v>0.16817081081111576</v>
      </c>
      <c r="U133" s="105">
        <f>IF(Body8Actif=TRUE,((((($B133*$T$4)+'Calculs 3D'!$C$13-OffsetX)/Ecran)*'Calculs 3D'!$C$32)+(((($C133*$T$4)+'Calculs 3D'!$D$13-OffsetY)/Ecran)*'Calculs 3D'!$D$32)+(((($D133*$T$4)+'Calculs 3D'!$E$13-OffsetZ)/Ecran)*'Calculs 3D'!$E$32)),0)</f>
        <v>-0.13460704378219218</v>
      </c>
      <c r="V133" s="105">
        <f>IF(Body9Actif=TRUE,((((($B133*$V$4)+'Calculs 3D'!$C$14-OffsetX)/Ecran)*'Calculs 3D'!$C$31)+(((($C133*$V$4)+'Calculs 3D'!$D$14-OffsetY)/Ecran)*'Calculs 3D'!$D$31)+(((($D133*$V$4)+'Calculs 3D'!$E$14-OffsetZ)/Ecran)*'Calculs 3D'!$E$31)),0)</f>
        <v>-0.1776588997375837</v>
      </c>
      <c r="W133" s="105">
        <f>IF(Body9Actif=TRUE,((((($B133*$V$4)+'Calculs 3D'!$C$14-OffsetX)/Ecran)*'Calculs 3D'!$C$32)+(((($C133*$V$4)+'Calculs 3D'!$D$14-OffsetY)/Ecran)*'Calculs 3D'!$D$32)+(((($D133*$V$4)+'Calculs 3D'!$E$14-OffsetZ)/Ecran)*'Calculs 3D'!$E$32)),0)</f>
        <v>0.2830729266201501</v>
      </c>
      <c r="X133" s="105">
        <f>IF(Body10Actif=TRUE,((((($B133*$X$4)+'Calculs 3D'!$C$15-OffsetX)/Ecran)*'Calculs 3D'!$C$31)+(((($C133*$X$4)+'Calculs 3D'!$D$15-OffsetY)/Ecran)*'Calculs 3D'!$D$31)+(((($D133*$X$4)+'Calculs 3D'!$E$15-OffsetZ)/Ecran)*'Calculs 3D'!$E$31)),0)</f>
        <v>-1.5442457044756913E-2</v>
      </c>
      <c r="Y133" s="105">
        <f>IF(Body10Actif=TRUE,((((($B133*$X$4)+'Calculs 3D'!$C$15-OffsetX)/Ecran)*'Calculs 3D'!$C$32)+(((($C133*$X$4)+'Calculs 3D'!$D$15-OffsetY)/Ecran)*'Calculs 3D'!$D$32)+(((($D133*$X$4)+'Calculs 3D'!$E$15-OffsetZ)/Ecran)*'Calculs 3D'!$E$32)),0)</f>
        <v>0.28409063708385957</v>
      </c>
    </row>
    <row r="134" spans="2:25" x14ac:dyDescent="0.3">
      <c r="B134" s="102">
        <v>0.78474648454369889</v>
      </c>
      <c r="C134" s="102">
        <v>-0.57015169472369909</v>
      </c>
      <c r="D134" s="102">
        <v>-0.25</v>
      </c>
      <c r="F134" s="105">
        <f>IF(Body1Actif=TRUE,((((($B134*$F$4)+'Calculs 3D'!$C$6-OffsetX)/Ecran)*'Calculs 3D'!$C$31)+(((($C134*$F$4)+'Calculs 3D'!$D$6-OffsetY)/Ecran)*'Calculs 3D'!$D$31)+(((($D134*$F$4)+'Calculs 3D'!$E$6-OffsetZ)/Ecran)*'Calculs 3D'!$E$31)),0)</f>
        <v>5.1711272483540259E-2</v>
      </c>
      <c r="G134" s="105">
        <f>IF(Body1Actif=TRUE,((((($B134*$F$4)+'Calculs 3D'!$C$6-OffsetX)/Ecran)*'Calculs 3D'!$C$32)+(((($C134*$F$4)+'Calculs 3D'!$D$6-OffsetY)/Ecran)*'Calculs 3D'!$D$32)+(((($D134*$F$4)+'Calculs 3D'!$E$6-OffsetZ)/Ecran)*'Calculs 3D'!$E$32)),0)</f>
        <v>0.26106700845043385</v>
      </c>
      <c r="H134" s="105">
        <f>IF(Body2Actif=TRUE,((((($B134*$H$4)+'Calculs 3D'!$C$7-OffsetX)/Ecran)*'Calculs 3D'!$C$31)+(((($C134*$H$4)+'Calculs 3D'!$D$7-OffsetY)/Ecran)*'Calculs 3D'!$D$31)+(((($D134*$H$4)+'Calculs 3D'!$E$7-OffsetZ)/Ecran)*'Calculs 3D'!$E$31)),0)</f>
        <v>2.9660959489493821E-2</v>
      </c>
      <c r="I134" s="105">
        <f>IF(Body2Actif=TRUE,((((($B134*$H$4)+'Calculs 3D'!$C$7-OffsetX)/Ecran)*'Calculs 3D'!$C$32)+(((($C134*$H$4)+'Calculs 3D'!$D$7-OffsetY)/Ecran)*'Calculs 3D'!$D$32)+(((($D134*$H$4)+'Calculs 3D'!$E$7-OffsetZ)/Ecran)*'Calculs 3D'!$E$32)),0)</f>
        <v>1.9421299708857247E-2</v>
      </c>
      <c r="J134" s="105">
        <f>IF(Body3Actif=TRUE,((((($B134*$J$4)+'Calculs 3D'!$C$8-OffsetX)/Ecran)*'Calculs 3D'!$C$31)+(((($C134*$J$4)+'Calculs 3D'!$D$8-OffsetY)/Ecran)*'Calculs 3D'!$D$31)+(((($D134*$J$4)+'Calculs 3D'!$E$8-OffsetZ)/Ecran)*'Calculs 3D'!$E$31)),0)</f>
        <v>0.22062116917024563</v>
      </c>
      <c r="K134" s="105">
        <f>IF(Body3Actif=TRUE,((((($B134*$J$4)+'Calculs 3D'!$C$8-OffsetX)/Ecran)*'Calculs 3D'!$C$32)+(((($C134*$J$4)+'Calculs 3D'!$D$8-OffsetY)/Ecran)*'Calculs 3D'!$D$32)+(((($D134*$J$4)+'Calculs 3D'!$E$8-OffsetZ)/Ecran)*'Calculs 3D'!$E$32)),0)</f>
        <v>-8.5710844386052837E-2</v>
      </c>
      <c r="L134" s="105">
        <f>IF(Body4Actif=TRUE,((((($B134*$L$4)+'Calculs 3D'!$C$9-OffsetX)/Ecran)*'Calculs 3D'!$C$31)+(((($C134*$L$4)+'Calculs 3D'!$D$9-OffsetY)/Ecran)*'Calculs 3D'!$D$31)+(((($D134*$L$4)+'Calculs 3D'!$E$9-OffsetZ)/Ecran)*'Calculs 3D'!$E$31)),0)</f>
        <v>-9.197594310804208E-2</v>
      </c>
      <c r="M134" s="105">
        <f>IF(Body4Actif=TRUE,((((($B134*$L$4)+'Calculs 3D'!$C$9-OffsetX)/Ecran)*'Calculs 3D'!$C$32)+(((($C134*$L$4)+'Calculs 3D'!$D$9-OffsetY)/Ecran)*'Calculs 3D'!$D$32)+(((($D134*$L$4)+'Calculs 3D'!$E$9-OffsetZ)/Ecran)*'Calculs 3D'!$E$32)),0)</f>
        <v>-0.17840791980218132</v>
      </c>
      <c r="N134" s="105">
        <f>IF(Body5Actif=TRUE,((((($B134*$N$4)+'Calculs 3D'!$C$10-OffsetX)/Ecran)*'Calculs 3D'!$C$31)+(((($C134*$N$4)+'Calculs 3D'!$D$10-OffsetY)/Ecran)*'Calculs 3D'!$D$31)+(((($D134*$N$4)+'Calculs 3D'!$E$10-OffsetZ)/Ecran)*'Calculs 3D'!$E$31)),0)</f>
        <v>3.7668499067759435E-3</v>
      </c>
      <c r="O134" s="105">
        <f>IF(Body5Actif=TRUE,((((($B134*$N$4)+'Calculs 3D'!$C$10-OffsetX)/Ecran)*'Calculs 3D'!$C$32)+(((($C134*$N$4)+'Calculs 3D'!$D$10-OffsetY)/Ecran)*'Calculs 3D'!$D$32)+(((($D134*$N$4)+'Calculs 3D'!$E$10-OffsetZ)/Ecran)*'Calculs 3D'!$E$32)),0)</f>
        <v>-1.2385514229852674E-2</v>
      </c>
      <c r="P134" s="105">
        <f>IF(Body6Actif=TRUE,((((($B134*$P$4)+'Calculs 3D'!$C$11-OffsetX)/Ecran)*'Calculs 3D'!$C$31)+(((($C134*$P$4)+'Calculs 3D'!$D$11-OffsetY)/Ecran)*'Calculs 3D'!$D$31)+(((($D134*$P$4)+'Calculs 3D'!$E$11-OffsetZ)/Ecran)*'Calculs 3D'!$E$31)),0)</f>
        <v>0.17489543642514854</v>
      </c>
      <c r="Q134" s="105">
        <f>IF(Body6Actif=TRUE,((((($B134*$P$4)+'Calculs 3D'!$C$11-OffsetX)/Ecran)*'Calculs 3D'!$C$32)+(((($C134*$P$4)+'Calculs 3D'!$D$11-OffsetY)/Ecran)*'Calculs 3D'!$D$32)+(((($D134*$P$4)+'Calculs 3D'!$E$11-OffsetZ)/Ecran)*'Calculs 3D'!$E$32)),0)</f>
        <v>0.12232352614312622</v>
      </c>
      <c r="R134" s="105">
        <f>IF(Body7Actif=TRUE,((((($B134*$R$4)+'Calculs 3D'!$C$12-OffsetX)/Ecran)*'Calculs 3D'!$C$31)+(((($C134*$R$4)+'Calculs 3D'!$D$12-OffsetY)/Ecran)*'Calculs 3D'!$D$31)+(((($D134*$R$4)+'Calculs 3D'!$E$12-OffsetZ)/Ecran)*'Calculs 3D'!$E$31)),0)</f>
        <v>-0.27650167722189378</v>
      </c>
      <c r="S134" s="105">
        <f>IF(Body7Actif=TRUE,((((($B134*$R$4)+'Calculs 3D'!$C$12-OffsetX)/Ecran)*'Calculs 3D'!$C$32)+(((($C134*$R$4)+'Calculs 3D'!$D$12-OffsetY)/Ecran)*'Calculs 3D'!$D$32)+(((($D134*$R$4)+'Calculs 3D'!$E$12-OffsetZ)/Ecran)*'Calculs 3D'!$E$32)),0)</f>
        <v>5.1566501809587842E-2</v>
      </c>
      <c r="T134" s="105">
        <f>IF(Body8Actif=TRUE,((((($B134*$T$4)+'Calculs 3D'!$C$13-OffsetX)/Ecran)*'Calculs 3D'!$C$31)+(((($C134*$T$4)+'Calculs 3D'!$D$13-OffsetY)/Ecran)*'Calculs 3D'!$D$31)+(((($D134*$T$4)+'Calculs 3D'!$E$13-OffsetZ)/Ecran)*'Calculs 3D'!$E$31)),0)</f>
        <v>0.16969881758649014</v>
      </c>
      <c r="U134" s="105">
        <f>IF(Body8Actif=TRUE,((((($B134*$T$4)+'Calculs 3D'!$C$13-OffsetX)/Ecran)*'Calculs 3D'!$C$32)+(((($C134*$T$4)+'Calculs 3D'!$D$13-OffsetY)/Ecran)*'Calculs 3D'!$D$32)+(((($D134*$T$4)+'Calculs 3D'!$E$13-OffsetZ)/Ecran)*'Calculs 3D'!$E$32)),0)</f>
        <v>-0.13445804601066949</v>
      </c>
      <c r="V134" s="105">
        <f>IF(Body9Actif=TRUE,((((($B134*$V$4)+'Calculs 3D'!$C$14-OffsetX)/Ecran)*'Calculs 3D'!$C$31)+(((($C134*$V$4)+'Calculs 3D'!$D$14-OffsetY)/Ecran)*'Calculs 3D'!$D$31)+(((($D134*$V$4)+'Calculs 3D'!$E$14-OffsetZ)/Ecran)*'Calculs 3D'!$E$31)),0)</f>
        <v>-0.17553876597881149</v>
      </c>
      <c r="W134" s="105">
        <f>IF(Body9Actif=TRUE,((((($B134*$V$4)+'Calculs 3D'!$C$14-OffsetX)/Ecran)*'Calculs 3D'!$C$32)+(((($C134*$V$4)+'Calculs 3D'!$D$14-OffsetY)/Ecran)*'Calculs 3D'!$D$32)+(((($D134*$V$4)+'Calculs 3D'!$E$14-OffsetZ)/Ecran)*'Calculs 3D'!$E$32)),0)</f>
        <v>0.28327966340330979</v>
      </c>
      <c r="X134" s="105">
        <f>IF(Body10Actif=TRUE,((((($B134*$X$4)+'Calculs 3D'!$C$15-OffsetX)/Ecran)*'Calculs 3D'!$C$31)+(((($C134*$X$4)+'Calculs 3D'!$D$15-OffsetY)/Ecran)*'Calculs 3D'!$D$31)+(((($D134*$X$4)+'Calculs 3D'!$E$15-OffsetZ)/Ecran)*'Calculs 3D'!$E$31)),0)</f>
        <v>-1.2242212458016072E-2</v>
      </c>
      <c r="Y134" s="105">
        <f>IF(Body10Actif=TRUE,((((($B134*$X$4)+'Calculs 3D'!$C$15-OffsetX)/Ecran)*'Calculs 3D'!$C$32)+(((($C134*$X$4)+'Calculs 3D'!$D$15-OffsetY)/Ecran)*'Calculs 3D'!$D$32)+(((($D134*$X$4)+'Calculs 3D'!$E$15-OffsetZ)/Ecran)*'Calculs 3D'!$E$32)),0)</f>
        <v>0.28440269676804197</v>
      </c>
    </row>
    <row r="135" spans="2:25" x14ac:dyDescent="0.3">
      <c r="B135" s="102">
        <v>0.92252482080629894</v>
      </c>
      <c r="C135" s="102">
        <v>-0.29974648454369918</v>
      </c>
      <c r="D135" s="102">
        <v>-0.25</v>
      </c>
      <c r="F135" s="105">
        <f>IF(Body1Actif=TRUE,((((($B135*$F$4)+'Calculs 3D'!$C$6-OffsetX)/Ecran)*'Calculs 3D'!$C$31)+(((($C135*$F$4)+'Calculs 3D'!$D$6-OffsetY)/Ecran)*'Calculs 3D'!$D$31)+(((($D135*$F$4)+'Calculs 3D'!$E$6-OffsetZ)/Ecran)*'Calculs 3D'!$E$31)),0)</f>
        <v>5.2732552154006615E-2</v>
      </c>
      <c r="G135" s="105">
        <f>IF(Body1Actif=TRUE,((((($B135*$F$4)+'Calculs 3D'!$C$6-OffsetX)/Ecran)*'Calculs 3D'!$C$32)+(((($C135*$F$4)+'Calculs 3D'!$D$6-OffsetY)/Ecran)*'Calculs 3D'!$D$32)+(((($D135*$F$4)+'Calculs 3D'!$E$6-OffsetZ)/Ecran)*'Calculs 3D'!$E$32)),0)</f>
        <v>0.26138737897065462</v>
      </c>
      <c r="H135" s="105">
        <f>IF(Body2Actif=TRUE,((((($B135*$H$4)+'Calculs 3D'!$C$7-OffsetX)/Ecran)*'Calculs 3D'!$C$31)+(((($C135*$H$4)+'Calculs 3D'!$D$7-OffsetY)/Ecran)*'Calculs 3D'!$D$31)+(((($D135*$H$4)+'Calculs 3D'!$E$7-OffsetZ)/Ecran)*'Calculs 3D'!$E$31)),0)</f>
        <v>3.3641781457342701E-2</v>
      </c>
      <c r="I135" s="105">
        <f>IF(Body2Actif=TRUE,((((($B135*$H$4)+'Calculs 3D'!$C$7-OffsetX)/Ecran)*'Calculs 3D'!$C$32)+(((($C135*$H$4)+'Calculs 3D'!$D$7-OffsetY)/Ecran)*'Calculs 3D'!$D$32)+(((($D135*$H$4)+'Calculs 3D'!$E$7-OffsetZ)/Ecran)*'Calculs 3D'!$E$32)),0)</f>
        <v>2.067006441222554E-2</v>
      </c>
      <c r="J135" s="105">
        <f>IF(Body3Actif=TRUE,((((($B135*$J$4)+'Calculs 3D'!$C$8-OffsetX)/Ecran)*'Calculs 3D'!$C$31)+(((($C135*$J$4)+'Calculs 3D'!$D$8-OffsetY)/Ecran)*'Calculs 3D'!$D$31)+(((($D135*$J$4)+'Calculs 3D'!$E$8-OffsetZ)/Ecran)*'Calculs 3D'!$E$31)),0)</f>
        <v>0.22239033488127741</v>
      </c>
      <c r="K135" s="105">
        <f>IF(Body3Actif=TRUE,((((($B135*$J$4)+'Calculs 3D'!$C$8-OffsetX)/Ecran)*'Calculs 3D'!$C$32)+(((($C135*$J$4)+'Calculs 3D'!$D$8-OffsetY)/Ecran)*'Calculs 3D'!$D$32)+(((($D135*$J$4)+'Calculs 3D'!$E$8-OffsetZ)/Ecran)*'Calculs 3D'!$E$32)),0)</f>
        <v>-8.5155865612274659E-2</v>
      </c>
      <c r="L135" s="105">
        <f>IF(Body4Actif=TRUE,((((($B135*$L$4)+'Calculs 3D'!$C$9-OffsetX)/Ecran)*'Calculs 3D'!$C$31)+(((($C135*$L$4)+'Calculs 3D'!$D$9-OffsetY)/Ecran)*'Calculs 3D'!$D$31)+(((($D135*$L$4)+'Calculs 3D'!$E$9-OffsetZ)/Ecran)*'Calculs 3D'!$E$31)),0)</f>
        <v>-8.9675510039645467E-2</v>
      </c>
      <c r="M135" s="105">
        <f>IF(Body4Actif=TRUE,((((($B135*$L$4)+'Calculs 3D'!$C$9-OffsetX)/Ecran)*'Calculs 3D'!$C$32)+(((($C135*$L$4)+'Calculs 3D'!$D$9-OffsetY)/Ecran)*'Calculs 3D'!$D$32)+(((($D135*$L$4)+'Calculs 3D'!$E$9-OffsetZ)/Ecran)*'Calculs 3D'!$E$32)),0)</f>
        <v>-0.17768628501381944</v>
      </c>
      <c r="N135" s="105">
        <f>IF(Body5Actif=TRUE,((((($B135*$N$4)+'Calculs 3D'!$C$10-OffsetX)/Ecran)*'Calculs 3D'!$C$31)+(((($C135*$N$4)+'Calculs 3D'!$D$10-OffsetY)/Ecran)*'Calculs 3D'!$D$31)+(((($D135*$N$4)+'Calculs 3D'!$E$10-OffsetZ)/Ecran)*'Calculs 3D'!$E$31)),0)</f>
        <v>6.3930054402961045E-3</v>
      </c>
      <c r="O135" s="105">
        <f>IF(Body5Actif=TRUE,((((($B135*$N$4)+'Calculs 3D'!$C$10-OffsetX)/Ecran)*'Calculs 3D'!$C$32)+(((($C135*$N$4)+'Calculs 3D'!$D$10-OffsetY)/Ecran)*'Calculs 3D'!$D$32)+(((($D135*$N$4)+'Calculs 3D'!$E$10-OffsetZ)/Ecran)*'Calculs 3D'!$E$32)),0)</f>
        <v>-1.1561701870922335E-2</v>
      </c>
      <c r="P135" s="105">
        <f>IF(Body6Actif=TRUE,((((($B135*$P$4)+'Calculs 3D'!$C$11-OffsetX)/Ecran)*'Calculs 3D'!$C$31)+(((($C135*$P$4)+'Calculs 3D'!$D$11-OffsetY)/Ecran)*'Calculs 3D'!$D$31)+(((($D135*$P$4)+'Calculs 3D'!$E$11-OffsetZ)/Ecran)*'Calculs 3D'!$E$31)),0)</f>
        <v>0.17870118412800146</v>
      </c>
      <c r="Q135" s="105">
        <f>IF(Body6Actif=TRUE,((((($B135*$P$4)+'Calculs 3D'!$C$11-OffsetX)/Ecran)*'Calculs 3D'!$C$32)+(((($C135*$P$4)+'Calculs 3D'!$D$11-OffsetY)/Ecran)*'Calculs 3D'!$D$32)+(((($D135*$P$4)+'Calculs 3D'!$E$11-OffsetZ)/Ecran)*'Calculs 3D'!$E$32)),0)</f>
        <v>0.12351737089168097</v>
      </c>
      <c r="R135" s="105">
        <f>IF(Body7Actif=TRUE,((((($B135*$R$4)+'Calculs 3D'!$C$12-OffsetX)/Ecran)*'Calculs 3D'!$C$31)+(((($C135*$R$4)+'Calculs 3D'!$D$12-OffsetY)/Ecran)*'Calculs 3D'!$D$31)+(((($D135*$R$4)+'Calculs 3D'!$E$12-OffsetZ)/Ecran)*'Calculs 3D'!$E$31)),0)</f>
        <v>-0.2726797036944647</v>
      </c>
      <c r="S135" s="105">
        <f>IF(Body7Actif=TRUE,((((($B135*$R$4)+'Calculs 3D'!$C$12-OffsetX)/Ecran)*'Calculs 3D'!$C$32)+(((($C135*$R$4)+'Calculs 3D'!$D$12-OffsetY)/Ecran)*'Calculs 3D'!$D$32)+(((($D135*$R$4)+'Calculs 3D'!$E$12-OffsetZ)/Ecran)*'Calculs 3D'!$E$32)),0)</f>
        <v>5.2765436521265113E-2</v>
      </c>
      <c r="T135" s="105">
        <f>IF(Body8Actif=TRUE,((((($B135*$T$4)+'Calculs 3D'!$C$13-OffsetX)/Ecran)*'Calculs 3D'!$C$31)+(((($C135*$T$4)+'Calculs 3D'!$D$13-OffsetY)/Ecran)*'Calculs 3D'!$D$31)+(((($D135*$T$4)+'Calculs 3D'!$E$13-OffsetZ)/Ecran)*'Calculs 3D'!$E$31)),0)</f>
        <v>0.17107725241244162</v>
      </c>
      <c r="U135" s="105">
        <f>IF(Body8Actif=TRUE,((((($B135*$T$4)+'Calculs 3D'!$C$13-OffsetX)/Ecran)*'Calculs 3D'!$C$32)+(((($C135*$T$4)+'Calculs 3D'!$D$13-OffsetY)/Ecran)*'Calculs 3D'!$D$32)+(((($D135*$T$4)+'Calculs 3D'!$E$13-OffsetZ)/Ecran)*'Calculs 3D'!$E$32)),0)</f>
        <v>-0.13402563763610659</v>
      </c>
      <c r="V135" s="105">
        <f>IF(Body9Actif=TRUE,((((($B135*$V$4)+'Calculs 3D'!$C$14-OffsetX)/Ecran)*'Calculs 3D'!$C$31)+(((($C135*$V$4)+'Calculs 3D'!$D$14-OffsetY)/Ecran)*'Calculs 3D'!$D$31)+(((($D135*$V$4)+'Calculs 3D'!$E$14-OffsetZ)/Ecran)*'Calculs 3D'!$E$31)),0)</f>
        <v>-0.1736261656841884</v>
      </c>
      <c r="W135" s="105">
        <f>IF(Body9Actif=TRUE,((((($B135*$V$4)+'Calculs 3D'!$C$14-OffsetX)/Ecran)*'Calculs 3D'!$C$32)+(((($C135*$V$4)+'Calculs 3D'!$D$14-OffsetY)/Ecran)*'Calculs 3D'!$D$32)+(((($D135*$V$4)+'Calculs 3D'!$E$14-OffsetZ)/Ecran)*'Calculs 3D'!$E$32)),0)</f>
        <v>0.28387963691603324</v>
      </c>
      <c r="X135" s="105">
        <f>IF(Body10Actif=TRUE,((((($B135*$X$4)+'Calculs 3D'!$C$15-OffsetX)/Ecran)*'Calculs 3D'!$C$31)+(((($C135*$X$4)+'Calculs 3D'!$D$15-OffsetY)/Ecran)*'Calculs 3D'!$D$31)+(((($D135*$X$4)+'Calculs 3D'!$E$15-OffsetZ)/Ecran)*'Calculs 3D'!$E$31)),0)</f>
        <v>-9.3552301088406092E-3</v>
      </c>
      <c r="Y135" s="105">
        <f>IF(Body10Actif=TRUE,((((($B135*$X$4)+'Calculs 3D'!$C$15-OffsetX)/Ecran)*'Calculs 3D'!$C$32)+(((($C135*$X$4)+'Calculs 3D'!$D$15-OffsetY)/Ecran)*'Calculs 3D'!$D$32)+(((($D135*$X$4)+'Calculs 3D'!$E$15-OffsetZ)/Ecran)*'Calculs 3D'!$E$32)),0)</f>
        <v>0.28530832924445382</v>
      </c>
    </row>
    <row r="136" spans="2:25" x14ac:dyDescent="0.3">
      <c r="B136" s="103">
        <v>0.97</v>
      </c>
      <c r="C136" s="103">
        <v>-2.3767880025227226E-16</v>
      </c>
      <c r="D136" s="103">
        <v>-0.25</v>
      </c>
      <c r="F136" s="105">
        <f>IF(Body1Actif=TRUE,((((($B136*$F$4)+'Calculs 3D'!$C$6-OffsetX)/Ecran)*'Calculs 3D'!$C$31)+(((($C136*$F$4)+'Calculs 3D'!$D$6-OffsetY)/Ecran)*'Calculs 3D'!$D$31)+(((($D136*$F$4)+'Calculs 3D'!$E$6-OffsetZ)/Ecran)*'Calculs 3D'!$E$31)),0)</f>
        <v>5.3543044289440254E-2</v>
      </c>
      <c r="G136" s="105">
        <f>IF(Body1Actif=TRUE,((((($B136*$F$4)+'Calculs 3D'!$C$6-OffsetX)/Ecran)*'Calculs 3D'!$C$32)+(((($C136*$F$4)+'Calculs 3D'!$D$6-OffsetY)/Ecran)*'Calculs 3D'!$D$32)+(((($D136*$F$4)+'Calculs 3D'!$E$6-OffsetZ)/Ecran)*'Calculs 3D'!$E$32)),0)</f>
        <v>0.26188636775449553</v>
      </c>
      <c r="H136" s="105">
        <f>IF(Body2Actif=TRUE,((((($B136*$H$4)+'Calculs 3D'!$C$7-OffsetX)/Ecran)*'Calculs 3D'!$C$31)+(((($C136*$H$4)+'Calculs 3D'!$D$7-OffsetY)/Ecran)*'Calculs 3D'!$D$31)+(((($D136*$H$4)+'Calculs 3D'!$E$7-OffsetZ)/Ecran)*'Calculs 3D'!$E$31)),0)</f>
        <v>3.6800979658193615E-2</v>
      </c>
      <c r="I136" s="105">
        <f>IF(Body2Actif=TRUE,((((($B136*$H$4)+'Calculs 3D'!$C$7-OffsetX)/Ecran)*'Calculs 3D'!$C$32)+(((($C136*$H$4)+'Calculs 3D'!$D$7-OffsetY)/Ecran)*'Calculs 3D'!$D$32)+(((($D136*$H$4)+'Calculs 3D'!$E$7-OffsetZ)/Ecran)*'Calculs 3D'!$E$32)),0)</f>
        <v>2.2615061037407583E-2</v>
      </c>
      <c r="J136" s="105">
        <f>IF(Body3Actif=TRUE,((((($B136*$J$4)+'Calculs 3D'!$C$8-OffsetX)/Ecran)*'Calculs 3D'!$C$31)+(((($C136*$J$4)+'Calculs 3D'!$D$8-OffsetY)/Ecran)*'Calculs 3D'!$D$31)+(((($D136*$J$4)+'Calculs 3D'!$E$8-OffsetZ)/Ecran)*'Calculs 3D'!$E$31)),0)</f>
        <v>0.22379435273900616</v>
      </c>
      <c r="K136" s="105">
        <f>IF(Body3Actif=TRUE,((((($B136*$J$4)+'Calculs 3D'!$C$8-OffsetX)/Ecran)*'Calculs 3D'!$C$32)+(((($C136*$J$4)+'Calculs 3D'!$D$8-OffsetY)/Ecran)*'Calculs 3D'!$D$32)+(((($D136*$J$4)+'Calculs 3D'!$E$8-OffsetZ)/Ecran)*'Calculs 3D'!$E$32)),0)</f>
        <v>-8.4291465906601831E-2</v>
      </c>
      <c r="L136" s="105">
        <f>IF(Body4Actif=TRUE,((((($B136*$L$4)+'Calculs 3D'!$C$9-OffsetX)/Ecran)*'Calculs 3D'!$C$31)+(((($C136*$L$4)+'Calculs 3D'!$D$9-OffsetY)/Ecran)*'Calculs 3D'!$D$31)+(((($D136*$L$4)+'Calculs 3D'!$E$9-OffsetZ)/Ecran)*'Calculs 3D'!$E$31)),0)</f>
        <v>-8.7849876019949868E-2</v>
      </c>
      <c r="M136" s="105">
        <f>IF(Body4Actif=TRUE,((((($B136*$L$4)+'Calculs 3D'!$C$9-OffsetX)/Ecran)*'Calculs 3D'!$C$32)+(((($C136*$L$4)+'Calculs 3D'!$D$9-OffsetY)/Ecran)*'Calculs 3D'!$D$32)+(((($D136*$L$4)+'Calculs 3D'!$E$9-OffsetZ)/Ecran)*'Calculs 3D'!$E$32)),0)</f>
        <v>-0.17656231247984894</v>
      </c>
      <c r="N136" s="105">
        <f>IF(Body5Actif=TRUE,((((($B136*$N$4)+'Calculs 3D'!$C$10-OffsetX)/Ecran)*'Calculs 3D'!$C$31)+(((($C136*$N$4)+'Calculs 3D'!$D$10-OffsetY)/Ecran)*'Calculs 3D'!$D$31)+(((($D136*$N$4)+'Calculs 3D'!$E$10-OffsetZ)/Ecran)*'Calculs 3D'!$E$31)),0)</f>
        <v>8.4771342718938606E-3</v>
      </c>
      <c r="O136" s="105">
        <f>IF(Body5Actif=TRUE,((((($B136*$N$4)+'Calculs 3D'!$C$10-OffsetX)/Ecran)*'Calculs 3D'!$C$32)+(((($C136*$N$4)+'Calculs 3D'!$D$10-OffsetY)/Ecran)*'Calculs 3D'!$D$32)+(((($D136*$N$4)+'Calculs 3D'!$E$10-OffsetZ)/Ecran)*'Calculs 3D'!$E$32)),0)</f>
        <v>-1.0278584039692118E-2</v>
      </c>
      <c r="P136" s="105">
        <f>IF(Body6Actif=TRUE,((((($B136*$P$4)+'Calculs 3D'!$C$11-OffsetX)/Ecran)*'Calculs 3D'!$C$31)+(((($C136*$P$4)+'Calculs 3D'!$D$11-OffsetY)/Ecran)*'Calculs 3D'!$D$31)+(((($D136*$P$4)+'Calculs 3D'!$E$11-OffsetZ)/Ecran)*'Calculs 3D'!$E$31)),0)</f>
        <v>0.18172144260548431</v>
      </c>
      <c r="Q136" s="105">
        <f>IF(Body6Actif=TRUE,((((($B136*$P$4)+'Calculs 3D'!$C$11-OffsetX)/Ecran)*'Calculs 3D'!$C$32)+(((($C136*$P$4)+'Calculs 3D'!$D$11-OffsetY)/Ecran)*'Calculs 3D'!$D$32)+(((($D136*$P$4)+'Calculs 3D'!$E$11-OffsetZ)/Ecran)*'Calculs 3D'!$E$32)),0)</f>
        <v>0.12537682768179287</v>
      </c>
      <c r="R136" s="105">
        <f>IF(Body7Actif=TRUE,((((($B136*$R$4)+'Calculs 3D'!$C$12-OffsetX)/Ecran)*'Calculs 3D'!$C$31)+(((($C136*$R$4)+'Calculs 3D'!$D$12-OffsetY)/Ecran)*'Calculs 3D'!$D$31)+(((($D136*$R$4)+'Calculs 3D'!$E$12-OffsetZ)/Ecran)*'Calculs 3D'!$E$31)),0)</f>
        <v>-0.26964656832969025</v>
      </c>
      <c r="S136" s="105">
        <f>IF(Body7Actif=TRUE,((((($B136*$R$4)+'Calculs 3D'!$C$12-OffsetX)/Ecran)*'Calculs 3D'!$C$32)+(((($C136*$R$4)+'Calculs 3D'!$D$12-OffsetY)/Ecran)*'Calculs 3D'!$D$32)+(((($D136*$R$4)+'Calculs 3D'!$E$12-OffsetZ)/Ecran)*'Calculs 3D'!$E$32)),0)</f>
        <v>5.4632821114804567E-2</v>
      </c>
      <c r="T136" s="105">
        <f>IF(Body8Actif=TRUE,((((($B136*$T$4)+'Calculs 3D'!$C$13-OffsetX)/Ecran)*'Calculs 3D'!$C$31)+(((($C136*$T$4)+'Calculs 3D'!$D$13-OffsetY)/Ecran)*'Calculs 3D'!$D$31)+(((($D136*$T$4)+'Calculs 3D'!$E$13-OffsetZ)/Ecran)*'Calculs 3D'!$E$31)),0)</f>
        <v>0.17217118448408603</v>
      </c>
      <c r="U136" s="105">
        <f>IF(Body8Actif=TRUE,((((($B136*$T$4)+'Calculs 3D'!$C$13-OffsetX)/Ecran)*'Calculs 3D'!$C$32)+(((($C136*$T$4)+'Calculs 3D'!$D$13-OffsetY)/Ecran)*'Calculs 3D'!$D$32)+(((($D136*$T$4)+'Calculs 3D'!$E$13-OffsetZ)/Ecran)*'Calculs 3D'!$E$32)),0)</f>
        <v>-0.13335214580297197</v>
      </c>
      <c r="V136" s="105">
        <f>IF(Body9Actif=TRUE,((((($B136*$V$4)+'Calculs 3D'!$C$14-OffsetX)/Ecran)*'Calculs 3D'!$C$31)+(((($C136*$V$4)+'Calculs 3D'!$D$14-OffsetY)/Ecran)*'Calculs 3D'!$D$31)+(((($D136*$V$4)+'Calculs 3D'!$E$14-OffsetZ)/Ecran)*'Calculs 3D'!$E$31)),0)</f>
        <v>-0.17210831749642197</v>
      </c>
      <c r="W136" s="105">
        <f>IF(Body9Actif=TRUE,((((($B136*$V$4)+'Calculs 3D'!$C$14-OffsetX)/Ecran)*'Calculs 3D'!$C$32)+(((($C136*$V$4)+'Calculs 3D'!$D$14-OffsetY)/Ecran)*'Calculs 3D'!$D$32)+(((($D136*$V$4)+'Calculs 3D'!$E$14-OffsetZ)/Ecran)*'Calculs 3D'!$E$32)),0)</f>
        <v>0.28481411757063391</v>
      </c>
      <c r="X136" s="105">
        <f>IF(Body10Actif=TRUE,((((($B136*$X$4)+'Calculs 3D'!$C$15-OffsetX)/Ecran)*'Calculs 3D'!$C$31)+(((($C136*$X$4)+'Calculs 3D'!$D$15-OffsetY)/Ecran)*'Calculs 3D'!$D$31)+(((($D136*$X$4)+'Calculs 3D'!$E$15-OffsetZ)/Ecran)*'Calculs 3D'!$E$31)),0)</f>
        <v>-7.0641079443565513E-3</v>
      </c>
      <c r="Y136" s="105">
        <f>IF(Body10Actif=TRUE,((((($B136*$X$4)+'Calculs 3D'!$C$15-OffsetX)/Ecran)*'Calculs 3D'!$C$32)+(((($C136*$X$4)+'Calculs 3D'!$D$15-OffsetY)/Ecran)*'Calculs 3D'!$D$32)+(((($D136*$X$4)+'Calculs 3D'!$E$15-OffsetZ)/Ecran)*'Calculs 3D'!$E$32)),0)</f>
        <v>0.28671888489639141</v>
      </c>
    </row>
    <row r="137" spans="2:25" x14ac:dyDescent="0.3">
      <c r="B137" s="19"/>
      <c r="C137" s="19"/>
      <c r="D137" s="19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2:25" x14ac:dyDescent="0.3">
      <c r="B138" s="101">
        <v>0.86</v>
      </c>
      <c r="C138" s="101">
        <v>0</v>
      </c>
      <c r="D138" s="101">
        <v>-0.5</v>
      </c>
      <c r="F138" s="105">
        <f>IF(Body1Actif=TRUE,((((($B138*$F$4)+'Calculs 3D'!$C$6-OffsetX)/Ecran)*'Calculs 3D'!$C$31)+(((($C138*$F$4)+'Calculs 3D'!$D$6-OffsetY)/Ecran)*'Calculs 3D'!$D$31)+(((($D138*$F$4)+'Calculs 3D'!$E$6-OffsetZ)/Ecran)*'Calculs 3D'!$E$31)),0)</f>
        <v>5.32069354290549E-2</v>
      </c>
      <c r="G138" s="105">
        <f>IF(Body1Actif=TRUE,((((($B138*$F$4)+'Calculs 3D'!$C$6-OffsetX)/Ecran)*'Calculs 3D'!$C$32)+(((($C138*$F$4)+'Calculs 3D'!$D$6-OffsetY)/Ecran)*'Calculs 3D'!$D$32)+(((($D138*$F$4)+'Calculs 3D'!$E$6-OffsetZ)/Ecran)*'Calculs 3D'!$E$32)),0)</f>
        <v>0.26129266125111955</v>
      </c>
      <c r="H138" s="105">
        <f>IF(Body2Actif=TRUE,((((($B138*$H$4)+'Calculs 3D'!$C$7-OffsetX)/Ecran)*'Calculs 3D'!$C$31)+(((($C138*$H$4)+'Calculs 3D'!$D$7-OffsetY)/Ecran)*'Calculs 3D'!$D$31)+(((($D138*$H$4)+'Calculs 3D'!$E$7-OffsetZ)/Ecran)*'Calculs 3D'!$E$31)),0)</f>
        <v>3.5490868849467061E-2</v>
      </c>
      <c r="I138" s="105">
        <f>IF(Body2Actif=TRUE,((((($B138*$H$4)+'Calculs 3D'!$C$7-OffsetX)/Ecran)*'Calculs 3D'!$C$32)+(((($C138*$H$4)+'Calculs 3D'!$D$7-OffsetY)/Ecran)*'Calculs 3D'!$D$32)+(((($D138*$H$4)+'Calculs 3D'!$E$7-OffsetZ)/Ecran)*'Calculs 3D'!$E$32)),0)</f>
        <v>2.0300866444642914E-2</v>
      </c>
      <c r="J138" s="105">
        <f>IF(Body3Actif=TRUE,((((($B138*$J$4)+'Calculs 3D'!$C$8-OffsetX)/Ecran)*'Calculs 3D'!$C$31)+(((($C138*$J$4)+'Calculs 3D'!$D$8-OffsetY)/Ecran)*'Calculs 3D'!$D$31)+(((($D138*$J$4)+'Calculs 3D'!$E$8-OffsetZ)/Ecran)*'Calculs 3D'!$E$31)),0)</f>
        <v>0.22321211039328689</v>
      </c>
      <c r="K138" s="105">
        <f>IF(Body3Actif=TRUE,((((($B138*$J$4)+'Calculs 3D'!$C$8-OffsetX)/Ecran)*'Calculs 3D'!$C$32)+(((($C138*$J$4)+'Calculs 3D'!$D$8-OffsetY)/Ecran)*'Calculs 3D'!$D$32)+(((($D138*$J$4)+'Calculs 3D'!$E$8-OffsetZ)/Ecran)*'Calculs 3D'!$E$32)),0)</f>
        <v>-8.5319945390296692E-2</v>
      </c>
      <c r="L138" s="105">
        <f>IF(Body4Actif=TRUE,((((($B138*$L$4)+'Calculs 3D'!$C$9-OffsetX)/Ecran)*'Calculs 3D'!$C$31)+(((($C138*$L$4)+'Calculs 3D'!$D$9-OffsetY)/Ecran)*'Calculs 3D'!$D$31)+(((($D138*$L$4)+'Calculs 3D'!$E$9-OffsetZ)/Ecran)*'Calculs 3D'!$E$31)),0)</f>
        <v>-8.8606961428943171E-2</v>
      </c>
      <c r="M138" s="105">
        <f>IF(Body4Actif=TRUE,((((($B138*$L$4)+'Calculs 3D'!$C$9-OffsetX)/Ecran)*'Calculs 3D'!$C$32)+(((($C138*$L$4)+'Calculs 3D'!$D$9-OffsetY)/Ecran)*'Calculs 3D'!$D$32)+(((($D138*$L$4)+'Calculs 3D'!$E$9-OffsetZ)/Ecran)*'Calculs 3D'!$E$32)),0)</f>
        <v>-0.17789963673370832</v>
      </c>
      <c r="N138" s="105">
        <f>IF(Body5Actif=TRUE,((((($B138*$N$4)+'Calculs 3D'!$C$10-OffsetX)/Ecran)*'Calculs 3D'!$C$31)+(((($C138*$N$4)+'Calculs 3D'!$D$10-OffsetY)/Ecran)*'Calculs 3D'!$D$31)+(((($D138*$N$4)+'Calculs 3D'!$E$10-OffsetZ)/Ecran)*'Calculs 3D'!$E$31)),0)</f>
        <v>7.6128517750503758E-3</v>
      </c>
      <c r="O138" s="105">
        <f>IF(Body5Actif=TRUE,((((($B138*$N$4)+'Calculs 3D'!$C$10-OffsetX)/Ecran)*'Calculs 3D'!$C$32)+(((($C138*$N$4)+'Calculs 3D'!$D$10-OffsetY)/Ecran)*'Calculs 3D'!$D$32)+(((($D138*$N$4)+'Calculs 3D'!$E$10-OffsetZ)/Ecran)*'Calculs 3D'!$E$32)),0)</f>
        <v>-1.1805262445437406E-2</v>
      </c>
      <c r="P138" s="105">
        <f>IF(Body6Actif=TRUE,((((($B138*$P$4)+'Calculs 3D'!$C$11-OffsetX)/Ecran)*'Calculs 3D'!$C$31)+(((($C138*$P$4)+'Calculs 3D'!$D$11-OffsetY)/Ecran)*'Calculs 3D'!$D$31)+(((($D138*$P$4)+'Calculs 3D'!$E$11-OffsetZ)/Ecran)*'Calculs 3D'!$E$31)),0)</f>
        <v>0.18046894971806984</v>
      </c>
      <c r="Q138" s="105">
        <f>IF(Body6Actif=TRUE,((((($B138*$P$4)+'Calculs 3D'!$C$11-OffsetX)/Ecran)*'Calculs 3D'!$C$32)+(((($C138*$P$4)+'Calculs 3D'!$D$11-OffsetY)/Ecran)*'Calculs 3D'!$D$32)+(((($D138*$P$4)+'Calculs 3D'!$E$11-OffsetZ)/Ecran)*'Calculs 3D'!$E$32)),0)</f>
        <v>0.12316441003877834</v>
      </c>
      <c r="R138" s="105">
        <f>IF(Body7Actif=TRUE,((((($B138*$R$4)+'Calculs 3D'!$C$12-OffsetX)/Ecran)*'Calculs 3D'!$C$31)+(((($C138*$R$4)+'Calculs 3D'!$D$12-OffsetY)/Ecran)*'Calculs 3D'!$D$31)+(((($D138*$R$4)+'Calculs 3D'!$E$12-OffsetZ)/Ecran)*'Calculs 3D'!$E$31)),0)</f>
        <v>-0.27090440122686388</v>
      </c>
      <c r="S138" s="105">
        <f>IF(Body7Actif=TRUE,((((($B138*$R$4)+'Calculs 3D'!$C$12-OffsetX)/Ecran)*'Calculs 3D'!$C$32)+(((($C138*$R$4)+'Calculs 3D'!$D$12-OffsetY)/Ecran)*'Calculs 3D'!$D$32)+(((($D138*$R$4)+'Calculs 3D'!$E$12-OffsetZ)/Ecran)*'Calculs 3D'!$E$32)),0)</f>
        <v>5.2410970817981267E-2</v>
      </c>
      <c r="T138" s="105">
        <f>IF(Body8Actif=TRUE,((((($B138*$T$4)+'Calculs 3D'!$C$13-OffsetX)/Ecran)*'Calculs 3D'!$C$31)+(((($C138*$T$4)+'Calculs 3D'!$D$13-OffsetY)/Ecran)*'Calculs 3D'!$D$31)+(((($D138*$T$4)+'Calculs 3D'!$E$13-OffsetZ)/Ecran)*'Calculs 3D'!$E$31)),0)</f>
        <v>0.17171753386137806</v>
      </c>
      <c r="U138" s="105">
        <f>IF(Body8Actif=TRUE,((((($B138*$T$4)+'Calculs 3D'!$C$13-OffsetX)/Ecran)*'Calculs 3D'!$C$32)+(((($C138*$T$4)+'Calculs 3D'!$D$13-OffsetY)/Ecran)*'Calculs 3D'!$D$32)+(((($D138*$T$4)+'Calculs 3D'!$E$13-OffsetZ)/Ecran)*'Calculs 3D'!$E$32)),0)</f>
        <v>-0.13415347940855876</v>
      </c>
      <c r="V138" s="105">
        <f>IF(Body9Actif=TRUE,((((($B138*$V$4)+'Calculs 3D'!$C$14-OffsetX)/Ecran)*'Calculs 3D'!$C$31)+(((($C138*$V$4)+'Calculs 3D'!$D$14-OffsetY)/Ecran)*'Calculs 3D'!$D$31)+(((($D138*$V$4)+'Calculs 3D'!$E$14-OffsetZ)/Ecran)*'Calculs 3D'!$E$31)),0)</f>
        <v>-0.17273776496706919</v>
      </c>
      <c r="W138" s="105">
        <f>IF(Body9Actif=TRUE,((((($B138*$V$4)+'Calculs 3D'!$C$14-OffsetX)/Ecran)*'Calculs 3D'!$C$32)+(((($C138*$V$4)+'Calculs 3D'!$D$14-OffsetY)/Ecran)*'Calculs 3D'!$D$32)+(((($D138*$V$4)+'Calculs 3D'!$E$14-OffsetZ)/Ecran)*'Calculs 3D'!$E$32)),0)</f>
        <v>0.28370225441883146</v>
      </c>
      <c r="X138" s="105">
        <f>IF(Body10Actif=TRUE,((((($B138*$X$4)+'Calculs 3D'!$C$15-OffsetX)/Ecran)*'Calculs 3D'!$C$31)+(((($C138*$X$4)+'Calculs 3D'!$D$15-OffsetY)/Ecran)*'Calculs 3D'!$D$31)+(((($D138*$X$4)+'Calculs 3D'!$E$15-OffsetZ)/Ecran)*'Calculs 3D'!$E$31)),0)</f>
        <v>-8.0142300072885142E-3</v>
      </c>
      <c r="Y138" s="105">
        <f>IF(Body10Actif=TRUE,((((($B138*$X$4)+'Calculs 3D'!$C$15-OffsetX)/Ecran)*'Calculs 3D'!$C$32)+(((($C138*$X$4)+'Calculs 3D'!$D$15-OffsetY)/Ecran)*'Calculs 3D'!$D$32)+(((($D138*$X$4)+'Calculs 3D'!$E$15-OffsetZ)/Ecran)*'Calculs 3D'!$E$32)),0)</f>
        <v>0.28504057850745257</v>
      </c>
    </row>
    <row r="139" spans="2:25" x14ac:dyDescent="0.3">
      <c r="B139" s="102">
        <v>0.81790860401383203</v>
      </c>
      <c r="C139" s="102">
        <v>0.26575461516245474</v>
      </c>
      <c r="D139" s="102">
        <v>-0.5</v>
      </c>
      <c r="F139" s="105">
        <f>IF(Body1Actif=TRUE,((((($B139*$F$4)+'Calculs 3D'!$C$6-OffsetX)/Ecran)*'Calculs 3D'!$C$31)+(((($C139*$F$4)+'Calculs 3D'!$D$6-OffsetY)/Ecran)*'Calculs 3D'!$D$31)+(((($D139*$F$4)+'Calculs 3D'!$E$6-OffsetZ)/Ecran)*'Calculs 3D'!$E$31)),0)</f>
        <v>5.3668292609995463E-2</v>
      </c>
      <c r="G139" s="105">
        <f>IF(Body1Actif=TRUE,((((($B139*$F$4)+'Calculs 3D'!$C$6-OffsetX)/Ecran)*'Calculs 3D'!$C$32)+(((($C139*$F$4)+'Calculs 3D'!$D$6-OffsetY)/Ecran)*'Calculs 3D'!$D$32)+(((($D139*$F$4)+'Calculs 3D'!$E$6-OffsetZ)/Ecran)*'Calculs 3D'!$E$32)),0)</f>
        <v>0.26185012083032566</v>
      </c>
      <c r="H139" s="105">
        <f>IF(Body2Actif=TRUE,((((($B139*$H$4)+'Calculs 3D'!$C$7-OffsetX)/Ecran)*'Calculs 3D'!$C$31)+(((($C139*$H$4)+'Calculs 3D'!$D$7-OffsetY)/Ecran)*'Calculs 3D'!$D$31)+(((($D139*$H$4)+'Calculs 3D'!$E$7-OffsetZ)/Ecran)*'Calculs 3D'!$E$31)),0)</f>
        <v>3.7289182136242244E-2</v>
      </c>
      <c r="I139" s="105">
        <f>IF(Body2Actif=TRUE,((((($B139*$H$4)+'Calculs 3D'!$C$7-OffsetX)/Ecran)*'Calculs 3D'!$C$32)+(((($C139*$H$4)+'Calculs 3D'!$D$7-OffsetY)/Ecran)*'Calculs 3D'!$D$32)+(((($D139*$H$4)+'Calculs 3D'!$E$7-OffsetZ)/Ecran)*'Calculs 3D'!$E$32)),0)</f>
        <v>2.2473775005603519E-2</v>
      </c>
      <c r="J139" s="105">
        <f>IF(Body3Actif=TRUE,((((($B139*$J$4)+'Calculs 3D'!$C$8-OffsetX)/Ecran)*'Calculs 3D'!$C$31)+(((($C139*$J$4)+'Calculs 3D'!$D$8-OffsetY)/Ecran)*'Calculs 3D'!$D$31)+(((($D139*$J$4)+'Calculs 3D'!$E$8-OffsetZ)/Ecran)*'Calculs 3D'!$E$31)),0)</f>
        <v>0.2240113207650018</v>
      </c>
      <c r="K139" s="105">
        <f>IF(Body3Actif=TRUE,((((($B139*$J$4)+'Calculs 3D'!$C$8-OffsetX)/Ecran)*'Calculs 3D'!$C$32)+(((($C139*$J$4)+'Calculs 3D'!$D$8-OffsetY)/Ecran)*'Calculs 3D'!$D$32)+(((($D139*$J$4)+'Calculs 3D'!$E$8-OffsetZ)/Ecran)*'Calculs 3D'!$E$32)),0)</f>
        <v>-8.4354256557611654E-2</v>
      </c>
      <c r="L139" s="105">
        <f>IF(Body4Actif=TRUE,((((($B139*$L$4)+'Calculs 3D'!$C$9-OffsetX)/Ecran)*'Calculs 3D'!$C$31)+(((($C139*$L$4)+'Calculs 3D'!$D$9-OffsetY)/Ecran)*'Calculs 3D'!$D$31)+(((($D139*$L$4)+'Calculs 3D'!$E$9-OffsetZ)/Ecran)*'Calculs 3D'!$E$31)),0)</f>
        <v>-8.7567754103007406E-2</v>
      </c>
      <c r="M139" s="105">
        <f>IF(Body4Actif=TRUE,((((($B139*$L$4)+'Calculs 3D'!$C$9-OffsetX)/Ecran)*'Calculs 3D'!$C$32)+(((($C139*$L$4)+'Calculs 3D'!$D$9-OffsetY)/Ecran)*'Calculs 3D'!$D$32)+(((($D139*$L$4)+'Calculs 3D'!$E$9-OffsetZ)/Ecran)*'Calculs 3D'!$E$32)),0)</f>
        <v>-0.17664395869821534</v>
      </c>
      <c r="N139" s="105">
        <f>IF(Body5Actif=TRUE,((((($B139*$N$4)+'Calculs 3D'!$C$10-OffsetX)/Ecran)*'Calculs 3D'!$C$31)+(((($C139*$N$4)+'Calculs 3D'!$D$10-OffsetY)/Ecran)*'Calculs 3D'!$D$31)+(((($D139*$N$4)+'Calculs 3D'!$E$10-OffsetZ)/Ecran)*'Calculs 3D'!$E$31)),0)</f>
        <v>8.799202339634769E-3</v>
      </c>
      <c r="O139" s="105">
        <f>IF(Body5Actif=TRUE,((((($B139*$N$4)+'Calculs 3D'!$C$10-OffsetX)/Ecran)*'Calculs 3D'!$C$32)+(((($C139*$N$4)+'Calculs 3D'!$D$10-OffsetY)/Ecran)*'Calculs 3D'!$D$32)+(((($D139*$N$4)+'Calculs 3D'!$E$10-OffsetZ)/Ecran)*'Calculs 3D'!$E$32)),0)</f>
        <v>-1.037179069329985E-2</v>
      </c>
      <c r="P139" s="105">
        <f>IF(Body6Actif=TRUE,((((($B139*$P$4)+'Calculs 3D'!$C$11-OffsetX)/Ecran)*'Calculs 3D'!$C$31)+(((($C139*$P$4)+'Calculs 3D'!$D$11-OffsetY)/Ecran)*'Calculs 3D'!$D$31)+(((($D139*$P$4)+'Calculs 3D'!$E$11-OffsetZ)/Ecran)*'Calculs 3D'!$E$31)),0)</f>
        <v>0.18218817421879596</v>
      </c>
      <c r="Q139" s="105">
        <f>IF(Body6Actif=TRUE,((((($B139*$P$4)+'Calculs 3D'!$C$11-OffsetX)/Ecran)*'Calculs 3D'!$C$32)+(((($C139*$P$4)+'Calculs 3D'!$D$11-OffsetY)/Ecran)*'Calculs 3D'!$D$32)+(((($D139*$P$4)+'Calculs 3D'!$E$11-OffsetZ)/Ecran)*'Calculs 3D'!$E$32)),0)</f>
        <v>0.12524175532856377</v>
      </c>
      <c r="R139" s="105">
        <f>IF(Body7Actif=TRUE,((((($B139*$R$4)+'Calculs 3D'!$C$12-OffsetX)/Ecran)*'Calculs 3D'!$C$31)+(((($C139*$R$4)+'Calculs 3D'!$D$12-OffsetY)/Ecran)*'Calculs 3D'!$D$31)+(((($D139*$R$4)+'Calculs 3D'!$E$12-OffsetZ)/Ecran)*'Calculs 3D'!$E$31)),0)</f>
        <v>-0.26917784680378509</v>
      </c>
      <c r="S139" s="105">
        <f>IF(Body7Actif=TRUE,((((($B139*$R$4)+'Calculs 3D'!$C$12-OffsetX)/Ecran)*'Calculs 3D'!$C$32)+(((($C139*$R$4)+'Calculs 3D'!$D$12-OffsetY)/Ecran)*'Calculs 3D'!$D$32)+(((($D139*$R$4)+'Calculs 3D'!$E$12-OffsetZ)/Ecran)*'Calculs 3D'!$E$32)),0)</f>
        <v>5.4497172879914457E-2</v>
      </c>
      <c r="T139" s="105">
        <f>IF(Body8Actif=TRUE,((((($B139*$T$4)+'Calculs 3D'!$C$13-OffsetX)/Ecran)*'Calculs 3D'!$C$31)+(((($C139*$T$4)+'Calculs 3D'!$D$13-OffsetY)/Ecran)*'Calculs 3D'!$D$31)+(((($D139*$T$4)+'Calculs 3D'!$E$13-OffsetZ)/Ecran)*'Calculs 3D'!$E$31)),0)</f>
        <v>0.17234023381693564</v>
      </c>
      <c r="U139" s="105">
        <f>IF(Body8Actif=TRUE,((((($B139*$T$4)+'Calculs 3D'!$C$13-OffsetX)/Ecran)*'Calculs 3D'!$C$32)+(((($C139*$T$4)+'Calculs 3D'!$D$13-OffsetY)/Ecran)*'Calculs 3D'!$D$32)+(((($D139*$T$4)+'Calculs 3D'!$E$13-OffsetZ)/Ecran)*'Calculs 3D'!$E$32)),0)</f>
        <v>-0.13340106876115299</v>
      </c>
      <c r="V139" s="105">
        <f>IF(Body9Actif=TRUE,((((($B139*$V$4)+'Calculs 3D'!$C$14-OffsetX)/Ecran)*'Calculs 3D'!$C$31)+(((($C139*$V$4)+'Calculs 3D'!$D$14-OffsetY)/Ecran)*'Calculs 3D'!$D$31)+(((($D139*$V$4)+'Calculs 3D'!$E$14-OffsetZ)/Ecran)*'Calculs 3D'!$E$31)),0)</f>
        <v>-0.1718737588522794</v>
      </c>
      <c r="W139" s="105">
        <f>IF(Body9Actif=TRUE,((((($B139*$V$4)+'Calculs 3D'!$C$14-OffsetX)/Ecran)*'Calculs 3D'!$C$32)+(((($C139*$V$4)+'Calculs 3D'!$D$14-OffsetY)/Ecran)*'Calculs 3D'!$D$32)+(((($D139*$V$4)+'Calculs 3D'!$E$14-OffsetZ)/Ecran)*'Calculs 3D'!$E$32)),0)</f>
        <v>0.28474623618627731</v>
      </c>
      <c r="X139" s="105">
        <f>IF(Body10Actif=TRUE,((((($B139*$X$4)+'Calculs 3D'!$C$15-OffsetX)/Ecran)*'Calculs 3D'!$C$31)+(((($C139*$X$4)+'Calculs 3D'!$D$15-OffsetY)/Ecran)*'Calculs 3D'!$D$31)+(((($D139*$X$4)+'Calculs 3D'!$E$15-OffsetZ)/Ecran)*'Calculs 3D'!$E$31)),0)</f>
        <v>-6.7100524381486504E-3</v>
      </c>
      <c r="Y139" s="105">
        <f>IF(Body10Actif=TRUE,((((($B139*$X$4)+'Calculs 3D'!$C$15-OffsetX)/Ecran)*'Calculs 3D'!$C$32)+(((($C139*$X$4)+'Calculs 3D'!$D$15-OffsetY)/Ecran)*'Calculs 3D'!$D$32)+(((($D139*$X$4)+'Calculs 3D'!$E$15-OffsetZ)/Ecran)*'Calculs 3D'!$E$32)),0)</f>
        <v>0.28661642106271645</v>
      </c>
    </row>
    <row r="140" spans="2:25" x14ac:dyDescent="0.3">
      <c r="B140" s="102">
        <v>0.69575461516245485</v>
      </c>
      <c r="C140" s="102">
        <v>0.50549531697152694</v>
      </c>
      <c r="D140" s="102">
        <v>-0.5</v>
      </c>
      <c r="F140" s="105">
        <f>IF(Body1Actif=TRUE,((((($B140*$F$4)+'Calculs 3D'!$C$6-OffsetX)/Ecran)*'Calculs 3D'!$C$31)+(((($C140*$F$4)+'Calculs 3D'!$D$6-OffsetY)/Ecran)*'Calculs 3D'!$D$31)+(((($D140*$F$4)+'Calculs 3D'!$E$6-OffsetZ)/Ecran)*'Calculs 3D'!$E$31)),0)</f>
        <v>5.3827265460384001E-2</v>
      </c>
      <c r="G140" s="105">
        <f>IF(Body1Actif=TRUE,((((($B140*$F$4)+'Calculs 3D'!$C$6-OffsetX)/Ecran)*'Calculs 3D'!$C$32)+(((($C140*$F$4)+'Calculs 3D'!$D$6-OffsetY)/Ecran)*'Calculs 3D'!$D$32)+(((($D140*$F$4)+'Calculs 3D'!$E$6-OffsetZ)/Ecran)*'Calculs 3D'!$E$32)),0)</f>
        <v>0.26246806953416535</v>
      </c>
      <c r="H140" s="105">
        <f>IF(Body2Actif=TRUE,((((($B140*$H$4)+'Calculs 3D'!$C$7-OffsetX)/Ecran)*'Calculs 3D'!$C$31)+(((($C140*$H$4)+'Calculs 3D'!$D$7-OffsetY)/Ecran)*'Calculs 3D'!$D$31)+(((($D140*$H$4)+'Calculs 3D'!$E$7-OffsetZ)/Ecran)*'Calculs 3D'!$E$31)),0)</f>
        <v>3.7908838664633938E-2</v>
      </c>
      <c r="I140" s="105">
        <f>IF(Body2Actif=TRUE,((((($B140*$H$4)+'Calculs 3D'!$C$7-OffsetX)/Ecran)*'Calculs 3D'!$C$32)+(((($C140*$H$4)+'Calculs 3D'!$D$7-OffsetY)/Ecran)*'Calculs 3D'!$D$32)+(((($D140*$H$4)+'Calculs 3D'!$E$7-OffsetZ)/Ecran)*'Calculs 3D'!$E$32)),0)</f>
        <v>2.4882462700449654E-2</v>
      </c>
      <c r="J140" s="105">
        <f>IF(Body3Actif=TRUE,((((($B140*$J$4)+'Calculs 3D'!$C$8-OffsetX)/Ecran)*'Calculs 3D'!$C$31)+(((($C140*$J$4)+'Calculs 3D'!$D$8-OffsetY)/Ecran)*'Calculs 3D'!$D$31)+(((($D140*$J$4)+'Calculs 3D'!$E$8-OffsetZ)/Ecran)*'Calculs 3D'!$E$31)),0)</f>
        <v>0.22428670989104205</v>
      </c>
      <c r="K140" s="105">
        <f>IF(Body3Actif=TRUE,((((($B140*$J$4)+'Calculs 3D'!$C$8-OffsetX)/Ecran)*'Calculs 3D'!$C$32)+(((($C140*$J$4)+'Calculs 3D'!$D$8-OffsetY)/Ecran)*'Calculs 3D'!$D$32)+(((($D140*$J$4)+'Calculs 3D'!$E$8-OffsetZ)/Ecran)*'Calculs 3D'!$E$32)),0)</f>
        <v>-8.3283782240316656E-2</v>
      </c>
      <c r="L140" s="105">
        <f>IF(Body4Actif=TRUE,((((($B140*$L$4)+'Calculs 3D'!$C$9-OffsetX)/Ecran)*'Calculs 3D'!$C$31)+(((($C140*$L$4)+'Calculs 3D'!$D$9-OffsetY)/Ecran)*'Calculs 3D'!$D$31)+(((($D140*$L$4)+'Calculs 3D'!$E$9-OffsetZ)/Ecran)*'Calculs 3D'!$E$31)),0)</f>
        <v>-8.7209667662449905E-2</v>
      </c>
      <c r="M140" s="105">
        <f>IF(Body4Actif=TRUE,((((($B140*$L$4)+'Calculs 3D'!$C$9-OffsetX)/Ecran)*'Calculs 3D'!$C$32)+(((($C140*$L$4)+'Calculs 3D'!$D$9-OffsetY)/Ecran)*'Calculs 3D'!$D$32)+(((($D140*$L$4)+'Calculs 3D'!$E$9-OffsetZ)/Ecran)*'Calculs 3D'!$E$32)),0)</f>
        <v>-0.17525202887331581</v>
      </c>
      <c r="N140" s="105">
        <f>IF(Body5Actif=TRUE,((((($B140*$N$4)+'Calculs 3D'!$C$10-OffsetX)/Ecran)*'Calculs 3D'!$C$31)+(((($C140*$N$4)+'Calculs 3D'!$D$10-OffsetY)/Ecran)*'Calculs 3D'!$D$31)+(((($D140*$N$4)+'Calculs 3D'!$E$10-OffsetZ)/Ecran)*'Calculs 3D'!$E$31)),0)</f>
        <v>9.2079908848298909E-3</v>
      </c>
      <c r="O140" s="105">
        <f>IF(Body5Actif=TRUE,((((($B140*$N$4)+'Calculs 3D'!$C$10-OffsetX)/Ecran)*'Calculs 3D'!$C$32)+(((($C140*$N$4)+'Calculs 3D'!$D$10-OffsetY)/Ecran)*'Calculs 3D'!$D$32)+(((($D140*$N$4)+'Calculs 3D'!$E$10-OffsetZ)/Ecran)*'Calculs 3D'!$E$32)),0)</f>
        <v>-8.7827750152738738E-3</v>
      </c>
      <c r="P140" s="105">
        <f>IF(Body6Actif=TRUE,((((($B140*$P$4)+'Calculs 3D'!$C$11-OffsetX)/Ecran)*'Calculs 3D'!$C$31)+(((($C140*$P$4)+'Calculs 3D'!$D$11-OffsetY)/Ecran)*'Calculs 3D'!$D$31)+(((($D140*$P$4)+'Calculs 3D'!$E$11-OffsetZ)/Ecran)*'Calculs 3D'!$E$31)),0)</f>
        <v>0.1827805786087765</v>
      </c>
      <c r="Q140" s="105">
        <f>IF(Body6Actif=TRUE,((((($B140*$P$4)+'Calculs 3D'!$C$11-OffsetX)/Ecran)*'Calculs 3D'!$C$32)+(((($C140*$P$4)+'Calculs 3D'!$D$11-OffsetY)/Ecran)*'Calculs 3D'!$D$32)+(((($D140*$P$4)+'Calculs 3D'!$E$11-OffsetZ)/Ecran)*'Calculs 3D'!$E$32)),0)</f>
        <v>0.12754451032127306</v>
      </c>
      <c r="R140" s="105">
        <f>IF(Body7Actif=TRUE,((((($B140*$R$4)+'Calculs 3D'!$C$12-OffsetX)/Ecran)*'Calculs 3D'!$C$31)+(((($C140*$R$4)+'Calculs 3D'!$D$12-OffsetY)/Ecran)*'Calculs 3D'!$D$31)+(((($D140*$R$4)+'Calculs 3D'!$E$12-OffsetZ)/Ecran)*'Calculs 3D'!$E$31)),0)</f>
        <v>-0.2685829166946922</v>
      </c>
      <c r="S140" s="105">
        <f>IF(Body7Actif=TRUE,((((($B140*$R$4)+'Calculs 3D'!$C$12-OffsetX)/Ecran)*'Calculs 3D'!$C$32)+(((($C140*$R$4)+'Calculs 3D'!$D$12-OffsetY)/Ecran)*'Calculs 3D'!$D$32)+(((($D140*$R$4)+'Calculs 3D'!$E$12-OffsetZ)/Ecran)*'Calculs 3D'!$E$32)),0)</f>
        <v>5.6809745680179768E-2</v>
      </c>
      <c r="T140" s="105">
        <f>IF(Body8Actif=TRUE,((((($B140*$T$4)+'Calculs 3D'!$C$13-OffsetX)/Ecran)*'Calculs 3D'!$C$31)+(((($C140*$T$4)+'Calculs 3D'!$D$13-OffsetY)/Ecran)*'Calculs 3D'!$D$31)+(((($D140*$T$4)+'Calculs 3D'!$E$13-OffsetZ)/Ecran)*'Calculs 3D'!$E$31)),0)</f>
        <v>0.17255480159860534</v>
      </c>
      <c r="U140" s="105">
        <f>IF(Body8Actif=TRUE,((((($B140*$T$4)+'Calculs 3D'!$C$13-OffsetX)/Ecran)*'Calculs 3D'!$C$32)+(((($C140*$T$4)+'Calculs 3D'!$D$13-OffsetY)/Ecran)*'Calculs 3D'!$D$32)+(((($D140*$T$4)+'Calculs 3D'!$E$13-OffsetZ)/Ecran)*'Calculs 3D'!$E$32)),0)</f>
        <v>-0.13256701513347699</v>
      </c>
      <c r="V140" s="105">
        <f>IF(Body9Actif=TRUE,((((($B140*$V$4)+'Calculs 3D'!$C$14-OffsetX)/Ecran)*'Calculs 3D'!$C$31)+(((($C140*$V$4)+'Calculs 3D'!$D$14-OffsetY)/Ecran)*'Calculs 3D'!$D$31)+(((($D140*$V$4)+'Calculs 3D'!$E$14-OffsetZ)/Ecran)*'Calculs 3D'!$E$31)),0)</f>
        <v>-0.1715760426347899</v>
      </c>
      <c r="W140" s="105">
        <f>IF(Body9Actif=TRUE,((((($B140*$V$4)+'Calculs 3D'!$C$14-OffsetX)/Ecran)*'Calculs 3D'!$C$32)+(((($C140*$V$4)+'Calculs 3D'!$D$14-OffsetY)/Ecran)*'Calculs 3D'!$D$32)+(((($D140*$V$4)+'Calculs 3D'!$E$14-OffsetZ)/Ecran)*'Calculs 3D'!$E$32)),0)</f>
        <v>0.28590349889031808</v>
      </c>
      <c r="X140" s="105">
        <f>IF(Body10Actif=TRUE,((((($B140*$X$4)+'Calculs 3D'!$C$15-OffsetX)/Ecran)*'Calculs 3D'!$C$31)+(((($C140*$X$4)+'Calculs 3D'!$D$15-OffsetY)/Ecran)*'Calculs 3D'!$D$31)+(((($D140*$X$4)+'Calculs 3D'!$E$15-OffsetZ)/Ecran)*'Calculs 3D'!$E$31)),0)</f>
        <v>-6.2606634741441125E-3</v>
      </c>
      <c r="Y140" s="105">
        <f>IF(Body10Actif=TRUE,((((($B140*$X$4)+'Calculs 3D'!$C$15-OffsetX)/Ecran)*'Calculs 3D'!$C$32)+(((($C140*$X$4)+'Calculs 3D'!$D$15-OffsetY)/Ecran)*'Calculs 3D'!$D$32)+(((($D140*$X$4)+'Calculs 3D'!$E$15-OffsetZ)/Ecran)*'Calculs 3D'!$E$32)),0)</f>
        <v>0.28836325599174861</v>
      </c>
    </row>
    <row r="141" spans="2:25" x14ac:dyDescent="0.3">
      <c r="B141" s="102">
        <v>0.50549531697152694</v>
      </c>
      <c r="C141" s="102">
        <v>0.69575461516245485</v>
      </c>
      <c r="D141" s="102">
        <v>-0.5</v>
      </c>
      <c r="F141" s="105">
        <f>IF(Body1Actif=TRUE,((((($B141*$F$4)+'Calculs 3D'!$C$6-OffsetX)/Ecran)*'Calculs 3D'!$C$31)+(((($C141*$F$4)+'Calculs 3D'!$D$6-OffsetY)/Ecran)*'Calculs 3D'!$D$31)+(((($D141*$F$4)+'Calculs 3D'!$E$6-OffsetZ)/Ecran)*'Calculs 3D'!$E$31)),0)</f>
        <v>5.3668292609995463E-2</v>
      </c>
      <c r="G141" s="105">
        <f>IF(Body1Actif=TRUE,((((($B141*$F$4)+'Calculs 3D'!$C$6-OffsetX)/Ecran)*'Calculs 3D'!$C$32)+(((($C141*$F$4)+'Calculs 3D'!$D$6-OffsetY)/Ecran)*'Calculs 3D'!$D$32)+(((($D141*$F$4)+'Calculs 3D'!$E$6-OffsetZ)/Ecran)*'Calculs 3D'!$E$32)),0)</f>
        <v>0.26308601823800504</v>
      </c>
      <c r="H141" s="105">
        <f>IF(Body2Actif=TRUE,((((($B141*$H$4)+'Calculs 3D'!$C$7-OffsetX)/Ecran)*'Calculs 3D'!$C$31)+(((($C141*$H$4)+'Calculs 3D'!$D$7-OffsetY)/Ecran)*'Calculs 3D'!$D$31)+(((($D141*$H$4)+'Calculs 3D'!$E$7-OffsetZ)/Ecran)*'Calculs 3D'!$E$31)),0)</f>
        <v>3.7289182136242251E-2</v>
      </c>
      <c r="I141" s="105">
        <f>IF(Body2Actif=TRUE,((((($B141*$H$4)+'Calculs 3D'!$C$7-OffsetX)/Ecran)*'Calculs 3D'!$C$32)+(((($C141*$H$4)+'Calculs 3D'!$D$7-OffsetY)/Ecran)*'Calculs 3D'!$D$32)+(((($D141*$H$4)+'Calculs 3D'!$E$7-OffsetZ)/Ecran)*'Calculs 3D'!$E$32)),0)</f>
        <v>2.7291150395295789E-2</v>
      </c>
      <c r="J141" s="105">
        <f>IF(Body3Actif=TRUE,((((($B141*$J$4)+'Calculs 3D'!$C$8-OffsetX)/Ecran)*'Calculs 3D'!$C$31)+(((($C141*$J$4)+'Calculs 3D'!$D$8-OffsetY)/Ecran)*'Calculs 3D'!$D$31)+(((($D141*$J$4)+'Calculs 3D'!$E$8-OffsetZ)/Ecran)*'Calculs 3D'!$E$31)),0)</f>
        <v>0.22401132076500183</v>
      </c>
      <c r="K141" s="105">
        <f>IF(Body3Actif=TRUE,((((($B141*$J$4)+'Calculs 3D'!$C$8-OffsetX)/Ecran)*'Calculs 3D'!$C$32)+(((($C141*$J$4)+'Calculs 3D'!$D$8-OffsetY)/Ecran)*'Calculs 3D'!$D$32)+(((($D141*$J$4)+'Calculs 3D'!$E$8-OffsetZ)/Ecran)*'Calculs 3D'!$E$32)),0)</f>
        <v>-8.2213307923021672E-2</v>
      </c>
      <c r="L141" s="105">
        <f>IF(Body4Actif=TRUE,((((($B141*$L$4)+'Calculs 3D'!$C$9-OffsetX)/Ecran)*'Calculs 3D'!$C$31)+(((($C141*$L$4)+'Calculs 3D'!$D$9-OffsetY)/Ecran)*'Calculs 3D'!$D$31)+(((($D141*$L$4)+'Calculs 3D'!$E$9-OffsetZ)/Ecran)*'Calculs 3D'!$E$31)),0)</f>
        <v>-8.7567754103007392E-2</v>
      </c>
      <c r="M141" s="105">
        <f>IF(Body4Actif=TRUE,((((($B141*$L$4)+'Calculs 3D'!$C$9-OffsetX)/Ecran)*'Calculs 3D'!$C$32)+(((($C141*$L$4)+'Calculs 3D'!$D$9-OffsetY)/Ecran)*'Calculs 3D'!$D$32)+(((($D141*$L$4)+'Calculs 3D'!$E$9-OffsetZ)/Ecran)*'Calculs 3D'!$E$32)),0)</f>
        <v>-0.17386009904841632</v>
      </c>
      <c r="N141" s="105">
        <f>IF(Body5Actif=TRUE,((((($B141*$N$4)+'Calculs 3D'!$C$10-OffsetX)/Ecran)*'Calculs 3D'!$C$31)+(((($C141*$N$4)+'Calculs 3D'!$D$10-OffsetY)/Ecran)*'Calculs 3D'!$D$31)+(((($D141*$N$4)+'Calculs 3D'!$E$10-OffsetZ)/Ecran)*'Calculs 3D'!$E$31)),0)</f>
        <v>8.799202339634769E-3</v>
      </c>
      <c r="O141" s="105">
        <f>IF(Body5Actif=TRUE,((((($B141*$N$4)+'Calculs 3D'!$C$10-OffsetX)/Ecran)*'Calculs 3D'!$C$32)+(((($C141*$N$4)+'Calculs 3D'!$D$10-OffsetY)/Ecran)*'Calculs 3D'!$D$32)+(((($D141*$N$4)+'Calculs 3D'!$E$10-OffsetZ)/Ecran)*'Calculs 3D'!$E$32)),0)</f>
        <v>-7.1937593372478955E-3</v>
      </c>
      <c r="P141" s="105">
        <f>IF(Body6Actif=TRUE,((((($B141*$P$4)+'Calculs 3D'!$C$11-OffsetX)/Ecran)*'Calculs 3D'!$C$31)+(((($C141*$P$4)+'Calculs 3D'!$D$11-OffsetY)/Ecran)*'Calculs 3D'!$D$31)+(((($D141*$P$4)+'Calculs 3D'!$E$11-OffsetZ)/Ecran)*'Calculs 3D'!$E$31)),0)</f>
        <v>0.18218817421879599</v>
      </c>
      <c r="Q141" s="105">
        <f>IF(Body6Actif=TRUE,((((($B141*$P$4)+'Calculs 3D'!$C$11-OffsetX)/Ecran)*'Calculs 3D'!$C$32)+(((($C141*$P$4)+'Calculs 3D'!$D$11-OffsetY)/Ecran)*'Calculs 3D'!$D$32)+(((($D141*$P$4)+'Calculs 3D'!$E$11-OffsetZ)/Ecran)*'Calculs 3D'!$E$32)),0)</f>
        <v>0.12984726531398233</v>
      </c>
      <c r="R141" s="105">
        <f>IF(Body7Actif=TRUE,((((($B141*$R$4)+'Calculs 3D'!$C$12-OffsetX)/Ecran)*'Calculs 3D'!$C$31)+(((($C141*$R$4)+'Calculs 3D'!$D$12-OffsetY)/Ecran)*'Calculs 3D'!$D$31)+(((($D141*$R$4)+'Calculs 3D'!$E$12-OffsetZ)/Ecran)*'Calculs 3D'!$E$31)),0)</f>
        <v>-0.26917784680378509</v>
      </c>
      <c r="S141" s="105">
        <f>IF(Body7Actif=TRUE,((((($B141*$R$4)+'Calculs 3D'!$C$12-OffsetX)/Ecran)*'Calculs 3D'!$C$32)+(((($C141*$R$4)+'Calculs 3D'!$D$12-OffsetY)/Ecran)*'Calculs 3D'!$D$32)+(((($D141*$R$4)+'Calculs 3D'!$E$12-OffsetZ)/Ecran)*'Calculs 3D'!$E$32)),0)</f>
        <v>5.9122318480445052E-2</v>
      </c>
      <c r="T141" s="105">
        <f>IF(Body8Actif=TRUE,((((($B141*$T$4)+'Calculs 3D'!$C$13-OffsetX)/Ecran)*'Calculs 3D'!$C$31)+(((($C141*$T$4)+'Calculs 3D'!$D$13-OffsetY)/Ecran)*'Calculs 3D'!$D$31)+(((($D141*$T$4)+'Calculs 3D'!$E$13-OffsetZ)/Ecran)*'Calculs 3D'!$E$31)),0)</f>
        <v>0.17234023381693567</v>
      </c>
      <c r="U141" s="105">
        <f>IF(Body8Actif=TRUE,((((($B141*$T$4)+'Calculs 3D'!$C$13-OffsetX)/Ecran)*'Calculs 3D'!$C$32)+(((($C141*$T$4)+'Calculs 3D'!$D$13-OffsetY)/Ecran)*'Calculs 3D'!$D$32)+(((($D141*$T$4)+'Calculs 3D'!$E$13-OffsetZ)/Ecran)*'Calculs 3D'!$E$32)),0)</f>
        <v>-0.13173296150580097</v>
      </c>
      <c r="V141" s="105">
        <f>IF(Body9Actif=TRUE,((((($B141*$V$4)+'Calculs 3D'!$C$14-OffsetX)/Ecran)*'Calculs 3D'!$C$31)+(((($C141*$V$4)+'Calculs 3D'!$D$14-OffsetY)/Ecran)*'Calculs 3D'!$D$31)+(((($D141*$V$4)+'Calculs 3D'!$E$14-OffsetZ)/Ecran)*'Calculs 3D'!$E$31)),0)</f>
        <v>-0.1718737588522794</v>
      </c>
      <c r="W141" s="105">
        <f>IF(Body9Actif=TRUE,((((($B141*$V$4)+'Calculs 3D'!$C$14-OffsetX)/Ecran)*'Calculs 3D'!$C$32)+(((($C141*$V$4)+'Calculs 3D'!$D$14-OffsetY)/Ecran)*'Calculs 3D'!$D$32)+(((($D141*$V$4)+'Calculs 3D'!$E$14-OffsetZ)/Ecran)*'Calculs 3D'!$E$32)),0)</f>
        <v>0.28706076159435889</v>
      </c>
      <c r="X141" s="105">
        <f>IF(Body10Actif=TRUE,((((($B141*$X$4)+'Calculs 3D'!$C$15-OffsetX)/Ecran)*'Calculs 3D'!$C$31)+(((($C141*$X$4)+'Calculs 3D'!$D$15-OffsetY)/Ecran)*'Calculs 3D'!$D$31)+(((($D141*$X$4)+'Calculs 3D'!$E$15-OffsetZ)/Ecran)*'Calculs 3D'!$E$31)),0)</f>
        <v>-6.7100524381486781E-3</v>
      </c>
      <c r="Y141" s="105">
        <f>IF(Body10Actif=TRUE,((((($B141*$X$4)+'Calculs 3D'!$C$15-OffsetX)/Ecran)*'Calculs 3D'!$C$32)+(((($C141*$X$4)+'Calculs 3D'!$D$15-OffsetY)/Ecran)*'Calculs 3D'!$D$32)+(((($D141*$X$4)+'Calculs 3D'!$E$15-OffsetZ)/Ecran)*'Calculs 3D'!$E$32)),0)</f>
        <v>0.29011009092078077</v>
      </c>
    </row>
    <row r="142" spans="2:25" x14ac:dyDescent="0.3">
      <c r="B142" s="102">
        <v>0.2657546151624548</v>
      </c>
      <c r="C142" s="102">
        <v>0.81790860401383203</v>
      </c>
      <c r="D142" s="102">
        <v>-0.5</v>
      </c>
      <c r="F142" s="105">
        <f>IF(Body1Actif=TRUE,((((($B142*$F$4)+'Calculs 3D'!$C$6-OffsetX)/Ecran)*'Calculs 3D'!$C$31)+(((($C142*$F$4)+'Calculs 3D'!$D$6-OffsetY)/Ecran)*'Calculs 3D'!$D$31)+(((($D142*$F$4)+'Calculs 3D'!$E$6-OffsetZ)/Ecran)*'Calculs 3D'!$E$31)),0)</f>
        <v>5.3206935429054893E-2</v>
      </c>
      <c r="G142" s="105">
        <f>IF(Body1Actif=TRUE,((((($B142*$F$4)+'Calculs 3D'!$C$6-OffsetX)/Ecran)*'Calculs 3D'!$C$32)+(((($C142*$F$4)+'Calculs 3D'!$D$6-OffsetY)/Ecran)*'Calculs 3D'!$D$32)+(((($D142*$F$4)+'Calculs 3D'!$E$6-OffsetZ)/Ecran)*'Calculs 3D'!$E$32)),0)</f>
        <v>0.26364347781721115</v>
      </c>
      <c r="H142" s="105">
        <f>IF(Body2Actif=TRUE,((((($B142*$H$4)+'Calculs 3D'!$C$7-OffsetX)/Ecran)*'Calculs 3D'!$C$31)+(((($C142*$H$4)+'Calculs 3D'!$D$7-OffsetY)/Ecran)*'Calculs 3D'!$D$31)+(((($D142*$H$4)+'Calculs 3D'!$E$7-OffsetZ)/Ecran)*'Calculs 3D'!$E$31)),0)</f>
        <v>3.5490868849467061E-2</v>
      </c>
      <c r="I142" s="105">
        <f>IF(Body2Actif=TRUE,((((($B142*$H$4)+'Calculs 3D'!$C$7-OffsetX)/Ecran)*'Calculs 3D'!$C$32)+(((($C142*$H$4)+'Calculs 3D'!$D$7-OffsetY)/Ecran)*'Calculs 3D'!$D$32)+(((($D142*$H$4)+'Calculs 3D'!$E$7-OffsetZ)/Ecran)*'Calculs 3D'!$E$32)),0)</f>
        <v>2.9464058956256391E-2</v>
      </c>
      <c r="J142" s="105">
        <f>IF(Body3Actif=TRUE,((((($B142*$J$4)+'Calculs 3D'!$C$8-OffsetX)/Ecran)*'Calculs 3D'!$C$31)+(((($C142*$J$4)+'Calculs 3D'!$D$8-OffsetY)/Ecran)*'Calculs 3D'!$D$31)+(((($D142*$J$4)+'Calculs 3D'!$E$8-OffsetZ)/Ecran)*'Calculs 3D'!$E$31)),0)</f>
        <v>0.22321211039328687</v>
      </c>
      <c r="K142" s="105">
        <f>IF(Body3Actif=TRUE,((((($B142*$J$4)+'Calculs 3D'!$C$8-OffsetX)/Ecran)*'Calculs 3D'!$C$32)+(((($C142*$J$4)+'Calculs 3D'!$D$8-OffsetY)/Ecran)*'Calculs 3D'!$D$32)+(((($D142*$J$4)+'Calculs 3D'!$E$8-OffsetZ)/Ecran)*'Calculs 3D'!$E$32)),0)</f>
        <v>-8.1247619090336676E-2</v>
      </c>
      <c r="L142" s="105">
        <f>IF(Body4Actif=TRUE,((((($B142*$L$4)+'Calculs 3D'!$C$9-OffsetX)/Ecran)*'Calculs 3D'!$C$31)+(((($C142*$L$4)+'Calculs 3D'!$D$9-OffsetY)/Ecran)*'Calculs 3D'!$D$31)+(((($D142*$L$4)+'Calculs 3D'!$E$9-OffsetZ)/Ecran)*'Calculs 3D'!$E$31)),0)</f>
        <v>-8.8606961428943171E-2</v>
      </c>
      <c r="M142" s="105">
        <f>IF(Body4Actif=TRUE,((((($B142*$L$4)+'Calculs 3D'!$C$9-OffsetX)/Ecran)*'Calculs 3D'!$C$32)+(((($C142*$L$4)+'Calculs 3D'!$D$9-OffsetY)/Ecran)*'Calculs 3D'!$D$32)+(((($D142*$L$4)+'Calculs 3D'!$E$9-OffsetZ)/Ecran)*'Calculs 3D'!$E$32)),0)</f>
        <v>-0.17260442101292331</v>
      </c>
      <c r="N142" s="105">
        <f>IF(Body5Actif=TRUE,((((($B142*$N$4)+'Calculs 3D'!$C$10-OffsetX)/Ecran)*'Calculs 3D'!$C$31)+(((($C142*$N$4)+'Calculs 3D'!$D$10-OffsetY)/Ecran)*'Calculs 3D'!$D$31)+(((($D142*$N$4)+'Calculs 3D'!$E$10-OffsetZ)/Ecran)*'Calculs 3D'!$E$31)),0)</f>
        <v>7.6128517750503749E-3</v>
      </c>
      <c r="O142" s="105">
        <f>IF(Body5Actif=TRUE,((((($B142*$N$4)+'Calculs 3D'!$C$10-OffsetX)/Ecran)*'Calculs 3D'!$C$32)+(((($C142*$N$4)+'Calculs 3D'!$D$10-OffsetY)/Ecran)*'Calculs 3D'!$D$32)+(((($D142*$N$4)+'Calculs 3D'!$E$10-OffsetZ)/Ecran)*'Calculs 3D'!$E$32)),0)</f>
        <v>-5.760287585110338E-3</v>
      </c>
      <c r="P142" s="105">
        <f>IF(Body6Actif=TRUE,((((($B142*$P$4)+'Calculs 3D'!$C$11-OffsetX)/Ecran)*'Calculs 3D'!$C$31)+(((($C142*$P$4)+'Calculs 3D'!$D$11-OffsetY)/Ecran)*'Calculs 3D'!$D$31)+(((($D142*$P$4)+'Calculs 3D'!$E$11-OffsetZ)/Ecran)*'Calculs 3D'!$E$31)),0)</f>
        <v>0.18046894971806987</v>
      </c>
      <c r="Q142" s="105">
        <f>IF(Body6Actif=TRUE,((((($B142*$P$4)+'Calculs 3D'!$C$11-OffsetX)/Ecran)*'Calculs 3D'!$C$32)+(((($C142*$P$4)+'Calculs 3D'!$D$11-OffsetY)/Ecran)*'Calculs 3D'!$D$32)+(((($D142*$P$4)+'Calculs 3D'!$E$11-OffsetZ)/Ecran)*'Calculs 3D'!$E$32)),0)</f>
        <v>0.13192461060376778</v>
      </c>
      <c r="R142" s="105">
        <f>IF(Body7Actif=TRUE,((((($B142*$R$4)+'Calculs 3D'!$C$12-OffsetX)/Ecran)*'Calculs 3D'!$C$31)+(((($C142*$R$4)+'Calculs 3D'!$D$12-OffsetY)/Ecran)*'Calculs 3D'!$D$31)+(((($D142*$R$4)+'Calculs 3D'!$E$12-OffsetZ)/Ecran)*'Calculs 3D'!$E$31)),0)</f>
        <v>-0.27090440122686382</v>
      </c>
      <c r="S142" s="105">
        <f>IF(Body7Actif=TRUE,((((($B142*$R$4)+'Calculs 3D'!$C$12-OffsetX)/Ecran)*'Calculs 3D'!$C$32)+(((($C142*$R$4)+'Calculs 3D'!$D$12-OffsetY)/Ecran)*'Calculs 3D'!$D$32)+(((($D142*$R$4)+'Calculs 3D'!$E$12-OffsetZ)/Ecran)*'Calculs 3D'!$E$32)),0)</f>
        <v>6.120852054237827E-2</v>
      </c>
      <c r="T142" s="105">
        <f>IF(Body8Actif=TRUE,((((($B142*$T$4)+'Calculs 3D'!$C$13-OffsetX)/Ecran)*'Calculs 3D'!$C$31)+(((($C142*$T$4)+'Calculs 3D'!$D$13-OffsetY)/Ecran)*'Calculs 3D'!$D$31)+(((($D142*$T$4)+'Calculs 3D'!$E$13-OffsetZ)/Ecran)*'Calculs 3D'!$E$31)),0)</f>
        <v>0.17171753386137806</v>
      </c>
      <c r="U142" s="105">
        <f>IF(Body8Actif=TRUE,((((($B142*$T$4)+'Calculs 3D'!$C$13-OffsetX)/Ecran)*'Calculs 3D'!$C$32)+(((($C142*$T$4)+'Calculs 3D'!$D$13-OffsetY)/Ecran)*'Calculs 3D'!$D$32)+(((($D142*$T$4)+'Calculs 3D'!$E$13-OffsetZ)/Ecran)*'Calculs 3D'!$E$32)),0)</f>
        <v>-0.13098055085839522</v>
      </c>
      <c r="V142" s="105">
        <f>IF(Body9Actif=TRUE,((((($B142*$V$4)+'Calculs 3D'!$C$14-OffsetX)/Ecran)*'Calculs 3D'!$C$31)+(((($C142*$V$4)+'Calculs 3D'!$D$14-OffsetY)/Ecran)*'Calculs 3D'!$D$31)+(((($D142*$V$4)+'Calculs 3D'!$E$14-OffsetZ)/Ecran)*'Calculs 3D'!$E$31)),0)</f>
        <v>-0.17273776496706919</v>
      </c>
      <c r="W142" s="105">
        <f>IF(Body9Actif=TRUE,((((($B142*$V$4)+'Calculs 3D'!$C$14-OffsetX)/Ecran)*'Calculs 3D'!$C$32)+(((($C142*$V$4)+'Calculs 3D'!$D$14-OffsetY)/Ecran)*'Calculs 3D'!$D$32)+(((($D142*$V$4)+'Calculs 3D'!$E$14-OffsetZ)/Ecran)*'Calculs 3D'!$E$32)),0)</f>
        <v>0.28810474336180475</v>
      </c>
      <c r="X142" s="105">
        <f>IF(Body10Actif=TRUE,((((($B142*$X$4)+'Calculs 3D'!$C$15-OffsetX)/Ecran)*'Calculs 3D'!$C$31)+(((($C142*$X$4)+'Calculs 3D'!$D$15-OffsetY)/Ecran)*'Calculs 3D'!$D$31)+(((($D142*$X$4)+'Calculs 3D'!$E$15-OffsetZ)/Ecran)*'Calculs 3D'!$E$31)),0)</f>
        <v>-8.0142300072885142E-3</v>
      </c>
      <c r="Y142" s="105">
        <f>IF(Body10Actif=TRUE,((((($B142*$X$4)+'Calculs 3D'!$C$15-OffsetX)/Ecran)*'Calculs 3D'!$C$32)+(((($C142*$X$4)+'Calculs 3D'!$D$15-OffsetY)/Ecran)*'Calculs 3D'!$D$32)+(((($D142*$X$4)+'Calculs 3D'!$E$15-OffsetZ)/Ecran)*'Calculs 3D'!$E$32)),0)</f>
        <v>0.29168593347604466</v>
      </c>
    </row>
    <row r="143" spans="2:25" x14ac:dyDescent="0.3">
      <c r="B143" s="102">
        <v>5.2681383561070658E-17</v>
      </c>
      <c r="C143" s="102">
        <v>0.86</v>
      </c>
      <c r="D143" s="102">
        <v>-0.5</v>
      </c>
      <c r="F143" s="105">
        <f>IF(Body1Actif=TRUE,((((($B143*$F$4)+'Calculs 3D'!$C$6-OffsetX)/Ecran)*'Calculs 3D'!$C$31)+(((($C143*$F$4)+'Calculs 3D'!$D$6-OffsetY)/Ecran)*'Calculs 3D'!$D$31)+(((($D143*$F$4)+'Calculs 3D'!$E$6-OffsetZ)/Ecran)*'Calculs 3D'!$E$31)),0)</f>
        <v>5.248835477289724E-2</v>
      </c>
      <c r="G143" s="105">
        <f>IF(Body1Actif=TRUE,((((($B143*$F$4)+'Calculs 3D'!$C$6-OffsetX)/Ecran)*'Calculs 3D'!$C$32)+(((($C143*$F$4)+'Calculs 3D'!$D$6-OffsetY)/Ecran)*'Calculs 3D'!$D$32)+(((($D143*$F$4)+'Calculs 3D'!$E$6-OffsetZ)/Ecran)*'Calculs 3D'!$E$32)),0)</f>
        <v>0.26408588024412166</v>
      </c>
      <c r="H143" s="105">
        <f>IF(Body2Actif=TRUE,((((($B143*$H$4)+'Calculs 3D'!$C$7-OffsetX)/Ecran)*'Calculs 3D'!$C$31)+(((($C143*$H$4)+'Calculs 3D'!$D$7-OffsetY)/Ecran)*'Calculs 3D'!$D$31)+(((($D143*$H$4)+'Calculs 3D'!$E$7-OffsetZ)/Ecran)*'Calculs 3D'!$E$31)),0)</f>
        <v>3.2689930238403359E-2</v>
      </c>
      <c r="I143" s="105">
        <f>IF(Body2Actif=TRUE,((((($B143*$H$4)+'Calculs 3D'!$C$7-OffsetX)/Ecran)*'Calculs 3D'!$C$32)+(((($C143*$H$4)+'Calculs 3D'!$D$7-OffsetY)/Ecran)*'Calculs 3D'!$D$32)+(((($D143*$H$4)+'Calculs 3D'!$E$7-OffsetZ)/Ecran)*'Calculs 3D'!$E$32)),0)</f>
        <v>3.1188488953840469E-2</v>
      </c>
      <c r="J143" s="105">
        <f>IF(Body3Actif=TRUE,((((($B143*$J$4)+'Calculs 3D'!$C$8-OffsetX)/Ecran)*'Calculs 3D'!$C$31)+(((($C143*$J$4)+'Calculs 3D'!$D$8-OffsetY)/Ecran)*'Calculs 3D'!$D$31)+(((($D143*$J$4)+'Calculs 3D'!$E$8-OffsetZ)/Ecran)*'Calculs 3D'!$E$31)),0)</f>
        <v>0.22196731105550679</v>
      </c>
      <c r="K143" s="105">
        <f>IF(Body3Actif=TRUE,((((($B143*$J$4)+'Calculs 3D'!$C$8-OffsetX)/Ecran)*'Calculs 3D'!$C$32)+(((($C143*$J$4)+'Calculs 3D'!$D$8-OffsetY)/Ecran)*'Calculs 3D'!$D$32)+(((($D143*$J$4)+'Calculs 3D'!$E$8-OffsetZ)/Ecran)*'Calculs 3D'!$E$32)),0)</f>
        <v>-8.0481244093554533E-2</v>
      </c>
      <c r="L143" s="105">
        <f>IF(Body4Actif=TRUE,((((($B143*$L$4)+'Calculs 3D'!$C$9-OffsetX)/Ecran)*'Calculs 3D'!$C$31)+(((($C143*$L$4)+'Calculs 3D'!$D$9-OffsetY)/Ecran)*'Calculs 3D'!$D$31)+(((($D143*$L$4)+'Calculs 3D'!$E$9-OffsetZ)/Ecran)*'Calculs 3D'!$E$31)),0)</f>
        <v>-9.0225564786611437E-2</v>
      </c>
      <c r="M143" s="105">
        <f>IF(Body4Actif=TRUE,((((($B143*$L$4)+'Calculs 3D'!$C$9-OffsetX)/Ecran)*'Calculs 3D'!$C$32)+(((($C143*$L$4)+'Calculs 3D'!$D$9-OffsetY)/Ecran)*'Calculs 3D'!$D$32)+(((($D143*$L$4)+'Calculs 3D'!$E$9-OffsetZ)/Ecran)*'Calculs 3D'!$E$32)),0)</f>
        <v>-0.17160790928177422</v>
      </c>
      <c r="N143" s="105">
        <f>IF(Body5Actif=TRUE,((((($B143*$N$4)+'Calculs 3D'!$C$10-OffsetX)/Ecran)*'Calculs 3D'!$C$31)+(((($C143*$N$4)+'Calculs 3D'!$D$10-OffsetY)/Ecran)*'Calculs 3D'!$D$31)+(((($D143*$N$4)+'Calculs 3D'!$E$10-OffsetZ)/Ecran)*'Calculs 3D'!$E$31)),0)</f>
        <v>5.7650674501286536E-3</v>
      </c>
      <c r="O143" s="105">
        <f>IF(Body5Actif=TRUE,((((($B143*$N$4)+'Calculs 3D'!$C$10-OffsetX)/Ecran)*'Calculs 3D'!$C$32)+(((($C143*$N$4)+'Calculs 3D'!$D$10-OffsetY)/Ecran)*'Calculs 3D'!$D$32)+(((($D143*$N$4)+'Calculs 3D'!$E$10-OffsetZ)/Ecran)*'Calculs 3D'!$E$32)),0)</f>
        <v>-4.6226779615454062E-3</v>
      </c>
      <c r="P143" s="105">
        <f>IF(Body6Actif=TRUE,((((($B143*$P$4)+'Calculs 3D'!$C$11-OffsetX)/Ecran)*'Calculs 3D'!$C$31)+(((($C143*$P$4)+'Calculs 3D'!$D$11-OffsetY)/Ecran)*'Calculs 3D'!$D$31)+(((($D143*$P$4)+'Calculs 3D'!$E$11-OffsetZ)/Ecran)*'Calculs 3D'!$E$31)),0)</f>
        <v>0.17779119477927063</v>
      </c>
      <c r="Q143" s="105">
        <f>IF(Body6Actif=TRUE,((((($B143*$P$4)+'Calculs 3D'!$C$11-OffsetX)/Ecran)*'Calculs 3D'!$C$32)+(((($C143*$P$4)+'Calculs 3D'!$D$11-OffsetY)/Ecran)*'Calculs 3D'!$D$32)+(((($D143*$P$4)+'Calculs 3D'!$E$11-OffsetZ)/Ecran)*'Calculs 3D'!$E$32)),0)</f>
        <v>0.13357320115994947</v>
      </c>
      <c r="R143" s="105">
        <f>IF(Body7Actif=TRUE,((((($B143*$R$4)+'Calculs 3D'!$C$12-OffsetX)/Ecran)*'Calculs 3D'!$C$31)+(((($C143*$R$4)+'Calculs 3D'!$D$12-OffsetY)/Ecran)*'Calculs 3D'!$D$31)+(((($D143*$R$4)+'Calculs 3D'!$E$12-OffsetZ)/Ecran)*'Calculs 3D'!$E$31)),0)</f>
        <v>-0.2735935727873855</v>
      </c>
      <c r="S143" s="105">
        <f>IF(Body7Actif=TRUE,((((($B143*$R$4)+'Calculs 3D'!$C$12-OffsetX)/Ecran)*'Calculs 3D'!$C$32)+(((($C143*$R$4)+'Calculs 3D'!$D$12-OffsetY)/Ecran)*'Calculs 3D'!$D$32)+(((($D143*$R$4)+'Calculs 3D'!$E$12-OffsetZ)/Ecran)*'Calculs 3D'!$E$32)),0)</f>
        <v>6.2864139872732872E-2</v>
      </c>
      <c r="T143" s="105">
        <f>IF(Body8Actif=TRUE,((((($B143*$T$4)+'Calculs 3D'!$C$13-OffsetX)/Ecran)*'Calculs 3D'!$C$31)+(((($C143*$T$4)+'Calculs 3D'!$D$13-OffsetY)/Ecran)*'Calculs 3D'!$D$31)+(((($D143*$T$4)+'Calculs 3D'!$E$13-OffsetZ)/Ecran)*'Calculs 3D'!$E$31)),0)</f>
        <v>0.17074765594218821</v>
      </c>
      <c r="U143" s="105">
        <f>IF(Body8Actif=TRUE,((((($B143*$T$4)+'Calculs 3D'!$C$13-OffsetX)/Ecran)*'Calculs 3D'!$C$32)+(((($C143*$T$4)+'Calculs 3D'!$D$13-OffsetY)/Ecran)*'Calculs 3D'!$D$32)+(((($D143*$T$4)+'Calculs 3D'!$E$13-OffsetZ)/Ecran)*'Calculs 3D'!$E$32)),0)</f>
        <v>-0.13038343438778099</v>
      </c>
      <c r="V143" s="105">
        <f>IF(Body9Actif=TRUE,((((($B143*$V$4)+'Calculs 3D'!$C$14-OffsetX)/Ecran)*'Calculs 3D'!$C$31)+(((($C143*$V$4)+'Calculs 3D'!$D$14-OffsetY)/Ecran)*'Calculs 3D'!$D$31)+(((($D143*$V$4)+'Calculs 3D'!$E$14-OffsetZ)/Ecran)*'Calculs 3D'!$E$31)),0)</f>
        <v>-0.17408348604075896</v>
      </c>
      <c r="W143" s="105">
        <f>IF(Body9Actif=TRUE,((((($B143*$V$4)+'Calculs 3D'!$C$14-OffsetX)/Ecran)*'Calculs 3D'!$C$32)+(((($C143*$V$4)+'Calculs 3D'!$D$14-OffsetY)/Ecran)*'Calculs 3D'!$D$32)+(((($D143*$V$4)+'Calculs 3D'!$E$14-OffsetZ)/Ecran)*'Calculs 3D'!$E$32)),0)</f>
        <v>0.28893325198340947</v>
      </c>
      <c r="X143" s="105">
        <f>IF(Body10Actif=TRUE,((((($B143*$X$4)+'Calculs 3D'!$C$15-OffsetX)/Ecran)*'Calculs 3D'!$C$31)+(((($C143*$X$4)+'Calculs 3D'!$D$15-OffsetY)/Ecran)*'Calculs 3D'!$D$31)+(((($D143*$X$4)+'Calculs 3D'!$E$15-OffsetZ)/Ecran)*'Calculs 3D'!$E$31)),0)</f>
        <v>-1.0045534194356859E-2</v>
      </c>
      <c r="Y143" s="105">
        <f>IF(Body10Actif=TRUE,((((($B143*$X$4)+'Calculs 3D'!$C$15-OffsetX)/Ecran)*'Calculs 3D'!$C$32)+(((($C143*$X$4)+'Calculs 3D'!$D$15-OffsetY)/Ecran)*'Calculs 3D'!$D$32)+(((($D143*$X$4)+'Calculs 3D'!$E$15-OffsetZ)/Ecran)*'Calculs 3D'!$E$32)),0)</f>
        <v>0.29293652920869029</v>
      </c>
    </row>
    <row r="144" spans="2:25" x14ac:dyDescent="0.3">
      <c r="B144" s="102">
        <v>-0.26575461516245469</v>
      </c>
      <c r="C144" s="102">
        <v>0.81790860401383214</v>
      </c>
      <c r="D144" s="102">
        <v>-0.5</v>
      </c>
      <c r="F144" s="105">
        <f>IF(Body1Actif=TRUE,((((($B144*$F$4)+'Calculs 3D'!$C$6-OffsetX)/Ecran)*'Calculs 3D'!$C$31)+(((($C144*$F$4)+'Calculs 3D'!$D$6-OffsetY)/Ecran)*'Calculs 3D'!$D$31)+(((($D144*$F$4)+'Calculs 3D'!$E$6-OffsetZ)/Ecran)*'Calculs 3D'!$E$31)),0)</f>
        <v>5.1582890322793042E-2</v>
      </c>
      <c r="G144" s="105">
        <f>IF(Body1Actif=TRUE,((((($B144*$F$4)+'Calculs 3D'!$C$6-OffsetX)/Ecran)*'Calculs 3D'!$C$32)+(((($C144*$F$4)+'Calculs 3D'!$D$6-OffsetY)/Ecran)*'Calculs 3D'!$D$32)+(((($D144*$F$4)+'Calculs 3D'!$E$6-OffsetZ)/Ecran)*'Calculs 3D'!$E$32)),0)</f>
        <v>0.26436992008679161</v>
      </c>
      <c r="H144" s="105">
        <f>IF(Body2Actif=TRUE,((((($B144*$H$4)+'Calculs 3D'!$C$7-OffsetX)/Ecran)*'Calculs 3D'!$C$31)+(((($C144*$H$4)+'Calculs 3D'!$D$7-OffsetY)/Ecran)*'Calculs 3D'!$D$31)+(((($D144*$H$4)+'Calculs 3D'!$E$7-OffsetZ)/Ecran)*'Calculs 3D'!$E$31)),0)</f>
        <v>2.9160541689588891E-2</v>
      </c>
      <c r="I144" s="105">
        <f>IF(Body2Actif=TRUE,((((($B144*$H$4)+'Calculs 3D'!$C$7-OffsetX)/Ecran)*'Calculs 3D'!$C$32)+(((($C144*$H$4)+'Calculs 3D'!$D$7-OffsetY)/Ecran)*'Calculs 3D'!$D$32)+(((($D144*$H$4)+'Calculs 3D'!$E$7-OffsetZ)/Ecran)*'Calculs 3D'!$E$32)),0)</f>
        <v>3.2295641165074211E-2</v>
      </c>
      <c r="J144" s="105">
        <f>IF(Body3Actif=TRUE,((((($B144*$J$4)+'Calculs 3D'!$C$8-OffsetX)/Ecran)*'Calculs 3D'!$C$31)+(((($C144*$J$4)+'Calculs 3D'!$D$8-OffsetY)/Ecran)*'Calculs 3D'!$D$31)+(((($D144*$J$4)+'Calculs 3D'!$E$8-OffsetZ)/Ecran)*'Calculs 3D'!$E$31)),0)</f>
        <v>0.22039877238387034</v>
      </c>
      <c r="K144" s="105">
        <f>IF(Body3Actif=TRUE,((((($B144*$J$4)+'Calculs 3D'!$C$8-OffsetX)/Ecran)*'Calculs 3D'!$C$32)+(((($C144*$J$4)+'Calculs 3D'!$D$8-OffsetY)/Ecran)*'Calculs 3D'!$D$32)+(((($D144*$J$4)+'Calculs 3D'!$E$8-OffsetZ)/Ecran)*'Calculs 3D'!$E$32)),0)</f>
        <v>-7.9989201057008977E-2</v>
      </c>
      <c r="L144" s="105">
        <f>IF(Body4Actif=TRUE,((((($B144*$L$4)+'Calculs 3D'!$C$9-OffsetX)/Ecran)*'Calculs 3D'!$C$31)+(((($C144*$L$4)+'Calculs 3D'!$D$9-OffsetY)/Ecran)*'Calculs 3D'!$D$31)+(((($D144*$L$4)+'Calculs 3D'!$E$9-OffsetZ)/Ecran)*'Calculs 3D'!$E$31)),0)</f>
        <v>-9.2265124001890908E-2</v>
      </c>
      <c r="M144" s="105">
        <f>IF(Body4Actif=TRUE,((((($B144*$L$4)+'Calculs 3D'!$C$9-OffsetX)/Ecran)*'Calculs 3D'!$C$32)+(((($C144*$L$4)+'Calculs 3D'!$D$9-OffsetY)/Ecran)*'Calculs 3D'!$D$32)+(((($D144*$L$4)+'Calculs 3D'!$E$9-OffsetZ)/Ecran)*'Calculs 3D'!$E$32)),0)</f>
        <v>-0.17096810936631934</v>
      </c>
      <c r="N144" s="105">
        <f>IF(Body5Actif=TRUE,((((($B144*$N$4)+'Calculs 3D'!$C$10-OffsetX)/Ecran)*'Calculs 3D'!$C$31)+(((($C144*$N$4)+'Calculs 3D'!$D$10-OffsetY)/Ecran)*'Calculs 3D'!$D$31)+(((($D144*$N$4)+'Calculs 3D'!$E$10-OffsetZ)/Ecran)*'Calculs 3D'!$E$31)),0)</f>
        <v>3.4367233688633592E-3</v>
      </c>
      <c r="O144" s="105">
        <f>IF(Body5Actif=TRUE,((((($B144*$N$4)+'Calculs 3D'!$C$10-OffsetX)/Ecran)*'Calculs 3D'!$C$32)+(((($C144*$N$4)+'Calculs 3D'!$D$10-OffsetY)/Ecran)*'Calculs 3D'!$D$32)+(((($D144*$N$4)+'Calculs 3D'!$E$10-OffsetZ)/Ecran)*'Calculs 3D'!$E$32)),0)</f>
        <v>-3.8922876226999484E-3</v>
      </c>
      <c r="P144" s="105">
        <f>IF(Body6Actif=TRUE,((((($B144*$P$4)+'Calculs 3D'!$C$11-OffsetX)/Ecran)*'Calculs 3D'!$C$31)+(((($C144*$P$4)+'Calculs 3D'!$D$11-OffsetY)/Ecran)*'Calculs 3D'!$D$31)+(((($D144*$P$4)+'Calculs 3D'!$E$11-OffsetZ)/Ecran)*'Calculs 3D'!$E$31)),0)</f>
        <v>0.17441702671282372</v>
      </c>
      <c r="Q144" s="105">
        <f>IF(Body6Actif=TRUE,((((($B144*$P$4)+'Calculs 3D'!$C$11-OffsetX)/Ecran)*'Calculs 3D'!$C$32)+(((($C144*$P$4)+'Calculs 3D'!$D$11-OffsetY)/Ecran)*'Calculs 3D'!$D$32)+(((($D144*$P$4)+'Calculs 3D'!$E$11-OffsetZ)/Ecran)*'Calculs 3D'!$E$32)),0)</f>
        <v>0.13463166145248251</v>
      </c>
      <c r="R144" s="105">
        <f>IF(Body7Actif=TRUE,((((($B144*$R$4)+'Calculs 3D'!$C$12-OffsetX)/Ecran)*'Calculs 3D'!$C$31)+(((($C144*$R$4)+'Calculs 3D'!$D$12-OffsetY)/Ecran)*'Calculs 3D'!$D$31)+(((($D144*$R$4)+'Calculs 3D'!$E$12-OffsetZ)/Ecran)*'Calculs 3D'!$E$31)),0)</f>
        <v>-0.27698212663644634</v>
      </c>
      <c r="S144" s="105">
        <f>IF(Body7Actif=TRUE,((((($B144*$R$4)+'Calculs 3D'!$C$12-OffsetX)/Ecran)*'Calculs 3D'!$C$32)+(((($C144*$R$4)+'Calculs 3D'!$D$12-OffsetY)/Ecran)*'Calculs 3D'!$D$32)+(((($D144*$R$4)+'Calculs 3D'!$E$12-OffsetZ)/Ecran)*'Calculs 3D'!$E$32)),0)</f>
        <v>6.3927112916075585E-2</v>
      </c>
      <c r="T144" s="105">
        <f>IF(Body8Actif=TRUE,((((($B144*$T$4)+'Calculs 3D'!$C$13-OffsetX)/Ecran)*'Calculs 3D'!$C$31)+(((($C144*$T$4)+'Calculs 3D'!$D$13-OffsetY)/Ecran)*'Calculs 3D'!$D$31)+(((($D144*$T$4)+'Calculs 3D'!$E$13-OffsetZ)/Ecran)*'Calculs 3D'!$E$31)),0)</f>
        <v>0.16952553846763324</v>
      </c>
      <c r="U144" s="105">
        <f>IF(Body8Actif=TRUE,((((($B144*$T$4)+'Calculs 3D'!$C$13-OffsetX)/Ecran)*'Calculs 3D'!$C$32)+(((($C144*$T$4)+'Calculs 3D'!$D$13-OffsetY)/Ecran)*'Calculs 3D'!$D$32)+(((($D144*$T$4)+'Calculs 3D'!$E$13-OffsetZ)/Ecran)*'Calculs 3D'!$E$32)),0)</f>
        <v>-0.13000006201445719</v>
      </c>
      <c r="V144" s="105">
        <f>IF(Body9Actif=TRUE,((((($B144*$V$4)+'Calculs 3D'!$C$14-OffsetX)/Ecran)*'Calculs 3D'!$C$31)+(((($C144*$V$4)+'Calculs 3D'!$D$14-OffsetY)/Ecran)*'Calculs 3D'!$D$31)+(((($D144*$V$4)+'Calculs 3D'!$E$14-OffsetZ)/Ecran)*'Calculs 3D'!$E$31)),0)</f>
        <v>-0.17577919351846602</v>
      </c>
      <c r="W144" s="105">
        <f>IF(Body9Actif=TRUE,((((($B144*$V$4)+'Calculs 3D'!$C$14-OffsetX)/Ecran)*'Calculs 3D'!$C$32)+(((($C144*$V$4)+'Calculs 3D'!$D$14-OffsetY)/Ecran)*'Calculs 3D'!$D$32)+(((($D144*$V$4)+'Calculs 3D'!$E$14-OffsetZ)/Ecran)*'Calculs 3D'!$E$32)),0)</f>
        <v>0.28946518726273129</v>
      </c>
      <c r="X144" s="105">
        <f>IF(Body10Actif=TRUE,((((($B144*$X$4)+'Calculs 3D'!$C$15-OffsetX)/Ecran)*'Calculs 3D'!$C$31)+(((($C144*$X$4)+'Calculs 3D'!$D$15-OffsetY)/Ecran)*'Calculs 3D'!$D$31)+(((($D144*$X$4)+'Calculs 3D'!$E$15-OffsetZ)/Ecran)*'Calculs 3D'!$E$31)),0)</f>
        <v>-1.2605126792594928E-2</v>
      </c>
      <c r="Y144" s="105">
        <f>IF(Body10Actif=TRUE,((((($B144*$X$4)+'Calculs 3D'!$C$15-OffsetX)/Ecran)*'Calculs 3D'!$C$32)+(((($C144*$X$4)+'Calculs 3D'!$D$15-OffsetY)/Ecran)*'Calculs 3D'!$D$32)+(((($D144*$X$4)+'Calculs 3D'!$E$15-OffsetZ)/Ecran)*'Calculs 3D'!$E$32)),0)</f>
        <v>0.2937394610949936</v>
      </c>
    </row>
    <row r="145" spans="2:25" x14ac:dyDescent="0.3">
      <c r="B145" s="102">
        <v>-0.50549531697152683</v>
      </c>
      <c r="C145" s="102">
        <v>0.69575461516245485</v>
      </c>
      <c r="D145" s="102">
        <v>-0.5</v>
      </c>
      <c r="F145" s="105">
        <f>IF(Body1Actif=TRUE,((((($B145*$F$4)+'Calculs 3D'!$C$6-OffsetX)/Ecran)*'Calculs 3D'!$C$31)+(((($C145*$F$4)+'Calculs 3D'!$D$6-OffsetY)/Ecran)*'Calculs 3D'!$D$31)+(((($D145*$F$4)+'Calculs 3D'!$E$6-OffsetZ)/Ecran)*'Calculs 3D'!$E$31)),0)</f>
        <v>5.0579175247860285E-2</v>
      </c>
      <c r="G145" s="105">
        <f>IF(Body1Actif=TRUE,((((($B145*$F$4)+'Calculs 3D'!$C$6-OffsetX)/Ecran)*'Calculs 3D'!$C$32)+(((($C145*$F$4)+'Calculs 3D'!$D$6-OffsetY)/Ecran)*'Calculs 3D'!$D$32)+(((($D145*$F$4)+'Calculs 3D'!$E$6-OffsetZ)/Ecran)*'Calculs 3D'!$E$32)),0)</f>
        <v>0.26446779354639854</v>
      </c>
      <c r="H145" s="105">
        <f>IF(Body2Actif=TRUE,((((($B145*$H$4)+'Calculs 3D'!$C$7-OffsetX)/Ecran)*'Calculs 3D'!$C$31)+(((($C145*$H$4)+'Calculs 3D'!$D$7-OffsetY)/Ecran)*'Calculs 3D'!$D$31)+(((($D145*$H$4)+'Calculs 3D'!$E$7-OffsetZ)/Ecran)*'Calculs 3D'!$E$31)),0)</f>
        <v>2.5248184344877592E-2</v>
      </c>
      <c r="I145" s="105">
        <f>IF(Body2Actif=TRUE,((((($B145*$H$4)+'Calculs 3D'!$C$7-OffsetX)/Ecran)*'Calculs 3D'!$C$32)+(((($C145*$H$4)+'Calculs 3D'!$D$7-OffsetY)/Ecran)*'Calculs 3D'!$D$32)+(((($D145*$H$4)+'Calculs 3D'!$E$7-OffsetZ)/Ecran)*'Calculs 3D'!$E$32)),0)</f>
        <v>3.2677139817539017E-2</v>
      </c>
      <c r="J145" s="105">
        <f>IF(Body3Actif=TRUE,((((($B145*$J$4)+'Calculs 3D'!$C$8-OffsetX)/Ecran)*'Calculs 3D'!$C$31)+(((($C145*$J$4)+'Calculs 3D'!$D$8-OffsetY)/Ecran)*'Calculs 3D'!$D$31)+(((($D145*$J$4)+'Calculs 3D'!$E$8-OffsetZ)/Ecran)*'Calculs 3D'!$E$31)),0)</f>
        <v>0.21866003387220898</v>
      </c>
      <c r="K145" s="105">
        <f>IF(Body3Actif=TRUE,((((($B145*$J$4)+'Calculs 3D'!$C$8-OffsetX)/Ecran)*'Calculs 3D'!$C$32)+(((($C145*$J$4)+'Calculs 3D'!$D$8-OffsetY)/Ecran)*'Calculs 3D'!$D$32)+(((($D145*$J$4)+'Calculs 3D'!$E$8-OffsetZ)/Ecran)*'Calculs 3D'!$E$32)),0)</f>
        <v>-7.9819654581382404E-2</v>
      </c>
      <c r="L145" s="105">
        <f>IF(Body4Actif=TRUE,((((($B145*$L$4)+'Calculs 3D'!$C$9-OffsetX)/Ecran)*'Calculs 3D'!$C$31)+(((($C145*$L$4)+'Calculs 3D'!$D$9-OffsetY)/Ecran)*'Calculs 3D'!$D$31)+(((($D145*$L$4)+'Calculs 3D'!$E$9-OffsetZ)/Ecran)*'Calculs 3D'!$E$31)),0)</f>
        <v>-9.4525992808345352E-2</v>
      </c>
      <c r="M145" s="105">
        <f>IF(Body4Actif=TRUE,((((($B145*$L$4)+'Calculs 3D'!$C$9-OffsetX)/Ecran)*'Calculs 3D'!$C$32)+(((($C145*$L$4)+'Calculs 3D'!$D$9-OffsetY)/Ecran)*'Calculs 3D'!$D$32)+(((($D145*$L$4)+'Calculs 3D'!$E$9-OffsetZ)/Ecran)*'Calculs 3D'!$E$32)),0)</f>
        <v>-0.17074764934003162</v>
      </c>
      <c r="N145" s="105">
        <f>IF(Body5Actif=TRUE,((((($B145*$N$4)+'Calculs 3D'!$C$10-OffsetX)/Ecran)*'Calculs 3D'!$C$31)+(((($C145*$N$4)+'Calculs 3D'!$D$10-OffsetY)/Ecran)*'Calculs 3D'!$D$31)+(((($D145*$N$4)+'Calculs 3D'!$E$10-OffsetZ)/Ecran)*'Calculs 3D'!$E$31)),0)</f>
        <v>8.5573407245585244E-4</v>
      </c>
      <c r="O145" s="105">
        <f>IF(Body5Actif=TRUE,((((($B145*$N$4)+'Calculs 3D'!$C$10-OffsetX)/Ecran)*'Calculs 3D'!$C$32)+(((($C145*$N$4)+'Calculs 3D'!$D$10-OffsetY)/Ecran)*'Calculs 3D'!$D$32)+(((($D145*$N$4)+'Calculs 3D'!$E$10-OffsetZ)/Ecran)*'Calculs 3D'!$E$32)),0)</f>
        <v>-3.6406122638688917E-3</v>
      </c>
      <c r="P145" s="105">
        <f>IF(Body6Actif=TRUE,((((($B145*$P$4)+'Calculs 3D'!$C$11-OffsetX)/Ecran)*'Calculs 3D'!$C$31)+(((($C145*$P$4)+'Calculs 3D'!$D$11-OffsetY)/Ecran)*'Calculs 3D'!$D$31)+(((($D145*$P$4)+'Calculs 3D'!$E$11-OffsetZ)/Ecran)*'Calculs 3D'!$E$31)),0)</f>
        <v>0.1706767325982842</v>
      </c>
      <c r="Q145" s="105">
        <f>IF(Body6Actif=TRUE,((((($B145*$P$4)+'Calculs 3D'!$C$11-OffsetX)/Ecran)*'Calculs 3D'!$C$32)+(((($C145*$P$4)+'Calculs 3D'!$D$11-OffsetY)/Ecran)*'Calculs 3D'!$D$32)+(((($D145*$P$4)+'Calculs 3D'!$E$11-OffsetZ)/Ecran)*'Calculs 3D'!$E$32)),0)</f>
        <v>0.13499638201320732</v>
      </c>
      <c r="R145" s="105">
        <f>IF(Body7Actif=TRUE,((((($B145*$R$4)+'Calculs 3D'!$C$12-OffsetX)/Ecran)*'Calculs 3D'!$C$31)+(((($C145*$R$4)+'Calculs 3D'!$D$12-OffsetY)/Ecran)*'Calculs 3D'!$D$31)+(((($D145*$R$4)+'Calculs 3D'!$E$12-OffsetZ)/Ecran)*'Calculs 3D'!$E$31)),0)</f>
        <v>-0.28073836751385717</v>
      </c>
      <c r="S145" s="105">
        <f>IF(Body7Actif=TRUE,((((($B145*$R$4)+'Calculs 3D'!$C$12-OffsetX)/Ecran)*'Calculs 3D'!$C$32)+(((($C145*$R$4)+'Calculs 3D'!$D$12-OffsetY)/Ecran)*'Calculs 3D'!$D$32)+(((($D145*$R$4)+'Calculs 3D'!$E$12-OffsetZ)/Ecran)*'Calculs 3D'!$E$32)),0)</f>
        <v>6.4293388464755338E-2</v>
      </c>
      <c r="T145" s="105">
        <f>IF(Body8Actif=TRUE,((((($B145*$T$4)+'Calculs 3D'!$C$13-OffsetX)/Ecran)*'Calculs 3D'!$C$31)+(((($C145*$T$4)+'Calculs 3D'!$D$13-OffsetY)/Ecran)*'Calculs 3D'!$D$31)+(((($D145*$T$4)+'Calculs 3D'!$E$13-OffsetZ)/Ecran)*'Calculs 3D'!$E$31)),0)</f>
        <v>0.16817081081111576</v>
      </c>
      <c r="U145" s="105">
        <f>IF(Body8Actif=TRUE,((((($B145*$T$4)+'Calculs 3D'!$C$13-OffsetX)/Ecran)*'Calculs 3D'!$C$32)+(((($C145*$T$4)+'Calculs 3D'!$D$13-OffsetY)/Ecran)*'Calculs 3D'!$D$32)+(((($D145*$T$4)+'Calculs 3D'!$E$13-OffsetZ)/Ecran)*'Calculs 3D'!$E$32)),0)</f>
        <v>-0.12986796089743705</v>
      </c>
      <c r="V145" s="105">
        <f>IF(Body9Actif=TRUE,((((($B145*$V$4)+'Calculs 3D'!$C$14-OffsetX)/Ecran)*'Calculs 3D'!$C$31)+(((($C145*$V$4)+'Calculs 3D'!$D$14-OffsetY)/Ecran)*'Calculs 3D'!$D$31)+(((($D145*$V$4)+'Calculs 3D'!$E$14-OffsetZ)/Ecran)*'Calculs 3D'!$E$31)),0)</f>
        <v>-0.17765889973758367</v>
      </c>
      <c r="W145" s="105">
        <f>IF(Body9Actif=TRUE,((((($B145*$V$4)+'Calculs 3D'!$C$14-OffsetX)/Ecran)*'Calculs 3D'!$C$32)+(((($C145*$V$4)+'Calculs 3D'!$D$14-OffsetY)/Ecran)*'Calculs 3D'!$D$32)+(((($D145*$V$4)+'Calculs 3D'!$E$14-OffsetZ)/Ecran)*'Calculs 3D'!$E$32)),0)</f>
        <v>0.28964847966841928</v>
      </c>
      <c r="X145" s="105">
        <f>IF(Body10Actif=TRUE,((((($B145*$X$4)+'Calculs 3D'!$C$15-OffsetX)/Ecran)*'Calculs 3D'!$C$31)+(((($C145*$X$4)+'Calculs 3D'!$D$15-OffsetY)/Ecran)*'Calculs 3D'!$D$31)+(((($D145*$X$4)+'Calculs 3D'!$E$15-OffsetZ)/Ecran)*'Calculs 3D'!$E$31)),0)</f>
        <v>-1.5442457044756885E-2</v>
      </c>
      <c r="Y145" s="105">
        <f>IF(Body10Actif=TRUE,((((($B145*$X$4)+'Calculs 3D'!$C$15-OffsetX)/Ecran)*'Calculs 3D'!$C$32)+(((($C145*$X$4)+'Calculs 3D'!$D$15-OffsetY)/Ecran)*'Calculs 3D'!$D$32)+(((($D145*$X$4)+'Calculs 3D'!$E$15-OffsetZ)/Ecran)*'Calculs 3D'!$E$32)),0)</f>
        <v>0.2940161325675677</v>
      </c>
    </row>
    <row r="146" spans="2:25" x14ac:dyDescent="0.3">
      <c r="B146" s="102">
        <v>-0.69575461516245474</v>
      </c>
      <c r="C146" s="102">
        <v>0.50549531697152694</v>
      </c>
      <c r="D146" s="102">
        <v>-0.5</v>
      </c>
      <c r="F146" s="105">
        <f>IF(Body1Actif=TRUE,((((($B146*$F$4)+'Calculs 3D'!$C$6-OffsetX)/Ecran)*'Calculs 3D'!$C$31)+(((($C146*$F$4)+'Calculs 3D'!$D$6-OffsetY)/Ecran)*'Calculs 3D'!$D$31)+(((($D146*$F$4)+'Calculs 3D'!$E$6-OffsetZ)/Ecran)*'Calculs 3D'!$E$31)),0)</f>
        <v>4.9575460172927528E-2</v>
      </c>
      <c r="G146" s="105">
        <f>IF(Body1Actif=TRUE,((((($B146*$F$4)+'Calculs 3D'!$C$6-OffsetX)/Ecran)*'Calculs 3D'!$C$32)+(((($C146*$F$4)+'Calculs 3D'!$D$6-OffsetY)/Ecran)*'Calculs 3D'!$D$32)+(((($D146*$F$4)+'Calculs 3D'!$E$6-OffsetZ)/Ecran)*'Calculs 3D'!$E$32)),0)</f>
        <v>0.26436992008679161</v>
      </c>
      <c r="H146" s="105">
        <f>IF(Body2Actif=TRUE,((((($B146*$H$4)+'Calculs 3D'!$C$7-OffsetX)/Ecran)*'Calculs 3D'!$C$31)+(((($C146*$H$4)+'Calculs 3D'!$D$7-OffsetY)/Ecran)*'Calculs 3D'!$D$31)+(((($D146*$H$4)+'Calculs 3D'!$E$7-OffsetZ)/Ecran)*'Calculs 3D'!$E$31)),0)</f>
        <v>2.1335827000166292E-2</v>
      </c>
      <c r="I146" s="105">
        <f>IF(Body2Actif=TRUE,((((($B146*$H$4)+'Calculs 3D'!$C$7-OffsetX)/Ecran)*'Calculs 3D'!$C$32)+(((($C146*$H$4)+'Calculs 3D'!$D$7-OffsetY)/Ecran)*'Calculs 3D'!$D$32)+(((($D146*$H$4)+'Calculs 3D'!$E$7-OffsetZ)/Ecran)*'Calculs 3D'!$E$32)),0)</f>
        <v>3.2295641165074211E-2</v>
      </c>
      <c r="J146" s="105">
        <f>IF(Body3Actif=TRUE,((((($B146*$J$4)+'Calculs 3D'!$C$8-OffsetX)/Ecran)*'Calculs 3D'!$C$31)+(((($C146*$J$4)+'Calculs 3D'!$D$8-OffsetY)/Ecran)*'Calculs 3D'!$D$31)+(((($D146*$J$4)+'Calculs 3D'!$E$8-OffsetZ)/Ecran)*'Calculs 3D'!$E$31)),0)</f>
        <v>0.21692129536054761</v>
      </c>
      <c r="K146" s="105">
        <f>IF(Body3Actif=TRUE,((((($B146*$J$4)+'Calculs 3D'!$C$8-OffsetX)/Ecran)*'Calculs 3D'!$C$32)+(((($C146*$J$4)+'Calculs 3D'!$D$8-OffsetY)/Ecran)*'Calculs 3D'!$D$32)+(((($D146*$J$4)+'Calculs 3D'!$E$8-OffsetZ)/Ecran)*'Calculs 3D'!$E$32)),0)</f>
        <v>-7.9989201057008963E-2</v>
      </c>
      <c r="L146" s="105">
        <f>IF(Body4Actif=TRUE,((((($B146*$L$4)+'Calculs 3D'!$C$9-OffsetX)/Ecran)*'Calculs 3D'!$C$31)+(((($C146*$L$4)+'Calculs 3D'!$D$9-OffsetY)/Ecran)*'Calculs 3D'!$D$31)+(((($D146*$L$4)+'Calculs 3D'!$E$9-OffsetZ)/Ecran)*'Calculs 3D'!$E$31)),0)</f>
        <v>-9.678686161479981E-2</v>
      </c>
      <c r="M146" s="105">
        <f>IF(Body4Actif=TRUE,((((($B146*$L$4)+'Calculs 3D'!$C$9-OffsetX)/Ecran)*'Calculs 3D'!$C$32)+(((($C146*$L$4)+'Calculs 3D'!$D$9-OffsetY)/Ecran)*'Calculs 3D'!$D$32)+(((($D146*$L$4)+'Calculs 3D'!$E$9-OffsetZ)/Ecran)*'Calculs 3D'!$E$32)),0)</f>
        <v>-0.17096810936631934</v>
      </c>
      <c r="N146" s="105">
        <f>IF(Body5Actif=TRUE,((((($B146*$N$4)+'Calculs 3D'!$C$10-OffsetX)/Ecran)*'Calculs 3D'!$C$31)+(((($C146*$N$4)+'Calculs 3D'!$D$10-OffsetY)/Ecran)*'Calculs 3D'!$D$31)+(((($D146*$N$4)+'Calculs 3D'!$E$10-OffsetZ)/Ecran)*'Calculs 3D'!$E$31)),0)</f>
        <v>-1.7252552239516526E-3</v>
      </c>
      <c r="O146" s="105">
        <f>IF(Body5Actif=TRUE,((((($B146*$N$4)+'Calculs 3D'!$C$10-OffsetX)/Ecran)*'Calculs 3D'!$C$32)+(((($C146*$N$4)+'Calculs 3D'!$D$10-OffsetY)/Ecran)*'Calculs 3D'!$D$32)+(((($D146*$N$4)+'Calculs 3D'!$E$10-OffsetZ)/Ecran)*'Calculs 3D'!$E$32)),0)</f>
        <v>-3.8922876226999518E-3</v>
      </c>
      <c r="P146" s="105">
        <f>IF(Body6Actif=TRUE,((((($B146*$P$4)+'Calculs 3D'!$C$11-OffsetX)/Ecran)*'Calculs 3D'!$C$31)+(((($C146*$P$4)+'Calculs 3D'!$D$11-OffsetY)/Ecran)*'Calculs 3D'!$D$31)+(((($D146*$P$4)+'Calculs 3D'!$E$11-OffsetZ)/Ecran)*'Calculs 3D'!$E$31)),0)</f>
        <v>0.16693643848374468</v>
      </c>
      <c r="Q146" s="105">
        <f>IF(Body6Actif=TRUE,((((($B146*$P$4)+'Calculs 3D'!$C$11-OffsetX)/Ecran)*'Calculs 3D'!$C$32)+(((($C146*$P$4)+'Calculs 3D'!$D$11-OffsetY)/Ecran)*'Calculs 3D'!$D$32)+(((($D146*$P$4)+'Calculs 3D'!$E$11-OffsetZ)/Ecran)*'Calculs 3D'!$E$32)),0)</f>
        <v>0.13463166145248254</v>
      </c>
      <c r="R146" s="105">
        <f>IF(Body7Actif=TRUE,((((($B146*$R$4)+'Calculs 3D'!$C$12-OffsetX)/Ecran)*'Calculs 3D'!$C$31)+(((($C146*$R$4)+'Calculs 3D'!$D$12-OffsetY)/Ecran)*'Calculs 3D'!$D$31)+(((($D146*$R$4)+'Calculs 3D'!$E$12-OffsetZ)/Ecran)*'Calculs 3D'!$E$31)),0)</f>
        <v>-0.284494608391268</v>
      </c>
      <c r="S146" s="105">
        <f>IF(Body7Actif=TRUE,((((($B146*$R$4)+'Calculs 3D'!$C$12-OffsetX)/Ecran)*'Calculs 3D'!$C$32)+(((($C146*$R$4)+'Calculs 3D'!$D$12-OffsetY)/Ecran)*'Calculs 3D'!$D$32)+(((($D146*$R$4)+'Calculs 3D'!$E$12-OffsetZ)/Ecran)*'Calculs 3D'!$E$32)),0)</f>
        <v>6.3927112916075571E-2</v>
      </c>
      <c r="T146" s="105">
        <f>IF(Body8Actif=TRUE,((((($B146*$T$4)+'Calculs 3D'!$C$13-OffsetX)/Ecran)*'Calculs 3D'!$C$31)+(((($C146*$T$4)+'Calculs 3D'!$D$13-OffsetY)/Ecran)*'Calculs 3D'!$D$31)+(((($D146*$T$4)+'Calculs 3D'!$E$13-OffsetZ)/Ecran)*'Calculs 3D'!$E$31)),0)</f>
        <v>0.16681608315459828</v>
      </c>
      <c r="U146" s="105">
        <f>IF(Body8Actif=TRUE,((((($B146*$T$4)+'Calculs 3D'!$C$13-OffsetX)/Ecran)*'Calculs 3D'!$C$32)+(((($C146*$T$4)+'Calculs 3D'!$D$13-OffsetY)/Ecran)*'Calculs 3D'!$D$32)+(((($D146*$T$4)+'Calculs 3D'!$E$13-OffsetZ)/Ecran)*'Calculs 3D'!$E$32)),0)</f>
        <v>-0.13000006201445719</v>
      </c>
      <c r="V146" s="105">
        <f>IF(Body9Actif=TRUE,((((($B146*$V$4)+'Calculs 3D'!$C$14-OffsetX)/Ecran)*'Calculs 3D'!$C$31)+(((($C146*$V$4)+'Calculs 3D'!$D$14-OffsetY)/Ecran)*'Calculs 3D'!$D$31)+(((($D146*$V$4)+'Calculs 3D'!$E$14-OffsetZ)/Ecran)*'Calculs 3D'!$E$31)),0)</f>
        <v>-0.17953860595670129</v>
      </c>
      <c r="W146" s="105">
        <f>IF(Body9Actif=TRUE,((((($B146*$V$4)+'Calculs 3D'!$C$14-OffsetX)/Ecran)*'Calculs 3D'!$C$32)+(((($C146*$V$4)+'Calculs 3D'!$D$14-OffsetY)/Ecran)*'Calculs 3D'!$D$32)+(((($D146*$V$4)+'Calculs 3D'!$E$14-OffsetZ)/Ecran)*'Calculs 3D'!$E$32)),0)</f>
        <v>0.28946518726273129</v>
      </c>
      <c r="X146" s="105">
        <f>IF(Body10Actif=TRUE,((((($B146*$X$4)+'Calculs 3D'!$C$15-OffsetX)/Ecran)*'Calculs 3D'!$C$31)+(((($C146*$X$4)+'Calculs 3D'!$D$15-OffsetY)/Ecran)*'Calculs 3D'!$D$31)+(((($D146*$X$4)+'Calculs 3D'!$E$15-OffsetZ)/Ecran)*'Calculs 3D'!$E$31)),0)</f>
        <v>-1.8279787296918898E-2</v>
      </c>
      <c r="Y146" s="105">
        <f>IF(Body10Actif=TRUE,((((($B146*$X$4)+'Calculs 3D'!$C$15-OffsetX)/Ecran)*'Calculs 3D'!$C$32)+(((($C146*$X$4)+'Calculs 3D'!$D$15-OffsetY)/Ecran)*'Calculs 3D'!$D$32)+(((($D146*$X$4)+'Calculs 3D'!$E$15-OffsetZ)/Ecran)*'Calculs 3D'!$E$32)),0)</f>
        <v>0.2937394610949936</v>
      </c>
    </row>
    <row r="147" spans="2:25" x14ac:dyDescent="0.3">
      <c r="B147" s="102">
        <v>-0.81790860401383203</v>
      </c>
      <c r="C147" s="102">
        <v>0.26575461516245485</v>
      </c>
      <c r="D147" s="102">
        <v>-0.5</v>
      </c>
      <c r="F147" s="105">
        <f>IF(Body1Actif=TRUE,((((($B147*$F$4)+'Calculs 3D'!$C$6-OffsetX)/Ecran)*'Calculs 3D'!$C$31)+(((($C147*$F$4)+'Calculs 3D'!$D$6-OffsetY)/Ecran)*'Calculs 3D'!$D$31)+(((($D147*$F$4)+'Calculs 3D'!$E$6-OffsetZ)/Ecran)*'Calculs 3D'!$E$31)),0)</f>
        <v>4.8669995722823323E-2</v>
      </c>
      <c r="G147" s="105">
        <f>IF(Body1Actif=TRUE,((((($B147*$F$4)+'Calculs 3D'!$C$6-OffsetX)/Ecran)*'Calculs 3D'!$C$32)+(((($C147*$F$4)+'Calculs 3D'!$D$6-OffsetY)/Ecran)*'Calculs 3D'!$D$32)+(((($D147*$F$4)+'Calculs 3D'!$E$6-OffsetZ)/Ecran)*'Calculs 3D'!$E$32)),0)</f>
        <v>0.26408588024412166</v>
      </c>
      <c r="H147" s="105">
        <f>IF(Body2Actif=TRUE,((((($B147*$H$4)+'Calculs 3D'!$C$7-OffsetX)/Ecran)*'Calculs 3D'!$C$31)+(((($C147*$H$4)+'Calculs 3D'!$D$7-OffsetY)/Ecran)*'Calculs 3D'!$D$31)+(((($D147*$H$4)+'Calculs 3D'!$E$7-OffsetZ)/Ecran)*'Calculs 3D'!$E$31)),0)</f>
        <v>1.7806438451351818E-2</v>
      </c>
      <c r="I147" s="105">
        <f>IF(Body2Actif=TRUE,((((($B147*$H$4)+'Calculs 3D'!$C$7-OffsetX)/Ecran)*'Calculs 3D'!$C$32)+(((($C147*$H$4)+'Calculs 3D'!$D$7-OffsetY)/Ecran)*'Calculs 3D'!$D$32)+(((($D147*$H$4)+'Calculs 3D'!$E$7-OffsetZ)/Ecran)*'Calculs 3D'!$E$32)),0)</f>
        <v>3.1188488953840465E-2</v>
      </c>
      <c r="J147" s="105">
        <f>IF(Body3Actif=TRUE,((((($B147*$J$4)+'Calculs 3D'!$C$8-OffsetX)/Ecran)*'Calculs 3D'!$C$31)+(((($C147*$J$4)+'Calculs 3D'!$D$8-OffsetY)/Ecran)*'Calculs 3D'!$D$31)+(((($D147*$J$4)+'Calculs 3D'!$E$8-OffsetZ)/Ecran)*'Calculs 3D'!$E$31)),0)</f>
        <v>0.21535275668891118</v>
      </c>
      <c r="K147" s="105">
        <f>IF(Body3Actif=TRUE,((((($B147*$J$4)+'Calculs 3D'!$C$8-OffsetX)/Ecran)*'Calculs 3D'!$C$32)+(((($C147*$J$4)+'Calculs 3D'!$D$8-OffsetY)/Ecran)*'Calculs 3D'!$D$32)+(((($D147*$J$4)+'Calculs 3D'!$E$8-OffsetZ)/Ecran)*'Calculs 3D'!$E$32)),0)</f>
        <v>-8.0481244093554546E-2</v>
      </c>
      <c r="L147" s="105">
        <f>IF(Body4Actif=TRUE,((((($B147*$L$4)+'Calculs 3D'!$C$9-OffsetX)/Ecran)*'Calculs 3D'!$C$31)+(((($C147*$L$4)+'Calculs 3D'!$D$9-OffsetY)/Ecran)*'Calculs 3D'!$D$31)+(((($D147*$L$4)+'Calculs 3D'!$E$9-OffsetZ)/Ecran)*'Calculs 3D'!$E$31)),0)</f>
        <v>-9.8826420830079281E-2</v>
      </c>
      <c r="M147" s="105">
        <f>IF(Body4Actif=TRUE,((((($B147*$L$4)+'Calculs 3D'!$C$9-OffsetX)/Ecran)*'Calculs 3D'!$C$32)+(((($C147*$L$4)+'Calculs 3D'!$D$9-OffsetY)/Ecran)*'Calculs 3D'!$D$32)+(((($D147*$L$4)+'Calculs 3D'!$E$9-OffsetZ)/Ecran)*'Calculs 3D'!$E$32)),0)</f>
        <v>-0.17160790928177419</v>
      </c>
      <c r="N147" s="105">
        <f>IF(Body5Actif=TRUE,((((($B147*$N$4)+'Calculs 3D'!$C$10-OffsetX)/Ecran)*'Calculs 3D'!$C$31)+(((($C147*$N$4)+'Calculs 3D'!$D$10-OffsetY)/Ecran)*'Calculs 3D'!$D$31)+(((($D147*$N$4)+'Calculs 3D'!$E$10-OffsetZ)/Ecran)*'Calculs 3D'!$E$31)),0)</f>
        <v>-4.0535993052169469E-3</v>
      </c>
      <c r="O147" s="105">
        <f>IF(Body5Actif=TRUE,((((($B147*$N$4)+'Calculs 3D'!$C$10-OffsetX)/Ecran)*'Calculs 3D'!$C$32)+(((($C147*$N$4)+'Calculs 3D'!$D$10-OffsetY)/Ecran)*'Calculs 3D'!$D$32)+(((($D147*$N$4)+'Calculs 3D'!$E$10-OffsetZ)/Ecran)*'Calculs 3D'!$E$32)),0)</f>
        <v>-4.6226779615454044E-3</v>
      </c>
      <c r="P147" s="105">
        <f>IF(Body6Actif=TRUE,((((($B147*$P$4)+'Calculs 3D'!$C$11-OffsetX)/Ecran)*'Calculs 3D'!$C$31)+(((($C147*$P$4)+'Calculs 3D'!$D$11-OffsetY)/Ecran)*'Calculs 3D'!$D$31)+(((($D147*$P$4)+'Calculs 3D'!$E$11-OffsetZ)/Ecran)*'Calculs 3D'!$E$31)),0)</f>
        <v>0.16356227041729771</v>
      </c>
      <c r="Q147" s="105">
        <f>IF(Body6Actif=TRUE,((((($B147*$P$4)+'Calculs 3D'!$C$11-OffsetX)/Ecran)*'Calculs 3D'!$C$32)+(((($C147*$P$4)+'Calculs 3D'!$D$11-OffsetY)/Ecran)*'Calculs 3D'!$D$32)+(((($D147*$P$4)+'Calculs 3D'!$E$11-OffsetZ)/Ecran)*'Calculs 3D'!$E$32)),0)</f>
        <v>0.13357320115994947</v>
      </c>
      <c r="R147" s="105">
        <f>IF(Body7Actif=TRUE,((((($B147*$R$4)+'Calculs 3D'!$C$12-OffsetX)/Ecran)*'Calculs 3D'!$C$31)+(((($C147*$R$4)+'Calculs 3D'!$D$12-OffsetY)/Ecran)*'Calculs 3D'!$D$31)+(((($D147*$R$4)+'Calculs 3D'!$E$12-OffsetZ)/Ecran)*'Calculs 3D'!$E$31)),0)</f>
        <v>-0.28788316224032873</v>
      </c>
      <c r="S147" s="105">
        <f>IF(Body7Actif=TRUE,((((($B147*$R$4)+'Calculs 3D'!$C$12-OffsetX)/Ecran)*'Calculs 3D'!$C$32)+(((($C147*$R$4)+'Calculs 3D'!$D$12-OffsetY)/Ecran)*'Calculs 3D'!$D$32)+(((($D147*$R$4)+'Calculs 3D'!$E$12-OffsetZ)/Ecran)*'Calculs 3D'!$E$32)),0)</f>
        <v>6.2864139872732858E-2</v>
      </c>
      <c r="T147" s="105">
        <f>IF(Body8Actif=TRUE,((((($B147*$T$4)+'Calculs 3D'!$C$13-OffsetX)/Ecran)*'Calculs 3D'!$C$31)+(((($C147*$T$4)+'Calculs 3D'!$D$13-OffsetY)/Ecran)*'Calculs 3D'!$D$31)+(((($D147*$T$4)+'Calculs 3D'!$E$13-OffsetZ)/Ecran)*'Calculs 3D'!$E$31)),0)</f>
        <v>0.16559396568004336</v>
      </c>
      <c r="U147" s="105">
        <f>IF(Body8Actif=TRUE,((((($B147*$T$4)+'Calculs 3D'!$C$13-OffsetX)/Ecran)*'Calculs 3D'!$C$32)+(((($C147*$T$4)+'Calculs 3D'!$D$13-OffsetY)/Ecran)*'Calculs 3D'!$D$32)+(((($D147*$T$4)+'Calculs 3D'!$E$13-OffsetZ)/Ecran)*'Calculs 3D'!$E$32)),0)</f>
        <v>-0.13038343438778099</v>
      </c>
      <c r="V147" s="105">
        <f>IF(Body9Actif=TRUE,((((($B147*$V$4)+'Calculs 3D'!$C$14-OffsetX)/Ecran)*'Calculs 3D'!$C$31)+(((($C147*$V$4)+'Calculs 3D'!$D$14-OffsetY)/Ecran)*'Calculs 3D'!$D$31)+(((($D147*$V$4)+'Calculs 3D'!$E$14-OffsetZ)/Ecran)*'Calculs 3D'!$E$31)),0)</f>
        <v>-0.18123431343440838</v>
      </c>
      <c r="W147" s="105">
        <f>IF(Body9Actif=TRUE,((((($B147*$V$4)+'Calculs 3D'!$C$14-OffsetX)/Ecran)*'Calculs 3D'!$C$32)+(((($C147*$V$4)+'Calculs 3D'!$D$14-OffsetY)/Ecran)*'Calculs 3D'!$D$32)+(((($D147*$V$4)+'Calculs 3D'!$E$14-OffsetZ)/Ecran)*'Calculs 3D'!$E$32)),0)</f>
        <v>0.28893325198340947</v>
      </c>
      <c r="X147" s="105">
        <f>IF(Body10Actif=TRUE,((((($B147*$X$4)+'Calculs 3D'!$C$15-OffsetX)/Ecran)*'Calculs 3D'!$C$31)+(((($C147*$X$4)+'Calculs 3D'!$D$15-OffsetY)/Ecran)*'Calculs 3D'!$D$31)+(((($D147*$X$4)+'Calculs 3D'!$E$15-OffsetZ)/Ecran)*'Calculs 3D'!$E$31)),0)</f>
        <v>-2.0839379895156968E-2</v>
      </c>
      <c r="Y147" s="105">
        <f>IF(Body10Actif=TRUE,((((($B147*$X$4)+'Calculs 3D'!$C$15-OffsetX)/Ecran)*'Calculs 3D'!$C$32)+(((($C147*$X$4)+'Calculs 3D'!$D$15-OffsetY)/Ecran)*'Calculs 3D'!$D$32)+(((($D147*$X$4)+'Calculs 3D'!$E$15-OffsetZ)/Ecran)*'Calculs 3D'!$E$32)),0)</f>
        <v>0.29293652920869029</v>
      </c>
    </row>
    <row r="148" spans="2:25" x14ac:dyDescent="0.3">
      <c r="B148" s="102">
        <v>-0.86</v>
      </c>
      <c r="C148" s="102">
        <v>1.0536276712214132E-16</v>
      </c>
      <c r="D148" s="102">
        <v>-0.5</v>
      </c>
      <c r="F148" s="105">
        <f>IF(Body1Actif=TRUE,((((($B148*$F$4)+'Calculs 3D'!$C$6-OffsetX)/Ecran)*'Calculs 3D'!$C$31)+(((($C148*$F$4)+'Calculs 3D'!$D$6-OffsetY)/Ecran)*'Calculs 3D'!$D$31)+(((($D148*$F$4)+'Calculs 3D'!$E$6-OffsetZ)/Ecran)*'Calculs 3D'!$E$31)),0)</f>
        <v>4.7951415066665663E-2</v>
      </c>
      <c r="G148" s="105">
        <f>IF(Body1Actif=TRUE,((((($B148*$F$4)+'Calculs 3D'!$C$6-OffsetX)/Ecran)*'Calculs 3D'!$C$32)+(((($C148*$F$4)+'Calculs 3D'!$D$6-OffsetY)/Ecran)*'Calculs 3D'!$D$32)+(((($D148*$F$4)+'Calculs 3D'!$E$6-OffsetZ)/Ecran)*'Calculs 3D'!$E$32)),0)</f>
        <v>0.26364347781721115</v>
      </c>
      <c r="H148" s="105">
        <f>IF(Body2Actif=TRUE,((((($B148*$H$4)+'Calculs 3D'!$C$7-OffsetX)/Ecran)*'Calculs 3D'!$C$31)+(((($C148*$H$4)+'Calculs 3D'!$D$7-OffsetY)/Ecran)*'Calculs 3D'!$D$31)+(((($D148*$H$4)+'Calculs 3D'!$E$7-OffsetZ)/Ecran)*'Calculs 3D'!$E$31)),0)</f>
        <v>1.5005499840288119E-2</v>
      </c>
      <c r="I148" s="105">
        <f>IF(Body2Actif=TRUE,((((($B148*$H$4)+'Calculs 3D'!$C$7-OffsetX)/Ecran)*'Calculs 3D'!$C$32)+(((($C148*$H$4)+'Calculs 3D'!$D$7-OffsetY)/Ecran)*'Calculs 3D'!$D$32)+(((($D148*$H$4)+'Calculs 3D'!$E$7-OffsetZ)/Ecran)*'Calculs 3D'!$E$32)),0)</f>
        <v>2.9464058956256388E-2</v>
      </c>
      <c r="J148" s="105">
        <f>IF(Body3Actif=TRUE,((((($B148*$J$4)+'Calculs 3D'!$C$8-OffsetX)/Ecran)*'Calculs 3D'!$C$31)+(((($C148*$J$4)+'Calculs 3D'!$D$8-OffsetY)/Ecran)*'Calculs 3D'!$D$31)+(((($D148*$J$4)+'Calculs 3D'!$E$8-OffsetZ)/Ecran)*'Calculs 3D'!$E$31)),0)</f>
        <v>0.21410795735113106</v>
      </c>
      <c r="K148" s="105">
        <f>IF(Body3Actif=TRUE,((((($B148*$J$4)+'Calculs 3D'!$C$8-OffsetX)/Ecran)*'Calculs 3D'!$C$32)+(((($C148*$J$4)+'Calculs 3D'!$D$8-OffsetY)/Ecran)*'Calculs 3D'!$D$32)+(((($D148*$J$4)+'Calculs 3D'!$E$8-OffsetZ)/Ecran)*'Calculs 3D'!$E$32)),0)</f>
        <v>-8.1247619090336662E-2</v>
      </c>
      <c r="L148" s="105">
        <f>IF(Body4Actif=TRUE,((((($B148*$L$4)+'Calculs 3D'!$C$9-OffsetX)/Ecran)*'Calculs 3D'!$C$31)+(((($C148*$L$4)+'Calculs 3D'!$D$9-OffsetY)/Ecran)*'Calculs 3D'!$D$31)+(((($D148*$L$4)+'Calculs 3D'!$E$9-OffsetZ)/Ecran)*'Calculs 3D'!$E$31)),0)</f>
        <v>-0.10044502418774753</v>
      </c>
      <c r="M148" s="105">
        <f>IF(Body4Actif=TRUE,((((($B148*$L$4)+'Calculs 3D'!$C$9-OffsetX)/Ecran)*'Calculs 3D'!$C$32)+(((($C148*$L$4)+'Calculs 3D'!$D$9-OffsetY)/Ecran)*'Calculs 3D'!$D$32)+(((($D148*$L$4)+'Calculs 3D'!$E$9-OffsetZ)/Ecran)*'Calculs 3D'!$E$32)),0)</f>
        <v>-0.17260442101292331</v>
      </c>
      <c r="N148" s="105">
        <f>IF(Body5Actif=TRUE,((((($B148*$N$4)+'Calculs 3D'!$C$10-OffsetX)/Ecran)*'Calculs 3D'!$C$31)+(((($C148*$N$4)+'Calculs 3D'!$D$10-OffsetY)/Ecran)*'Calculs 3D'!$D$31)+(((($D148*$N$4)+'Calculs 3D'!$E$10-OffsetZ)/Ecran)*'Calculs 3D'!$E$31)),0)</f>
        <v>-5.9013836301386692E-3</v>
      </c>
      <c r="O148" s="105">
        <f>IF(Body5Actif=TRUE,((((($B148*$N$4)+'Calculs 3D'!$C$10-OffsetX)/Ecran)*'Calculs 3D'!$C$32)+(((($C148*$N$4)+'Calculs 3D'!$D$10-OffsetY)/Ecran)*'Calculs 3D'!$D$32)+(((($D148*$N$4)+'Calculs 3D'!$E$10-OffsetZ)/Ecran)*'Calculs 3D'!$E$32)),0)</f>
        <v>-5.7602875851103397E-3</v>
      </c>
      <c r="P148" s="105">
        <f>IF(Body6Actif=TRUE,((((($B148*$P$4)+'Calculs 3D'!$C$11-OffsetX)/Ecran)*'Calculs 3D'!$C$31)+(((($C148*$P$4)+'Calculs 3D'!$D$11-OffsetY)/Ecran)*'Calculs 3D'!$D$31)+(((($D148*$P$4)+'Calculs 3D'!$E$11-OffsetZ)/Ecran)*'Calculs 3D'!$E$31)),0)</f>
        <v>0.16088451547849852</v>
      </c>
      <c r="Q148" s="105">
        <f>IF(Body6Actif=TRUE,((((($B148*$P$4)+'Calculs 3D'!$C$11-OffsetX)/Ecran)*'Calculs 3D'!$C$32)+(((($C148*$P$4)+'Calculs 3D'!$D$11-OffsetY)/Ecran)*'Calculs 3D'!$D$32)+(((($D148*$P$4)+'Calculs 3D'!$E$11-OffsetZ)/Ecran)*'Calculs 3D'!$E$32)),0)</f>
        <v>0.13192461060376776</v>
      </c>
      <c r="R148" s="105">
        <f>IF(Body7Actif=TRUE,((((($B148*$R$4)+'Calculs 3D'!$C$12-OffsetX)/Ecran)*'Calculs 3D'!$C$31)+(((($C148*$R$4)+'Calculs 3D'!$D$12-OffsetY)/Ecran)*'Calculs 3D'!$D$31)+(((($D148*$R$4)+'Calculs 3D'!$E$12-OffsetZ)/Ecran)*'Calculs 3D'!$E$31)),0)</f>
        <v>-0.29057233380085046</v>
      </c>
      <c r="S148" s="105">
        <f>IF(Body7Actif=TRUE,((((($B148*$R$4)+'Calculs 3D'!$C$12-OffsetX)/Ecran)*'Calculs 3D'!$C$32)+(((($C148*$R$4)+'Calculs 3D'!$D$12-OffsetY)/Ecran)*'Calculs 3D'!$D$32)+(((($D148*$R$4)+'Calculs 3D'!$E$12-OffsetZ)/Ecran)*'Calculs 3D'!$E$32)),0)</f>
        <v>6.120852054237827E-2</v>
      </c>
      <c r="T148" s="105">
        <f>IF(Body8Actif=TRUE,((((($B148*$T$4)+'Calculs 3D'!$C$13-OffsetX)/Ecran)*'Calculs 3D'!$C$31)+(((($C148*$T$4)+'Calculs 3D'!$D$13-OffsetY)/Ecran)*'Calculs 3D'!$D$31)+(((($D148*$T$4)+'Calculs 3D'!$E$13-OffsetZ)/Ecran)*'Calculs 3D'!$E$31)),0)</f>
        <v>0.16462408776085349</v>
      </c>
      <c r="U148" s="105">
        <f>IF(Body8Actif=TRUE,((((($B148*$T$4)+'Calculs 3D'!$C$13-OffsetX)/Ecran)*'Calculs 3D'!$C$32)+(((($C148*$T$4)+'Calculs 3D'!$D$13-OffsetY)/Ecran)*'Calculs 3D'!$D$32)+(((($D148*$T$4)+'Calculs 3D'!$E$13-OffsetZ)/Ecran)*'Calculs 3D'!$E$32)),0)</f>
        <v>-0.13098055085839516</v>
      </c>
      <c r="V148" s="105">
        <f>IF(Body9Actif=TRUE,((((($B148*$V$4)+'Calculs 3D'!$C$14-OffsetX)/Ecran)*'Calculs 3D'!$C$31)+(((($C148*$V$4)+'Calculs 3D'!$D$14-OffsetY)/Ecran)*'Calculs 3D'!$D$31)+(((($D148*$V$4)+'Calculs 3D'!$E$14-OffsetZ)/Ecran)*'Calculs 3D'!$E$31)),0)</f>
        <v>-0.1825800345080982</v>
      </c>
      <c r="W148" s="105">
        <f>IF(Body9Actif=TRUE,((((($B148*$V$4)+'Calculs 3D'!$C$14-OffsetX)/Ecran)*'Calculs 3D'!$C$32)+(((($C148*$V$4)+'Calculs 3D'!$D$14-OffsetY)/Ecran)*'Calculs 3D'!$D$32)+(((($D148*$V$4)+'Calculs 3D'!$E$14-OffsetZ)/Ecran)*'Calculs 3D'!$E$32)),0)</f>
        <v>0.28810474336180475</v>
      </c>
      <c r="X148" s="105">
        <f>IF(Body10Actif=TRUE,((((($B148*$X$4)+'Calculs 3D'!$C$15-OffsetX)/Ecran)*'Calculs 3D'!$C$31)+(((($C148*$X$4)+'Calculs 3D'!$D$15-OffsetY)/Ecran)*'Calculs 3D'!$D$31)+(((($D148*$X$4)+'Calculs 3D'!$E$15-OffsetZ)/Ecran)*'Calculs 3D'!$E$31)),0)</f>
        <v>-2.2870684082225284E-2</v>
      </c>
      <c r="Y148" s="105">
        <f>IF(Body10Actif=TRUE,((((($B148*$X$4)+'Calculs 3D'!$C$15-OffsetX)/Ecran)*'Calculs 3D'!$C$32)+(((($C148*$X$4)+'Calculs 3D'!$D$15-OffsetY)/Ecran)*'Calculs 3D'!$D$32)+(((($D148*$X$4)+'Calculs 3D'!$E$15-OffsetZ)/Ecran)*'Calculs 3D'!$E$32)),0)</f>
        <v>0.29168593347604466</v>
      </c>
    </row>
    <row r="149" spans="2:25" x14ac:dyDescent="0.3">
      <c r="B149" s="102">
        <v>-0.81790860401383203</v>
      </c>
      <c r="C149" s="102">
        <v>-0.26575461516245502</v>
      </c>
      <c r="D149" s="102">
        <v>-0.5</v>
      </c>
      <c r="F149" s="105">
        <f>IF(Body1Actif=TRUE,((((($B149*$F$4)+'Calculs 3D'!$C$6-OffsetX)/Ecran)*'Calculs 3D'!$C$31)+(((($C149*$F$4)+'Calculs 3D'!$D$6-OffsetY)/Ecran)*'Calculs 3D'!$D$31)+(((($D149*$F$4)+'Calculs 3D'!$E$6-OffsetZ)/Ecran)*'Calculs 3D'!$E$31)),0)</f>
        <v>4.7490057885725093E-2</v>
      </c>
      <c r="G149" s="105">
        <f>IF(Body1Actif=TRUE,((((($B149*$F$4)+'Calculs 3D'!$C$6-OffsetX)/Ecran)*'Calculs 3D'!$C$32)+(((($C149*$F$4)+'Calculs 3D'!$D$6-OffsetY)/Ecran)*'Calculs 3D'!$D$32)+(((($D149*$F$4)+'Calculs 3D'!$E$6-OffsetZ)/Ecran)*'Calculs 3D'!$E$32)),0)</f>
        <v>0.26308601823800504</v>
      </c>
      <c r="H149" s="105">
        <f>IF(Body2Actif=TRUE,((((($B149*$H$4)+'Calculs 3D'!$C$7-OffsetX)/Ecran)*'Calculs 3D'!$C$31)+(((($C149*$H$4)+'Calculs 3D'!$D$7-OffsetY)/Ecran)*'Calculs 3D'!$D$31)+(((($D149*$H$4)+'Calculs 3D'!$E$7-OffsetZ)/Ecran)*'Calculs 3D'!$E$31)),0)</f>
        <v>1.3207186553512929E-2</v>
      </c>
      <c r="I149" s="105">
        <f>IF(Body2Actif=TRUE,((((($B149*$H$4)+'Calculs 3D'!$C$7-OffsetX)/Ecran)*'Calculs 3D'!$C$32)+(((($C149*$H$4)+'Calculs 3D'!$D$7-OffsetY)/Ecran)*'Calculs 3D'!$D$32)+(((($D149*$H$4)+'Calculs 3D'!$E$7-OffsetZ)/Ecran)*'Calculs 3D'!$E$32)),0)</f>
        <v>2.7291150395295786E-2</v>
      </c>
      <c r="J149" s="105">
        <f>IF(Body3Actif=TRUE,((((($B149*$J$4)+'Calculs 3D'!$C$8-OffsetX)/Ecran)*'Calculs 3D'!$C$31)+(((($C149*$J$4)+'Calculs 3D'!$D$8-OffsetY)/Ecran)*'Calculs 3D'!$D$31)+(((($D149*$J$4)+'Calculs 3D'!$E$8-OffsetZ)/Ecran)*'Calculs 3D'!$E$31)),0)</f>
        <v>0.21330874697941615</v>
      </c>
      <c r="K149" s="105">
        <f>IF(Body3Actif=TRUE,((((($B149*$J$4)+'Calculs 3D'!$C$8-OffsetX)/Ecran)*'Calculs 3D'!$C$32)+(((($C149*$J$4)+'Calculs 3D'!$D$8-OffsetY)/Ecran)*'Calculs 3D'!$D$32)+(((($D149*$J$4)+'Calculs 3D'!$E$8-OffsetZ)/Ecran)*'Calculs 3D'!$E$32)),0)</f>
        <v>-8.2213307923021672E-2</v>
      </c>
      <c r="L149" s="105">
        <f>IF(Body4Actif=TRUE,((((($B149*$L$4)+'Calculs 3D'!$C$9-OffsetX)/Ecran)*'Calculs 3D'!$C$31)+(((($C149*$L$4)+'Calculs 3D'!$D$9-OffsetY)/Ecran)*'Calculs 3D'!$D$31)+(((($D149*$L$4)+'Calculs 3D'!$E$9-OffsetZ)/Ecran)*'Calculs 3D'!$E$31)),0)</f>
        <v>-0.10148423151368333</v>
      </c>
      <c r="M149" s="105">
        <f>IF(Body4Actif=TRUE,((((($B149*$L$4)+'Calculs 3D'!$C$9-OffsetX)/Ecran)*'Calculs 3D'!$C$32)+(((($C149*$L$4)+'Calculs 3D'!$D$9-OffsetY)/Ecran)*'Calculs 3D'!$D$32)+(((($D149*$L$4)+'Calculs 3D'!$E$9-OffsetZ)/Ecran)*'Calculs 3D'!$E$32)),0)</f>
        <v>-0.17386009904841632</v>
      </c>
      <c r="N149" s="105">
        <f>IF(Body5Actif=TRUE,((((($B149*$N$4)+'Calculs 3D'!$C$10-OffsetX)/Ecran)*'Calculs 3D'!$C$31)+(((($C149*$N$4)+'Calculs 3D'!$D$10-OffsetY)/Ecran)*'Calculs 3D'!$D$31)+(((($D149*$N$4)+'Calculs 3D'!$E$10-OffsetZ)/Ecran)*'Calculs 3D'!$E$31)),0)</f>
        <v>-7.087734194723065E-3</v>
      </c>
      <c r="O149" s="105">
        <f>IF(Body5Actif=TRUE,((((($B149*$N$4)+'Calculs 3D'!$C$10-OffsetX)/Ecran)*'Calculs 3D'!$C$32)+(((($C149*$N$4)+'Calculs 3D'!$D$10-OffsetY)/Ecran)*'Calculs 3D'!$D$32)+(((($D149*$N$4)+'Calculs 3D'!$E$10-OffsetZ)/Ecran)*'Calculs 3D'!$E$32)),0)</f>
        <v>-7.1937593372478972E-3</v>
      </c>
      <c r="P149" s="105">
        <f>IF(Body6Actif=TRUE,((((($B149*$P$4)+'Calculs 3D'!$C$11-OffsetX)/Ecran)*'Calculs 3D'!$C$31)+(((($C149*$P$4)+'Calculs 3D'!$D$11-OffsetY)/Ecran)*'Calculs 3D'!$D$31)+(((($D149*$P$4)+'Calculs 3D'!$E$11-OffsetZ)/Ecran)*'Calculs 3D'!$E$31)),0)</f>
        <v>0.15916529097777238</v>
      </c>
      <c r="Q149" s="105">
        <f>IF(Body6Actif=TRUE,((((($B149*$P$4)+'Calculs 3D'!$C$11-OffsetX)/Ecran)*'Calculs 3D'!$C$32)+(((($C149*$P$4)+'Calculs 3D'!$D$11-OffsetY)/Ecran)*'Calculs 3D'!$D$32)+(((($D149*$P$4)+'Calculs 3D'!$E$11-OffsetZ)/Ecran)*'Calculs 3D'!$E$32)),0)</f>
        <v>0.12984726531398233</v>
      </c>
      <c r="R149" s="105">
        <f>IF(Body7Actif=TRUE,((((($B149*$R$4)+'Calculs 3D'!$C$12-OffsetX)/Ecran)*'Calculs 3D'!$C$31)+(((($C149*$R$4)+'Calculs 3D'!$D$12-OffsetY)/Ecran)*'Calculs 3D'!$D$31)+(((($D149*$R$4)+'Calculs 3D'!$E$12-OffsetZ)/Ecran)*'Calculs 3D'!$E$31)),0)</f>
        <v>-0.29229888822392924</v>
      </c>
      <c r="S149" s="105">
        <f>IF(Body7Actif=TRUE,((((($B149*$R$4)+'Calculs 3D'!$C$12-OffsetX)/Ecran)*'Calculs 3D'!$C$32)+(((($C149*$R$4)+'Calculs 3D'!$D$12-OffsetY)/Ecran)*'Calculs 3D'!$D$32)+(((($D149*$R$4)+'Calculs 3D'!$E$12-OffsetZ)/Ecran)*'Calculs 3D'!$E$32)),0)</f>
        <v>5.9122318480445066E-2</v>
      </c>
      <c r="T149" s="105">
        <f>IF(Body8Actif=TRUE,((((($B149*$T$4)+'Calculs 3D'!$C$13-OffsetX)/Ecran)*'Calculs 3D'!$C$31)+(((($C149*$T$4)+'Calculs 3D'!$D$13-OffsetY)/Ecran)*'Calculs 3D'!$D$31)+(((($D149*$T$4)+'Calculs 3D'!$E$13-OffsetZ)/Ecran)*'Calculs 3D'!$E$31)),0)</f>
        <v>0.16400138780529594</v>
      </c>
      <c r="U149" s="105">
        <f>IF(Body8Actif=TRUE,((((($B149*$T$4)+'Calculs 3D'!$C$13-OffsetX)/Ecran)*'Calculs 3D'!$C$32)+(((($C149*$T$4)+'Calculs 3D'!$D$13-OffsetY)/Ecran)*'Calculs 3D'!$D$32)+(((($D149*$T$4)+'Calculs 3D'!$E$13-OffsetZ)/Ecran)*'Calculs 3D'!$E$32)),0)</f>
        <v>-0.13173296150580097</v>
      </c>
      <c r="V149" s="105">
        <f>IF(Body9Actif=TRUE,((((($B149*$V$4)+'Calculs 3D'!$C$14-OffsetX)/Ecran)*'Calculs 3D'!$C$31)+(((($C149*$V$4)+'Calculs 3D'!$D$14-OffsetY)/Ecran)*'Calculs 3D'!$D$31)+(((($D149*$V$4)+'Calculs 3D'!$E$14-OffsetZ)/Ecran)*'Calculs 3D'!$E$31)),0)</f>
        <v>-0.18344404062288797</v>
      </c>
      <c r="W149" s="105">
        <f>IF(Body9Actif=TRUE,((((($B149*$V$4)+'Calculs 3D'!$C$14-OffsetX)/Ecran)*'Calculs 3D'!$C$32)+(((($C149*$V$4)+'Calculs 3D'!$D$14-OffsetY)/Ecran)*'Calculs 3D'!$D$32)+(((($D149*$V$4)+'Calculs 3D'!$E$14-OffsetZ)/Ecran)*'Calculs 3D'!$E$32)),0)</f>
        <v>0.28706076159435889</v>
      </c>
      <c r="X149" s="105">
        <f>IF(Body10Actif=TRUE,((((($B149*$X$4)+'Calculs 3D'!$C$15-OffsetX)/Ecran)*'Calculs 3D'!$C$31)+(((($C149*$X$4)+'Calculs 3D'!$D$15-OffsetY)/Ecran)*'Calculs 3D'!$D$31)+(((($D149*$X$4)+'Calculs 3D'!$E$15-OffsetZ)/Ecran)*'Calculs 3D'!$E$31)),0)</f>
        <v>-2.4174861651365162E-2</v>
      </c>
      <c r="Y149" s="105">
        <f>IF(Body10Actif=TRUE,((((($B149*$X$4)+'Calculs 3D'!$C$15-OffsetX)/Ecran)*'Calculs 3D'!$C$32)+(((($C149*$X$4)+'Calculs 3D'!$D$15-OffsetY)/Ecran)*'Calculs 3D'!$D$32)+(((($D149*$X$4)+'Calculs 3D'!$E$15-OffsetZ)/Ecran)*'Calculs 3D'!$E$32)),0)</f>
        <v>0.29011009092078077</v>
      </c>
    </row>
    <row r="150" spans="2:25" x14ac:dyDescent="0.3">
      <c r="B150" s="102">
        <v>-0.69575461516245485</v>
      </c>
      <c r="C150" s="102">
        <v>-0.50549531697152683</v>
      </c>
      <c r="D150" s="102">
        <v>-0.5</v>
      </c>
      <c r="F150" s="105">
        <f>IF(Body1Actif=TRUE,((((($B150*$F$4)+'Calculs 3D'!$C$6-OffsetX)/Ecran)*'Calculs 3D'!$C$31)+(((($C150*$F$4)+'Calculs 3D'!$D$6-OffsetY)/Ecran)*'Calculs 3D'!$D$31)+(((($D150*$F$4)+'Calculs 3D'!$E$6-OffsetZ)/Ecran)*'Calculs 3D'!$E$31)),0)</f>
        <v>4.7331085035336569E-2</v>
      </c>
      <c r="G150" s="105">
        <f>IF(Body1Actif=TRUE,((((($B150*$F$4)+'Calculs 3D'!$C$6-OffsetX)/Ecran)*'Calculs 3D'!$C$32)+(((($C150*$F$4)+'Calculs 3D'!$D$6-OffsetY)/Ecran)*'Calculs 3D'!$D$32)+(((($D150*$F$4)+'Calculs 3D'!$E$6-OffsetZ)/Ecran)*'Calculs 3D'!$E$32)),0)</f>
        <v>0.26246806953416535</v>
      </c>
      <c r="H150" s="105">
        <f>IF(Body2Actif=TRUE,((((($B150*$H$4)+'Calculs 3D'!$C$7-OffsetX)/Ecran)*'Calculs 3D'!$C$31)+(((($C150*$H$4)+'Calculs 3D'!$D$7-OffsetY)/Ecran)*'Calculs 3D'!$D$31)+(((($D150*$H$4)+'Calculs 3D'!$E$7-OffsetZ)/Ecran)*'Calculs 3D'!$E$31)),0)</f>
        <v>1.2587530025121241E-2</v>
      </c>
      <c r="I150" s="105">
        <f>IF(Body2Actif=TRUE,((((($B150*$H$4)+'Calculs 3D'!$C$7-OffsetX)/Ecran)*'Calculs 3D'!$C$32)+(((($C150*$H$4)+'Calculs 3D'!$D$7-OffsetY)/Ecran)*'Calculs 3D'!$D$32)+(((($D150*$H$4)+'Calculs 3D'!$E$7-OffsetZ)/Ecran)*'Calculs 3D'!$E$32)),0)</f>
        <v>2.4882462700449654E-2</v>
      </c>
      <c r="J150" s="105">
        <f>IF(Body3Actif=TRUE,((((($B150*$J$4)+'Calculs 3D'!$C$8-OffsetX)/Ecran)*'Calculs 3D'!$C$31)+(((($C150*$J$4)+'Calculs 3D'!$D$8-OffsetY)/Ecran)*'Calculs 3D'!$D$31)+(((($D150*$J$4)+'Calculs 3D'!$E$8-OffsetZ)/Ecran)*'Calculs 3D'!$E$31)),0)</f>
        <v>0.2130333578533759</v>
      </c>
      <c r="K150" s="105">
        <f>IF(Body3Actif=TRUE,((((($B150*$J$4)+'Calculs 3D'!$C$8-OffsetX)/Ecran)*'Calculs 3D'!$C$32)+(((($C150*$J$4)+'Calculs 3D'!$D$8-OffsetY)/Ecran)*'Calculs 3D'!$D$32)+(((($D150*$J$4)+'Calculs 3D'!$E$8-OffsetZ)/Ecran)*'Calculs 3D'!$E$32)),0)</f>
        <v>-8.328378224031667E-2</v>
      </c>
      <c r="L150" s="105">
        <f>IF(Body4Actif=TRUE,((((($B150*$L$4)+'Calculs 3D'!$C$9-OffsetX)/Ecran)*'Calculs 3D'!$C$31)+(((($C150*$L$4)+'Calculs 3D'!$D$9-OffsetY)/Ecran)*'Calculs 3D'!$D$31)+(((($D150*$L$4)+'Calculs 3D'!$E$9-OffsetZ)/Ecran)*'Calculs 3D'!$E$31)),0)</f>
        <v>-0.10184231795424079</v>
      </c>
      <c r="M150" s="105">
        <f>IF(Body4Actif=TRUE,((((($B150*$L$4)+'Calculs 3D'!$C$9-OffsetX)/Ecran)*'Calculs 3D'!$C$32)+(((($C150*$L$4)+'Calculs 3D'!$D$9-OffsetY)/Ecran)*'Calculs 3D'!$D$32)+(((($D150*$L$4)+'Calculs 3D'!$E$9-OffsetZ)/Ecran)*'Calculs 3D'!$E$32)),0)</f>
        <v>-0.17525202887331581</v>
      </c>
      <c r="N150" s="105">
        <f>IF(Body5Actif=TRUE,((((($B150*$N$4)+'Calculs 3D'!$C$10-OffsetX)/Ecran)*'Calculs 3D'!$C$31)+(((($C150*$N$4)+'Calculs 3D'!$D$10-OffsetY)/Ecran)*'Calculs 3D'!$D$31)+(((($D150*$N$4)+'Calculs 3D'!$E$10-OffsetZ)/Ecran)*'Calculs 3D'!$E$31)),0)</f>
        <v>-7.496522739918186E-3</v>
      </c>
      <c r="O150" s="105">
        <f>IF(Body5Actif=TRUE,((((($B150*$N$4)+'Calculs 3D'!$C$10-OffsetX)/Ecran)*'Calculs 3D'!$C$32)+(((($C150*$N$4)+'Calculs 3D'!$D$10-OffsetY)/Ecran)*'Calculs 3D'!$D$32)+(((($D150*$N$4)+'Calculs 3D'!$E$10-OffsetZ)/Ecran)*'Calculs 3D'!$E$32)),0)</f>
        <v>-8.7827750152738738E-3</v>
      </c>
      <c r="P150" s="105">
        <f>IF(Body6Actif=TRUE,((((($B150*$P$4)+'Calculs 3D'!$C$11-OffsetX)/Ecran)*'Calculs 3D'!$C$31)+(((($C150*$P$4)+'Calculs 3D'!$D$11-OffsetY)/Ecran)*'Calculs 3D'!$D$31)+(((($D150*$P$4)+'Calculs 3D'!$E$11-OffsetZ)/Ecran)*'Calculs 3D'!$E$31)),0)</f>
        <v>0.15857288658779189</v>
      </c>
      <c r="Q150" s="105">
        <f>IF(Body6Actif=TRUE,((((($B150*$P$4)+'Calculs 3D'!$C$11-OffsetX)/Ecran)*'Calculs 3D'!$C$32)+(((($C150*$P$4)+'Calculs 3D'!$D$11-OffsetY)/Ecran)*'Calculs 3D'!$D$32)+(((($D150*$P$4)+'Calculs 3D'!$E$11-OffsetZ)/Ecran)*'Calculs 3D'!$E$32)),0)</f>
        <v>0.12754451032127306</v>
      </c>
      <c r="R150" s="105">
        <f>IF(Body7Actif=TRUE,((((($B150*$R$4)+'Calculs 3D'!$C$12-OffsetX)/Ecran)*'Calculs 3D'!$C$31)+(((($C150*$R$4)+'Calculs 3D'!$D$12-OffsetY)/Ecran)*'Calculs 3D'!$D$31)+(((($D150*$R$4)+'Calculs 3D'!$E$12-OffsetZ)/Ecran)*'Calculs 3D'!$E$31)),0)</f>
        <v>-0.29289381833302208</v>
      </c>
      <c r="S150" s="105">
        <f>IF(Body7Actif=TRUE,((((($B150*$R$4)+'Calculs 3D'!$C$12-OffsetX)/Ecran)*'Calculs 3D'!$C$32)+(((($C150*$R$4)+'Calculs 3D'!$D$12-OffsetY)/Ecran)*'Calculs 3D'!$D$32)+(((($D150*$R$4)+'Calculs 3D'!$E$12-OffsetZ)/Ecran)*'Calculs 3D'!$E$32)),0)</f>
        <v>5.6809745680179755E-2</v>
      </c>
      <c r="T150" s="105">
        <f>IF(Body8Actif=TRUE,((((($B150*$T$4)+'Calculs 3D'!$C$13-OffsetX)/Ecran)*'Calculs 3D'!$C$31)+(((($C150*$T$4)+'Calculs 3D'!$D$13-OffsetY)/Ecran)*'Calculs 3D'!$D$31)+(((($D150*$T$4)+'Calculs 3D'!$E$13-OffsetZ)/Ecran)*'Calculs 3D'!$E$31)),0)</f>
        <v>0.16378682002362621</v>
      </c>
      <c r="U150" s="105">
        <f>IF(Body8Actif=TRUE,((((($B150*$T$4)+'Calculs 3D'!$C$13-OffsetX)/Ecran)*'Calculs 3D'!$C$32)+(((($C150*$T$4)+'Calculs 3D'!$D$13-OffsetY)/Ecran)*'Calculs 3D'!$D$32)+(((($D150*$T$4)+'Calculs 3D'!$E$13-OffsetZ)/Ecran)*'Calculs 3D'!$E$32)),0)</f>
        <v>-0.13256701513347696</v>
      </c>
      <c r="V150" s="105">
        <f>IF(Body9Actif=TRUE,((((($B150*$V$4)+'Calculs 3D'!$C$14-OffsetX)/Ecran)*'Calculs 3D'!$C$31)+(((($C150*$V$4)+'Calculs 3D'!$D$14-OffsetY)/Ecran)*'Calculs 3D'!$D$31)+(((($D150*$V$4)+'Calculs 3D'!$E$14-OffsetZ)/Ecran)*'Calculs 3D'!$E$31)),0)</f>
        <v>-0.18374175684037744</v>
      </c>
      <c r="W150" s="105">
        <f>IF(Body9Actif=TRUE,((((($B150*$V$4)+'Calculs 3D'!$C$14-OffsetX)/Ecran)*'Calculs 3D'!$C$32)+(((($C150*$V$4)+'Calculs 3D'!$D$14-OffsetY)/Ecran)*'Calculs 3D'!$D$32)+(((($D150*$V$4)+'Calculs 3D'!$E$14-OffsetZ)/Ecran)*'Calculs 3D'!$E$32)),0)</f>
        <v>0.28590349889031808</v>
      </c>
      <c r="X150" s="105">
        <f>IF(Body10Actif=TRUE,((((($B150*$X$4)+'Calculs 3D'!$C$15-OffsetX)/Ecran)*'Calculs 3D'!$C$31)+(((($C150*$X$4)+'Calculs 3D'!$D$15-OffsetY)/Ecran)*'Calculs 3D'!$D$31)+(((($D150*$X$4)+'Calculs 3D'!$E$15-OffsetZ)/Ecran)*'Calculs 3D'!$E$31)),0)</f>
        <v>-2.46242506153697E-2</v>
      </c>
      <c r="Y150" s="105">
        <f>IF(Body10Actif=TRUE,((((($B150*$X$4)+'Calculs 3D'!$C$15-OffsetX)/Ecran)*'Calculs 3D'!$C$32)+(((($C150*$X$4)+'Calculs 3D'!$D$15-OffsetY)/Ecran)*'Calculs 3D'!$D$32)+(((($D150*$X$4)+'Calculs 3D'!$E$15-OffsetZ)/Ecran)*'Calculs 3D'!$E$32)),0)</f>
        <v>0.28836325599174861</v>
      </c>
    </row>
    <row r="151" spans="2:25" x14ac:dyDescent="0.3">
      <c r="B151" s="102">
        <v>-0.50549531697152694</v>
      </c>
      <c r="C151" s="102">
        <v>-0.69575461516245474</v>
      </c>
      <c r="D151" s="102">
        <v>-0.5</v>
      </c>
      <c r="F151" s="105">
        <f>IF(Body1Actif=TRUE,((((($B151*$F$4)+'Calculs 3D'!$C$6-OffsetX)/Ecran)*'Calculs 3D'!$C$31)+(((($C151*$F$4)+'Calculs 3D'!$D$6-OffsetY)/Ecran)*'Calculs 3D'!$D$31)+(((($D151*$F$4)+'Calculs 3D'!$E$6-OffsetZ)/Ecran)*'Calculs 3D'!$E$31)),0)</f>
        <v>4.74900578857251E-2</v>
      </c>
      <c r="G151" s="105">
        <f>IF(Body1Actif=TRUE,((((($B151*$F$4)+'Calculs 3D'!$C$6-OffsetX)/Ecran)*'Calculs 3D'!$C$32)+(((($C151*$F$4)+'Calculs 3D'!$D$6-OffsetY)/Ecran)*'Calculs 3D'!$D$32)+(((($D151*$F$4)+'Calculs 3D'!$E$6-OffsetZ)/Ecran)*'Calculs 3D'!$E$32)),0)</f>
        <v>0.26185012083032566</v>
      </c>
      <c r="H151" s="105">
        <f>IF(Body2Actif=TRUE,((((($B151*$H$4)+'Calculs 3D'!$C$7-OffsetX)/Ecran)*'Calculs 3D'!$C$31)+(((($C151*$H$4)+'Calculs 3D'!$D$7-OffsetY)/Ecran)*'Calculs 3D'!$D$31)+(((($D151*$H$4)+'Calculs 3D'!$E$7-OffsetZ)/Ecran)*'Calculs 3D'!$E$31)),0)</f>
        <v>1.3207186553512933E-2</v>
      </c>
      <c r="I151" s="105">
        <f>IF(Body2Actif=TRUE,((((($B151*$H$4)+'Calculs 3D'!$C$7-OffsetX)/Ecran)*'Calculs 3D'!$C$32)+(((($C151*$H$4)+'Calculs 3D'!$D$7-OffsetY)/Ecran)*'Calculs 3D'!$D$32)+(((($D151*$H$4)+'Calculs 3D'!$E$7-OffsetZ)/Ecran)*'Calculs 3D'!$E$32)),0)</f>
        <v>2.2473775005603519E-2</v>
      </c>
      <c r="J151" s="105">
        <f>IF(Body3Actif=TRUE,((((($B151*$J$4)+'Calculs 3D'!$C$8-OffsetX)/Ecran)*'Calculs 3D'!$C$31)+(((($C151*$J$4)+'Calculs 3D'!$D$8-OffsetY)/Ecran)*'Calculs 3D'!$D$31)+(((($D151*$J$4)+'Calculs 3D'!$E$8-OffsetZ)/Ecran)*'Calculs 3D'!$E$31)),0)</f>
        <v>0.21330874697941613</v>
      </c>
      <c r="K151" s="105">
        <f>IF(Body3Actif=TRUE,((((($B151*$J$4)+'Calculs 3D'!$C$8-OffsetX)/Ecran)*'Calculs 3D'!$C$32)+(((($C151*$J$4)+'Calculs 3D'!$D$8-OffsetY)/Ecran)*'Calculs 3D'!$D$32)+(((($D151*$J$4)+'Calculs 3D'!$E$8-OffsetZ)/Ecran)*'Calculs 3D'!$E$32)),0)</f>
        <v>-8.435425655761164E-2</v>
      </c>
      <c r="L151" s="105">
        <f>IF(Body4Actif=TRUE,((((($B151*$L$4)+'Calculs 3D'!$C$9-OffsetX)/Ecran)*'Calculs 3D'!$C$31)+(((($C151*$L$4)+'Calculs 3D'!$D$9-OffsetY)/Ecran)*'Calculs 3D'!$D$31)+(((($D151*$L$4)+'Calculs 3D'!$E$9-OffsetZ)/Ecran)*'Calculs 3D'!$E$31)),0)</f>
        <v>-0.10148423151368333</v>
      </c>
      <c r="M151" s="105">
        <f>IF(Body4Actif=TRUE,((((($B151*$L$4)+'Calculs 3D'!$C$9-OffsetX)/Ecran)*'Calculs 3D'!$C$32)+(((($C151*$L$4)+'Calculs 3D'!$D$9-OffsetY)/Ecran)*'Calculs 3D'!$D$32)+(((($D151*$L$4)+'Calculs 3D'!$E$9-OffsetZ)/Ecran)*'Calculs 3D'!$E$32)),0)</f>
        <v>-0.17664395869821534</v>
      </c>
      <c r="N151" s="105">
        <f>IF(Body5Actif=TRUE,((((($B151*$N$4)+'Calculs 3D'!$C$10-OffsetX)/Ecran)*'Calculs 3D'!$C$31)+(((($C151*$N$4)+'Calculs 3D'!$D$10-OffsetY)/Ecran)*'Calculs 3D'!$D$31)+(((($D151*$N$4)+'Calculs 3D'!$E$10-OffsetZ)/Ecran)*'Calculs 3D'!$E$31)),0)</f>
        <v>-7.0877341947230624E-3</v>
      </c>
      <c r="O151" s="105">
        <f>IF(Body5Actif=TRUE,((((($B151*$N$4)+'Calculs 3D'!$C$10-OffsetX)/Ecran)*'Calculs 3D'!$C$32)+(((($C151*$N$4)+'Calculs 3D'!$D$10-OffsetY)/Ecran)*'Calculs 3D'!$D$32)+(((($D151*$N$4)+'Calculs 3D'!$E$10-OffsetZ)/Ecran)*'Calculs 3D'!$E$32)),0)</f>
        <v>-1.0371790693299849E-2</v>
      </c>
      <c r="P151" s="105">
        <f>IF(Body6Actif=TRUE,((((($B151*$P$4)+'Calculs 3D'!$C$11-OffsetX)/Ecran)*'Calculs 3D'!$C$31)+(((($C151*$P$4)+'Calculs 3D'!$D$11-OffsetY)/Ecran)*'Calculs 3D'!$D$31)+(((($D151*$P$4)+'Calculs 3D'!$E$11-OffsetZ)/Ecran)*'Calculs 3D'!$E$31)),0)</f>
        <v>0.15916529097777238</v>
      </c>
      <c r="Q151" s="105">
        <f>IF(Body6Actif=TRUE,((((($B151*$P$4)+'Calculs 3D'!$C$11-OffsetX)/Ecran)*'Calculs 3D'!$C$32)+(((($C151*$P$4)+'Calculs 3D'!$D$11-OffsetY)/Ecran)*'Calculs 3D'!$D$32)+(((($D151*$P$4)+'Calculs 3D'!$E$11-OffsetZ)/Ecran)*'Calculs 3D'!$E$32)),0)</f>
        <v>0.12524175532856377</v>
      </c>
      <c r="R151" s="105">
        <f>IF(Body7Actif=TRUE,((((($B151*$R$4)+'Calculs 3D'!$C$12-OffsetX)/Ecran)*'Calculs 3D'!$C$31)+(((($C151*$R$4)+'Calculs 3D'!$D$12-OffsetY)/Ecran)*'Calculs 3D'!$D$31)+(((($D151*$R$4)+'Calculs 3D'!$E$12-OffsetZ)/Ecran)*'Calculs 3D'!$E$31)),0)</f>
        <v>-0.29229888822392924</v>
      </c>
      <c r="S151" s="105">
        <f>IF(Body7Actif=TRUE,((((($B151*$R$4)+'Calculs 3D'!$C$12-OffsetX)/Ecran)*'Calculs 3D'!$C$32)+(((($C151*$R$4)+'Calculs 3D'!$D$12-OffsetY)/Ecran)*'Calculs 3D'!$D$32)+(((($D151*$R$4)+'Calculs 3D'!$E$12-OffsetZ)/Ecran)*'Calculs 3D'!$E$32)),0)</f>
        <v>5.4497172879914471E-2</v>
      </c>
      <c r="T151" s="105">
        <f>IF(Body8Actif=TRUE,((((($B151*$T$4)+'Calculs 3D'!$C$13-OffsetX)/Ecran)*'Calculs 3D'!$C$31)+(((($C151*$T$4)+'Calculs 3D'!$D$13-OffsetY)/Ecran)*'Calculs 3D'!$D$31)+(((($D151*$T$4)+'Calculs 3D'!$E$13-OffsetZ)/Ecran)*'Calculs 3D'!$E$31)),0)</f>
        <v>0.16400138780529588</v>
      </c>
      <c r="U151" s="105">
        <f>IF(Body8Actif=TRUE,((((($B151*$T$4)+'Calculs 3D'!$C$13-OffsetX)/Ecran)*'Calculs 3D'!$C$32)+(((($C151*$T$4)+'Calculs 3D'!$D$13-OffsetY)/Ecran)*'Calculs 3D'!$D$32)+(((($D151*$T$4)+'Calculs 3D'!$E$13-OffsetZ)/Ecran)*'Calculs 3D'!$E$32)),0)</f>
        <v>-0.13340106876115299</v>
      </c>
      <c r="V151" s="105">
        <f>IF(Body9Actif=TRUE,((((($B151*$V$4)+'Calculs 3D'!$C$14-OffsetX)/Ecran)*'Calculs 3D'!$C$31)+(((($C151*$V$4)+'Calculs 3D'!$D$14-OffsetY)/Ecran)*'Calculs 3D'!$D$31)+(((($D151*$V$4)+'Calculs 3D'!$E$14-OffsetZ)/Ecran)*'Calculs 3D'!$E$31)),0)</f>
        <v>-0.18344404062288794</v>
      </c>
      <c r="W151" s="105">
        <f>IF(Body9Actif=TRUE,((((($B151*$V$4)+'Calculs 3D'!$C$14-OffsetX)/Ecran)*'Calculs 3D'!$C$32)+(((($C151*$V$4)+'Calculs 3D'!$D$14-OffsetY)/Ecran)*'Calculs 3D'!$D$32)+(((($D151*$V$4)+'Calculs 3D'!$E$14-OffsetZ)/Ecran)*'Calculs 3D'!$E$32)),0)</f>
        <v>0.28474623618627731</v>
      </c>
      <c r="X151" s="105">
        <f>IF(Body10Actif=TRUE,((((($B151*$X$4)+'Calculs 3D'!$C$15-OffsetX)/Ecran)*'Calculs 3D'!$C$31)+(((($C151*$X$4)+'Calculs 3D'!$D$15-OffsetY)/Ecran)*'Calculs 3D'!$D$31)+(((($D151*$X$4)+'Calculs 3D'!$E$15-OffsetZ)/Ecran)*'Calculs 3D'!$E$31)),0)</f>
        <v>-2.4174861651365134E-2</v>
      </c>
      <c r="Y151" s="105">
        <f>IF(Body10Actif=TRUE,((((($B151*$X$4)+'Calculs 3D'!$C$15-OffsetX)/Ecran)*'Calculs 3D'!$C$32)+(((($C151*$X$4)+'Calculs 3D'!$D$15-OffsetY)/Ecran)*'Calculs 3D'!$D$32)+(((($D151*$X$4)+'Calculs 3D'!$E$15-OffsetZ)/Ecran)*'Calculs 3D'!$E$32)),0)</f>
        <v>0.2866164210627164</v>
      </c>
    </row>
    <row r="152" spans="2:25" x14ac:dyDescent="0.3">
      <c r="B152" s="102">
        <v>-0.26575461516245491</v>
      </c>
      <c r="C152" s="102">
        <v>-0.81790860401383203</v>
      </c>
      <c r="D152" s="102">
        <v>-0.5</v>
      </c>
      <c r="F152" s="105">
        <f>IF(Body1Actif=TRUE,((((($B152*$F$4)+'Calculs 3D'!$C$6-OffsetX)/Ecran)*'Calculs 3D'!$C$31)+(((($C152*$F$4)+'Calculs 3D'!$D$6-OffsetY)/Ecran)*'Calculs 3D'!$D$31)+(((($D152*$F$4)+'Calculs 3D'!$E$6-OffsetZ)/Ecran)*'Calculs 3D'!$E$31)),0)</f>
        <v>4.7951415066665663E-2</v>
      </c>
      <c r="G152" s="105">
        <f>IF(Body1Actif=TRUE,((((($B152*$F$4)+'Calculs 3D'!$C$6-OffsetX)/Ecran)*'Calculs 3D'!$C$32)+(((($C152*$F$4)+'Calculs 3D'!$D$6-OffsetY)/Ecran)*'Calculs 3D'!$D$32)+(((($D152*$F$4)+'Calculs 3D'!$E$6-OffsetZ)/Ecran)*'Calculs 3D'!$E$32)),0)</f>
        <v>0.26129266125111955</v>
      </c>
      <c r="H152" s="105">
        <f>IF(Body2Actif=TRUE,((((($B152*$H$4)+'Calculs 3D'!$C$7-OffsetX)/Ecran)*'Calculs 3D'!$C$31)+(((($C152*$H$4)+'Calculs 3D'!$D$7-OffsetY)/Ecran)*'Calculs 3D'!$D$31)+(((($D152*$H$4)+'Calculs 3D'!$E$7-OffsetZ)/Ecran)*'Calculs 3D'!$E$31)),0)</f>
        <v>1.5005499840288115E-2</v>
      </c>
      <c r="I152" s="105">
        <f>IF(Body2Actif=TRUE,((((($B152*$H$4)+'Calculs 3D'!$C$7-OffsetX)/Ecran)*'Calculs 3D'!$C$32)+(((($C152*$H$4)+'Calculs 3D'!$D$7-OffsetY)/Ecran)*'Calculs 3D'!$D$32)+(((($D152*$H$4)+'Calculs 3D'!$E$7-OffsetZ)/Ecran)*'Calculs 3D'!$E$32)),0)</f>
        <v>2.0300866444642914E-2</v>
      </c>
      <c r="J152" s="105">
        <f>IF(Body3Actif=TRUE,((((($B152*$J$4)+'Calculs 3D'!$C$8-OffsetX)/Ecran)*'Calculs 3D'!$C$31)+(((($C152*$J$4)+'Calculs 3D'!$D$8-OffsetY)/Ecran)*'Calculs 3D'!$D$31)+(((($D152*$J$4)+'Calculs 3D'!$E$8-OffsetZ)/Ecran)*'Calculs 3D'!$E$31)),0)</f>
        <v>0.21410795735113103</v>
      </c>
      <c r="K152" s="105">
        <f>IF(Body3Actif=TRUE,((((($B152*$J$4)+'Calculs 3D'!$C$8-OffsetX)/Ecran)*'Calculs 3D'!$C$32)+(((($C152*$J$4)+'Calculs 3D'!$D$8-OffsetY)/Ecran)*'Calculs 3D'!$D$32)+(((($D152*$J$4)+'Calculs 3D'!$E$8-OffsetZ)/Ecran)*'Calculs 3D'!$E$32)),0)</f>
        <v>-8.5319945390296664E-2</v>
      </c>
      <c r="L152" s="105">
        <f>IF(Body4Actif=TRUE,((((($B152*$L$4)+'Calculs 3D'!$C$9-OffsetX)/Ecran)*'Calculs 3D'!$C$31)+(((($C152*$L$4)+'Calculs 3D'!$D$9-OffsetY)/Ecran)*'Calculs 3D'!$D$31)+(((($D152*$L$4)+'Calculs 3D'!$E$9-OffsetZ)/Ecran)*'Calculs 3D'!$E$31)),0)</f>
        <v>-0.10044502418774753</v>
      </c>
      <c r="M152" s="105">
        <f>IF(Body4Actif=TRUE,((((($B152*$L$4)+'Calculs 3D'!$C$9-OffsetX)/Ecran)*'Calculs 3D'!$C$32)+(((($C152*$L$4)+'Calculs 3D'!$D$9-OffsetY)/Ecran)*'Calculs 3D'!$D$32)+(((($D152*$L$4)+'Calculs 3D'!$E$9-OffsetZ)/Ecran)*'Calculs 3D'!$E$32)),0)</f>
        <v>-0.17789963673370832</v>
      </c>
      <c r="N152" s="105">
        <f>IF(Body5Actif=TRUE,((((($B152*$N$4)+'Calculs 3D'!$C$10-OffsetX)/Ecran)*'Calculs 3D'!$C$31)+(((($C152*$N$4)+'Calculs 3D'!$D$10-OffsetY)/Ecran)*'Calculs 3D'!$D$31)+(((($D152*$N$4)+'Calculs 3D'!$E$10-OffsetZ)/Ecran)*'Calculs 3D'!$E$31)),0)</f>
        <v>-5.9013836301386718E-3</v>
      </c>
      <c r="O152" s="105">
        <f>IF(Body5Actif=TRUE,((((($B152*$N$4)+'Calculs 3D'!$C$10-OffsetX)/Ecran)*'Calculs 3D'!$C$32)+(((($C152*$N$4)+'Calculs 3D'!$D$10-OffsetY)/Ecran)*'Calculs 3D'!$D$32)+(((($D152*$N$4)+'Calculs 3D'!$E$10-OffsetZ)/Ecran)*'Calculs 3D'!$E$32)),0)</f>
        <v>-1.1805262445437406E-2</v>
      </c>
      <c r="P152" s="105">
        <f>IF(Body6Actif=TRUE,((((($B152*$P$4)+'Calculs 3D'!$C$11-OffsetX)/Ecran)*'Calculs 3D'!$C$31)+(((($C152*$P$4)+'Calculs 3D'!$D$11-OffsetY)/Ecran)*'Calculs 3D'!$D$31)+(((($D152*$P$4)+'Calculs 3D'!$E$11-OffsetZ)/Ecran)*'Calculs 3D'!$E$31)),0)</f>
        <v>0.16088451547849852</v>
      </c>
      <c r="Q152" s="105">
        <f>IF(Body6Actif=TRUE,((((($B152*$P$4)+'Calculs 3D'!$C$11-OffsetX)/Ecran)*'Calculs 3D'!$C$32)+(((($C152*$P$4)+'Calculs 3D'!$D$11-OffsetY)/Ecran)*'Calculs 3D'!$D$32)+(((($D152*$P$4)+'Calculs 3D'!$E$11-OffsetZ)/Ecran)*'Calculs 3D'!$E$32)),0)</f>
        <v>0.12316441003877832</v>
      </c>
      <c r="R152" s="105">
        <f>IF(Body7Actif=TRUE,((((($B152*$R$4)+'Calculs 3D'!$C$12-OffsetX)/Ecran)*'Calculs 3D'!$C$31)+(((($C152*$R$4)+'Calculs 3D'!$D$12-OffsetY)/Ecran)*'Calculs 3D'!$D$31)+(((($D152*$R$4)+'Calculs 3D'!$E$12-OffsetZ)/Ecran)*'Calculs 3D'!$E$31)),0)</f>
        <v>-0.29057233380085046</v>
      </c>
      <c r="S152" s="105">
        <f>IF(Body7Actif=TRUE,((((($B152*$R$4)+'Calculs 3D'!$C$12-OffsetX)/Ecran)*'Calculs 3D'!$C$32)+(((($C152*$R$4)+'Calculs 3D'!$D$12-OffsetY)/Ecran)*'Calculs 3D'!$D$32)+(((($D152*$R$4)+'Calculs 3D'!$E$12-OffsetZ)/Ecran)*'Calculs 3D'!$E$32)),0)</f>
        <v>5.2410970817981267E-2</v>
      </c>
      <c r="T152" s="105">
        <f>IF(Body8Actif=TRUE,((((($B152*$T$4)+'Calculs 3D'!$C$13-OffsetX)/Ecran)*'Calculs 3D'!$C$31)+(((($C152*$T$4)+'Calculs 3D'!$D$13-OffsetY)/Ecran)*'Calculs 3D'!$D$31)+(((($D152*$T$4)+'Calculs 3D'!$E$13-OffsetZ)/Ecran)*'Calculs 3D'!$E$31)),0)</f>
        <v>0.16462408776085349</v>
      </c>
      <c r="U152" s="105">
        <f>IF(Body8Actif=TRUE,((((($B152*$T$4)+'Calculs 3D'!$C$13-OffsetX)/Ecran)*'Calculs 3D'!$C$32)+(((($C152*$T$4)+'Calculs 3D'!$D$13-OffsetY)/Ecran)*'Calculs 3D'!$D$32)+(((($D152*$T$4)+'Calculs 3D'!$E$13-OffsetZ)/Ecran)*'Calculs 3D'!$E$32)),0)</f>
        <v>-0.13415347940855876</v>
      </c>
      <c r="V152" s="105">
        <f>IF(Body9Actif=TRUE,((((($B152*$V$4)+'Calculs 3D'!$C$14-OffsetX)/Ecran)*'Calculs 3D'!$C$31)+(((($C152*$V$4)+'Calculs 3D'!$D$14-OffsetY)/Ecran)*'Calculs 3D'!$D$31)+(((($D152*$V$4)+'Calculs 3D'!$E$14-OffsetZ)/Ecran)*'Calculs 3D'!$E$31)),0)</f>
        <v>-0.18258003450809818</v>
      </c>
      <c r="W152" s="105">
        <f>IF(Body9Actif=TRUE,((((($B152*$V$4)+'Calculs 3D'!$C$14-OffsetX)/Ecran)*'Calculs 3D'!$C$32)+(((($C152*$V$4)+'Calculs 3D'!$D$14-OffsetY)/Ecran)*'Calculs 3D'!$D$32)+(((($D152*$V$4)+'Calculs 3D'!$E$14-OffsetZ)/Ecran)*'Calculs 3D'!$E$32)),0)</f>
        <v>0.2837022544188314</v>
      </c>
      <c r="X152" s="105">
        <f>IF(Body10Actif=TRUE,((((($B152*$X$4)+'Calculs 3D'!$C$15-OffsetX)/Ecran)*'Calculs 3D'!$C$31)+(((($C152*$X$4)+'Calculs 3D'!$D$15-OffsetY)/Ecran)*'Calculs 3D'!$D$31)+(((($D152*$X$4)+'Calculs 3D'!$E$15-OffsetZ)/Ecran)*'Calculs 3D'!$E$31)),0)</f>
        <v>-2.2870684082225298E-2</v>
      </c>
      <c r="Y152" s="105">
        <f>IF(Body10Actif=TRUE,((((($B152*$X$4)+'Calculs 3D'!$C$15-OffsetX)/Ecran)*'Calculs 3D'!$C$32)+(((($C152*$X$4)+'Calculs 3D'!$D$15-OffsetY)/Ecran)*'Calculs 3D'!$D$32)+(((($D152*$X$4)+'Calculs 3D'!$E$15-OffsetZ)/Ecran)*'Calculs 3D'!$E$32)),0)</f>
        <v>0.28504057850745257</v>
      </c>
    </row>
    <row r="153" spans="2:25" x14ac:dyDescent="0.3">
      <c r="B153" s="102">
        <v>-1.5804415068321199E-16</v>
      </c>
      <c r="C153" s="102">
        <v>-0.86</v>
      </c>
      <c r="D153" s="102">
        <v>-0.5</v>
      </c>
      <c r="F153" s="105">
        <f>IF(Body1Actif=TRUE,((((($B153*$F$4)+'Calculs 3D'!$C$6-OffsetX)/Ecran)*'Calculs 3D'!$C$31)+(((($C153*$F$4)+'Calculs 3D'!$D$6-OffsetY)/Ecran)*'Calculs 3D'!$D$31)+(((($D153*$F$4)+'Calculs 3D'!$E$6-OffsetZ)/Ecran)*'Calculs 3D'!$E$31)),0)</f>
        <v>4.866999572282333E-2</v>
      </c>
      <c r="G153" s="105">
        <f>IF(Body1Actif=TRUE,((((($B153*$F$4)+'Calculs 3D'!$C$6-OffsetX)/Ecran)*'Calculs 3D'!$C$32)+(((($C153*$F$4)+'Calculs 3D'!$D$6-OffsetY)/Ecran)*'Calculs 3D'!$D$32)+(((($D153*$F$4)+'Calculs 3D'!$E$6-OffsetZ)/Ecran)*'Calculs 3D'!$E$32)),0)</f>
        <v>0.26085025882420909</v>
      </c>
      <c r="H153" s="105">
        <f>IF(Body2Actif=TRUE,((((($B153*$H$4)+'Calculs 3D'!$C$7-OffsetX)/Ecran)*'Calculs 3D'!$C$31)+(((($C153*$H$4)+'Calculs 3D'!$D$7-OffsetY)/Ecran)*'Calculs 3D'!$D$31)+(((($D153*$H$4)+'Calculs 3D'!$E$7-OffsetZ)/Ecran)*'Calculs 3D'!$E$31)),0)</f>
        <v>1.7806438451351811E-2</v>
      </c>
      <c r="I153" s="105">
        <f>IF(Body2Actif=TRUE,((((($B153*$H$4)+'Calculs 3D'!$C$7-OffsetX)/Ecran)*'Calculs 3D'!$C$32)+(((($C153*$H$4)+'Calculs 3D'!$D$7-OffsetY)/Ecran)*'Calculs 3D'!$D$32)+(((($D153*$H$4)+'Calculs 3D'!$E$7-OffsetZ)/Ecran)*'Calculs 3D'!$E$32)),0)</f>
        <v>1.857643644705884E-2</v>
      </c>
      <c r="J153" s="105">
        <f>IF(Body3Actif=TRUE,((((($B153*$J$4)+'Calculs 3D'!$C$8-OffsetX)/Ecran)*'Calculs 3D'!$C$31)+(((($C153*$J$4)+'Calculs 3D'!$D$8-OffsetY)/Ecran)*'Calculs 3D'!$D$31)+(((($D153*$J$4)+'Calculs 3D'!$E$8-OffsetZ)/Ecran)*'Calculs 3D'!$E$31)),0)</f>
        <v>0.21535275668891118</v>
      </c>
      <c r="K153" s="105">
        <f>IF(Body3Actif=TRUE,((((($B153*$J$4)+'Calculs 3D'!$C$8-OffsetX)/Ecran)*'Calculs 3D'!$C$32)+(((($C153*$J$4)+'Calculs 3D'!$D$8-OffsetY)/Ecran)*'Calculs 3D'!$D$32)+(((($D153*$J$4)+'Calculs 3D'!$E$8-OffsetZ)/Ecran)*'Calculs 3D'!$E$32)),0)</f>
        <v>-8.608632038707878E-2</v>
      </c>
      <c r="L153" s="105">
        <f>IF(Body4Actif=TRUE,((((($B153*$L$4)+'Calculs 3D'!$C$9-OffsetX)/Ecran)*'Calculs 3D'!$C$31)+(((($C153*$L$4)+'Calculs 3D'!$D$9-OffsetY)/Ecran)*'Calculs 3D'!$D$31)+(((($D153*$L$4)+'Calculs 3D'!$E$9-OffsetZ)/Ecran)*'Calculs 3D'!$E$31)),0)</f>
        <v>-9.8826420830079281E-2</v>
      </c>
      <c r="M153" s="105">
        <f>IF(Body4Actif=TRUE,((((($B153*$L$4)+'Calculs 3D'!$C$9-OffsetX)/Ecran)*'Calculs 3D'!$C$32)+(((($C153*$L$4)+'Calculs 3D'!$D$9-OffsetY)/Ecran)*'Calculs 3D'!$D$32)+(((($D153*$L$4)+'Calculs 3D'!$E$9-OffsetZ)/Ecran)*'Calculs 3D'!$E$32)),0)</f>
        <v>-0.17889614846485744</v>
      </c>
      <c r="N153" s="105">
        <f>IF(Body5Actif=TRUE,((((($B153*$N$4)+'Calculs 3D'!$C$10-OffsetX)/Ecran)*'Calculs 3D'!$C$31)+(((($C153*$N$4)+'Calculs 3D'!$D$10-OffsetY)/Ecran)*'Calculs 3D'!$D$31)+(((($D153*$N$4)+'Calculs 3D'!$E$10-OffsetZ)/Ecran)*'Calculs 3D'!$E$31)),0)</f>
        <v>-4.0535993052169487E-3</v>
      </c>
      <c r="O153" s="105">
        <f>IF(Body5Actif=TRUE,((((($B153*$N$4)+'Calculs 3D'!$C$10-OffsetX)/Ecran)*'Calculs 3D'!$C$32)+(((($C153*$N$4)+'Calculs 3D'!$D$10-OffsetY)/Ecran)*'Calculs 3D'!$D$32)+(((($D153*$N$4)+'Calculs 3D'!$E$10-OffsetZ)/Ecran)*'Calculs 3D'!$E$32)),0)</f>
        <v>-1.294287206900234E-2</v>
      </c>
      <c r="P153" s="105">
        <f>IF(Body6Actif=TRUE,((((($B153*$P$4)+'Calculs 3D'!$C$11-OffsetX)/Ecran)*'Calculs 3D'!$C$31)+(((($C153*$P$4)+'Calculs 3D'!$D$11-OffsetY)/Ecran)*'Calculs 3D'!$D$31)+(((($D153*$P$4)+'Calculs 3D'!$E$11-OffsetZ)/Ecran)*'Calculs 3D'!$E$31)),0)</f>
        <v>0.16356227041729771</v>
      </c>
      <c r="Q153" s="105">
        <f>IF(Body6Actif=TRUE,((((($B153*$P$4)+'Calculs 3D'!$C$11-OffsetX)/Ecran)*'Calculs 3D'!$C$32)+(((($C153*$P$4)+'Calculs 3D'!$D$11-OffsetY)/Ecran)*'Calculs 3D'!$D$32)+(((($D153*$P$4)+'Calculs 3D'!$E$11-OffsetZ)/Ecran)*'Calculs 3D'!$E$32)),0)</f>
        <v>0.12151581948259663</v>
      </c>
      <c r="R153" s="105">
        <f>IF(Body7Actif=TRUE,((((($B153*$R$4)+'Calculs 3D'!$C$12-OffsetX)/Ecran)*'Calculs 3D'!$C$31)+(((($C153*$R$4)+'Calculs 3D'!$D$12-OffsetY)/Ecran)*'Calculs 3D'!$D$31)+(((($D153*$R$4)+'Calculs 3D'!$E$12-OffsetZ)/Ecran)*'Calculs 3D'!$E$31)),0)</f>
        <v>-0.28788316224032873</v>
      </c>
      <c r="S153" s="105">
        <f>IF(Body7Actif=TRUE,((((($B153*$R$4)+'Calculs 3D'!$C$12-OffsetX)/Ecran)*'Calculs 3D'!$C$32)+(((($C153*$R$4)+'Calculs 3D'!$D$12-OffsetY)/Ecran)*'Calculs 3D'!$D$32)+(((($D153*$R$4)+'Calculs 3D'!$E$12-OffsetZ)/Ecran)*'Calculs 3D'!$E$32)),0)</f>
        <v>5.0755351487626679E-2</v>
      </c>
      <c r="T153" s="105">
        <f>IF(Body8Actif=TRUE,((((($B153*$T$4)+'Calculs 3D'!$C$13-OffsetX)/Ecran)*'Calculs 3D'!$C$31)+(((($C153*$T$4)+'Calculs 3D'!$D$13-OffsetY)/Ecran)*'Calculs 3D'!$D$31)+(((($D153*$T$4)+'Calculs 3D'!$E$13-OffsetZ)/Ecran)*'Calculs 3D'!$E$31)),0)</f>
        <v>0.16559396568004336</v>
      </c>
      <c r="U153" s="105">
        <f>IF(Body8Actif=TRUE,((((($B153*$T$4)+'Calculs 3D'!$C$13-OffsetX)/Ecran)*'Calculs 3D'!$C$32)+(((($C153*$T$4)+'Calculs 3D'!$D$13-OffsetY)/Ecran)*'Calculs 3D'!$D$32)+(((($D153*$T$4)+'Calculs 3D'!$E$13-OffsetZ)/Ecran)*'Calculs 3D'!$E$32)),0)</f>
        <v>-0.13475059587917296</v>
      </c>
      <c r="V153" s="105">
        <f>IF(Body9Actif=TRUE,((((($B153*$V$4)+'Calculs 3D'!$C$14-OffsetX)/Ecran)*'Calculs 3D'!$C$31)+(((($C153*$V$4)+'Calculs 3D'!$D$14-OffsetY)/Ecran)*'Calculs 3D'!$D$31)+(((($D153*$V$4)+'Calculs 3D'!$E$14-OffsetZ)/Ecran)*'Calculs 3D'!$E$31)),0)</f>
        <v>-0.18123431343440835</v>
      </c>
      <c r="W153" s="105">
        <f>IF(Body9Actif=TRUE,((((($B153*$V$4)+'Calculs 3D'!$C$14-OffsetX)/Ecran)*'Calculs 3D'!$C$32)+(((($C153*$V$4)+'Calculs 3D'!$D$14-OffsetY)/Ecran)*'Calculs 3D'!$D$32)+(((($D153*$V$4)+'Calculs 3D'!$E$14-OffsetZ)/Ecran)*'Calculs 3D'!$E$32)),0)</f>
        <v>0.28287374579722674</v>
      </c>
      <c r="X153" s="105">
        <f>IF(Body10Actif=TRUE,((((($B153*$X$4)+'Calculs 3D'!$C$15-OffsetX)/Ecran)*'Calculs 3D'!$C$31)+(((($C153*$X$4)+'Calculs 3D'!$D$15-OffsetY)/Ecran)*'Calculs 3D'!$D$31)+(((($D153*$X$4)+'Calculs 3D'!$E$15-OffsetZ)/Ecran)*'Calculs 3D'!$E$31)),0)</f>
        <v>-2.0839379895156968E-2</v>
      </c>
      <c r="Y153" s="105">
        <f>IF(Body10Actif=TRUE,((((($B153*$X$4)+'Calculs 3D'!$C$15-OffsetX)/Ecran)*'Calculs 3D'!$C$32)+(((($C153*$X$4)+'Calculs 3D'!$D$15-OffsetY)/Ecran)*'Calculs 3D'!$D$32)+(((($D153*$X$4)+'Calculs 3D'!$E$15-OffsetZ)/Ecran)*'Calculs 3D'!$E$32)),0)</f>
        <v>0.28378998277480683</v>
      </c>
    </row>
    <row r="154" spans="2:25" x14ac:dyDescent="0.3">
      <c r="B154" s="102">
        <v>0.26575461516245463</v>
      </c>
      <c r="C154" s="102">
        <v>-0.81790860401383214</v>
      </c>
      <c r="D154" s="102">
        <v>-0.5</v>
      </c>
      <c r="F154" s="105">
        <f>IF(Body1Actif=TRUE,((((($B154*$F$4)+'Calculs 3D'!$C$6-OffsetX)/Ecran)*'Calculs 3D'!$C$31)+(((($C154*$F$4)+'Calculs 3D'!$D$6-OffsetY)/Ecran)*'Calculs 3D'!$D$31)+(((($D154*$F$4)+'Calculs 3D'!$E$6-OffsetZ)/Ecran)*'Calculs 3D'!$E$31)),0)</f>
        <v>4.9575460172927514E-2</v>
      </c>
      <c r="G154" s="105">
        <f>IF(Body1Actif=TRUE,((((($B154*$F$4)+'Calculs 3D'!$C$6-OffsetX)/Ecran)*'Calculs 3D'!$C$32)+(((($C154*$F$4)+'Calculs 3D'!$D$6-OffsetY)/Ecran)*'Calculs 3D'!$D$32)+(((($D154*$F$4)+'Calculs 3D'!$E$6-OffsetZ)/Ecran)*'Calculs 3D'!$E$32)),0)</f>
        <v>0.26056621898153909</v>
      </c>
      <c r="H154" s="105">
        <f>IF(Body2Actif=TRUE,((((($B154*$H$4)+'Calculs 3D'!$C$7-OffsetX)/Ecran)*'Calculs 3D'!$C$31)+(((($C154*$H$4)+'Calculs 3D'!$D$7-OffsetY)/Ecran)*'Calculs 3D'!$D$31)+(((($D154*$H$4)+'Calculs 3D'!$E$7-OffsetZ)/Ecran)*'Calculs 3D'!$E$31)),0)</f>
        <v>2.1335827000166285E-2</v>
      </c>
      <c r="I154" s="105">
        <f>IF(Body2Actif=TRUE,((((($B154*$H$4)+'Calculs 3D'!$C$7-OffsetX)/Ecran)*'Calculs 3D'!$C$32)+(((($C154*$H$4)+'Calculs 3D'!$D$7-OffsetY)/Ecran)*'Calculs 3D'!$D$32)+(((($D154*$H$4)+'Calculs 3D'!$E$7-OffsetZ)/Ecran)*'Calculs 3D'!$E$32)),0)</f>
        <v>1.7469284235825097E-2</v>
      </c>
      <c r="J154" s="105">
        <f>IF(Body3Actif=TRUE,((((($B154*$J$4)+'Calculs 3D'!$C$8-OffsetX)/Ecran)*'Calculs 3D'!$C$31)+(((($C154*$J$4)+'Calculs 3D'!$D$8-OffsetY)/Ecran)*'Calculs 3D'!$D$31)+(((($D154*$J$4)+'Calculs 3D'!$E$8-OffsetZ)/Ecran)*'Calculs 3D'!$E$31)),0)</f>
        <v>0.21692129536054755</v>
      </c>
      <c r="K154" s="105">
        <f>IF(Body3Actif=TRUE,((((($B154*$J$4)+'Calculs 3D'!$C$8-OffsetX)/Ecran)*'Calculs 3D'!$C$32)+(((($C154*$J$4)+'Calculs 3D'!$D$8-OffsetY)/Ecran)*'Calculs 3D'!$D$32)+(((($D154*$J$4)+'Calculs 3D'!$E$8-OffsetZ)/Ecran)*'Calculs 3D'!$E$32)),0)</f>
        <v>-8.6578363423624363E-2</v>
      </c>
      <c r="L154" s="105">
        <f>IF(Body4Actif=TRUE,((((($B154*$L$4)+'Calculs 3D'!$C$9-OffsetX)/Ecran)*'Calculs 3D'!$C$31)+(((($C154*$L$4)+'Calculs 3D'!$D$9-OffsetY)/Ecran)*'Calculs 3D'!$D$31)+(((($D154*$L$4)+'Calculs 3D'!$E$9-OffsetZ)/Ecran)*'Calculs 3D'!$E$31)),0)</f>
        <v>-9.6786861614799824E-2</v>
      </c>
      <c r="M154" s="105">
        <f>IF(Body4Actif=TRUE,((((($B154*$L$4)+'Calculs 3D'!$C$9-OffsetX)/Ecran)*'Calculs 3D'!$C$32)+(((($C154*$L$4)+'Calculs 3D'!$D$9-OffsetY)/Ecran)*'Calculs 3D'!$D$32)+(((($D154*$L$4)+'Calculs 3D'!$E$9-OffsetZ)/Ecran)*'Calculs 3D'!$E$32)),0)</f>
        <v>-0.17953594838031228</v>
      </c>
      <c r="N154" s="105">
        <f>IF(Body5Actif=TRUE,((((($B154*$N$4)+'Calculs 3D'!$C$10-OffsetX)/Ecran)*'Calculs 3D'!$C$31)+(((($C154*$N$4)+'Calculs 3D'!$D$10-OffsetY)/Ecran)*'Calculs 3D'!$D$31)+(((($D154*$N$4)+'Calculs 3D'!$E$10-OffsetZ)/Ecran)*'Calculs 3D'!$E$31)),0)</f>
        <v>-1.725255223951653E-3</v>
      </c>
      <c r="O154" s="105">
        <f>IF(Body5Actif=TRUE,((((($B154*$N$4)+'Calculs 3D'!$C$10-OffsetX)/Ecran)*'Calculs 3D'!$C$32)+(((($C154*$N$4)+'Calculs 3D'!$D$10-OffsetY)/Ecran)*'Calculs 3D'!$D$32)+(((($D154*$N$4)+'Calculs 3D'!$E$10-OffsetZ)/Ecran)*'Calculs 3D'!$E$32)),0)</f>
        <v>-1.3673262407847796E-2</v>
      </c>
      <c r="P154" s="105">
        <f>IF(Body6Actif=TRUE,((((($B154*$P$4)+'Calculs 3D'!$C$11-OffsetX)/Ecran)*'Calculs 3D'!$C$31)+(((($C154*$P$4)+'Calculs 3D'!$D$11-OffsetY)/Ecran)*'Calculs 3D'!$D$31)+(((($D154*$P$4)+'Calculs 3D'!$E$11-OffsetZ)/Ecran)*'Calculs 3D'!$E$31)),0)</f>
        <v>0.16693643848374465</v>
      </c>
      <c r="Q154" s="105">
        <f>IF(Body6Actif=TRUE,((((($B154*$P$4)+'Calculs 3D'!$C$11-OffsetX)/Ecran)*'Calculs 3D'!$C$32)+(((($C154*$P$4)+'Calculs 3D'!$D$11-OffsetY)/Ecran)*'Calculs 3D'!$D$32)+(((($D154*$P$4)+'Calculs 3D'!$E$11-OffsetZ)/Ecran)*'Calculs 3D'!$E$32)),0)</f>
        <v>0.12045735919006358</v>
      </c>
      <c r="R154" s="105">
        <f>IF(Body7Actif=TRUE,((((($B154*$R$4)+'Calculs 3D'!$C$12-OffsetX)/Ecran)*'Calculs 3D'!$C$31)+(((($C154*$R$4)+'Calculs 3D'!$D$12-OffsetY)/Ecran)*'Calculs 3D'!$D$31)+(((($D154*$R$4)+'Calculs 3D'!$E$12-OffsetZ)/Ecran)*'Calculs 3D'!$E$31)),0)</f>
        <v>-0.284494608391268</v>
      </c>
      <c r="S154" s="105">
        <f>IF(Body7Actif=TRUE,((((($B154*$R$4)+'Calculs 3D'!$C$12-OffsetX)/Ecran)*'Calculs 3D'!$C$32)+(((($C154*$R$4)+'Calculs 3D'!$D$12-OffsetY)/Ecran)*'Calculs 3D'!$D$32)+(((($D154*$R$4)+'Calculs 3D'!$E$12-OffsetZ)/Ecran)*'Calculs 3D'!$E$32)),0)</f>
        <v>4.9692378444283952E-2</v>
      </c>
      <c r="T154" s="105">
        <f>IF(Body8Actif=TRUE,((((($B154*$T$4)+'Calculs 3D'!$C$13-OffsetX)/Ecran)*'Calculs 3D'!$C$31)+(((($C154*$T$4)+'Calculs 3D'!$D$13-OffsetY)/Ecran)*'Calculs 3D'!$D$31)+(((($D154*$T$4)+'Calculs 3D'!$E$13-OffsetZ)/Ecran)*'Calculs 3D'!$E$31)),0)</f>
        <v>0.16681608315459831</v>
      </c>
      <c r="U154" s="105">
        <f>IF(Body8Actif=TRUE,((((($B154*$T$4)+'Calculs 3D'!$C$13-OffsetX)/Ecran)*'Calculs 3D'!$C$32)+(((($C154*$T$4)+'Calculs 3D'!$D$13-OffsetY)/Ecran)*'Calculs 3D'!$D$32)+(((($D154*$T$4)+'Calculs 3D'!$E$13-OffsetZ)/Ecran)*'Calculs 3D'!$E$32)),0)</f>
        <v>-0.13513396825249679</v>
      </c>
      <c r="V154" s="105">
        <f>IF(Body9Actif=TRUE,((((($B154*$V$4)+'Calculs 3D'!$C$14-OffsetX)/Ecran)*'Calculs 3D'!$C$31)+(((($C154*$V$4)+'Calculs 3D'!$D$14-OffsetY)/Ecran)*'Calculs 3D'!$D$31)+(((($D154*$V$4)+'Calculs 3D'!$E$14-OffsetZ)/Ecran)*'Calculs 3D'!$E$31)),0)</f>
        <v>-0.17953860595670135</v>
      </c>
      <c r="W154" s="105">
        <f>IF(Body9Actif=TRUE,((((($B154*$V$4)+'Calculs 3D'!$C$14-OffsetX)/Ecran)*'Calculs 3D'!$C$32)+(((($C154*$V$4)+'Calculs 3D'!$D$14-OffsetY)/Ecran)*'Calculs 3D'!$D$32)+(((($D154*$V$4)+'Calculs 3D'!$E$14-OffsetZ)/Ecran)*'Calculs 3D'!$E$32)),0)</f>
        <v>0.28234181051790486</v>
      </c>
      <c r="X154" s="105">
        <f>IF(Body10Actif=TRUE,((((($B154*$X$4)+'Calculs 3D'!$C$15-OffsetX)/Ecran)*'Calculs 3D'!$C$31)+(((($C154*$X$4)+'Calculs 3D'!$D$15-OffsetY)/Ecran)*'Calculs 3D'!$D$31)+(((($D154*$X$4)+'Calculs 3D'!$E$15-OffsetZ)/Ecran)*'Calculs 3D'!$E$31)),0)</f>
        <v>-1.8279787296918884E-2</v>
      </c>
      <c r="Y154" s="105">
        <f>IF(Body10Actif=TRUE,((((($B154*$X$4)+'Calculs 3D'!$C$15-OffsetX)/Ecran)*'Calculs 3D'!$C$32)+(((($C154*$X$4)+'Calculs 3D'!$D$15-OffsetY)/Ecran)*'Calculs 3D'!$D$32)+(((($D154*$X$4)+'Calculs 3D'!$E$15-OffsetZ)/Ecran)*'Calculs 3D'!$E$32)),0)</f>
        <v>0.28298705088850357</v>
      </c>
    </row>
    <row r="155" spans="2:25" x14ac:dyDescent="0.3">
      <c r="B155" s="102">
        <v>0.50549531697152672</v>
      </c>
      <c r="C155" s="102">
        <v>-0.69575461516245485</v>
      </c>
      <c r="D155" s="102">
        <v>-0.5</v>
      </c>
      <c r="F155" s="105">
        <f>IF(Body1Actif=TRUE,((((($B155*$F$4)+'Calculs 3D'!$C$6-OffsetX)/Ecran)*'Calculs 3D'!$C$31)+(((($C155*$F$4)+'Calculs 3D'!$D$6-OffsetY)/Ecran)*'Calculs 3D'!$D$31)+(((($D155*$F$4)+'Calculs 3D'!$E$6-OffsetZ)/Ecran)*'Calculs 3D'!$E$31)),0)</f>
        <v>5.0579175247860278E-2</v>
      </c>
      <c r="G155" s="105">
        <f>IF(Body1Actif=TRUE,((((($B155*$F$4)+'Calculs 3D'!$C$6-OffsetX)/Ecran)*'Calculs 3D'!$C$32)+(((($C155*$F$4)+'Calculs 3D'!$D$6-OffsetY)/Ecran)*'Calculs 3D'!$D$32)+(((($D155*$F$4)+'Calculs 3D'!$E$6-OffsetZ)/Ecran)*'Calculs 3D'!$E$32)),0)</f>
        <v>0.26046834552193221</v>
      </c>
      <c r="H155" s="105">
        <f>IF(Body2Actif=TRUE,((((($B155*$H$4)+'Calculs 3D'!$C$7-OffsetX)/Ecran)*'Calculs 3D'!$C$31)+(((($C155*$H$4)+'Calculs 3D'!$D$7-OffsetY)/Ecran)*'Calculs 3D'!$D$31)+(((($D155*$H$4)+'Calculs 3D'!$E$7-OffsetZ)/Ecran)*'Calculs 3D'!$E$31)),0)</f>
        <v>2.5248184344877588E-2</v>
      </c>
      <c r="I155" s="105">
        <f>IF(Body2Actif=TRUE,((((($B155*$H$4)+'Calculs 3D'!$C$7-OffsetX)/Ecran)*'Calculs 3D'!$C$32)+(((($C155*$H$4)+'Calculs 3D'!$D$7-OffsetY)/Ecran)*'Calculs 3D'!$D$32)+(((($D155*$H$4)+'Calculs 3D'!$E$7-OffsetZ)/Ecran)*'Calculs 3D'!$E$32)),0)</f>
        <v>1.7087785583360292E-2</v>
      </c>
      <c r="J155" s="105">
        <f>IF(Body3Actif=TRUE,((((($B155*$J$4)+'Calculs 3D'!$C$8-OffsetX)/Ecran)*'Calculs 3D'!$C$31)+(((($C155*$J$4)+'Calculs 3D'!$D$8-OffsetY)/Ecran)*'Calculs 3D'!$D$31)+(((($D155*$J$4)+'Calculs 3D'!$E$8-OffsetZ)/Ecran)*'Calculs 3D'!$E$31)),0)</f>
        <v>0.21866003387220898</v>
      </c>
      <c r="K155" s="105">
        <f>IF(Body3Actif=TRUE,((((($B155*$J$4)+'Calculs 3D'!$C$8-OffsetX)/Ecran)*'Calculs 3D'!$C$32)+(((($C155*$J$4)+'Calculs 3D'!$D$8-OffsetY)/Ecran)*'Calculs 3D'!$D$32)+(((($D155*$J$4)+'Calculs 3D'!$E$8-OffsetZ)/Ecran)*'Calculs 3D'!$E$32)),0)</f>
        <v>-8.6747909899250908E-2</v>
      </c>
      <c r="L155" s="105">
        <f>IF(Body4Actif=TRUE,((((($B155*$L$4)+'Calculs 3D'!$C$9-OffsetX)/Ecran)*'Calculs 3D'!$C$31)+(((($C155*$L$4)+'Calculs 3D'!$D$9-OffsetY)/Ecran)*'Calculs 3D'!$D$31)+(((($D155*$L$4)+'Calculs 3D'!$E$9-OffsetZ)/Ecran)*'Calculs 3D'!$E$31)),0)</f>
        <v>-9.4525992808345366E-2</v>
      </c>
      <c r="M155" s="105">
        <f>IF(Body4Actif=TRUE,((((($B155*$L$4)+'Calculs 3D'!$C$9-OffsetX)/Ecran)*'Calculs 3D'!$C$32)+(((($C155*$L$4)+'Calculs 3D'!$D$9-OffsetY)/Ecran)*'Calculs 3D'!$D$32)+(((($D155*$L$4)+'Calculs 3D'!$E$9-OffsetZ)/Ecran)*'Calculs 3D'!$E$32)),0)</f>
        <v>-0.17975640840660001</v>
      </c>
      <c r="N155" s="105">
        <f>IF(Body5Actif=TRUE,((((($B155*$N$4)+'Calculs 3D'!$C$10-OffsetX)/Ecran)*'Calculs 3D'!$C$31)+(((($C155*$N$4)+'Calculs 3D'!$D$10-OffsetY)/Ecran)*'Calculs 3D'!$D$31)+(((($D155*$N$4)+'Calculs 3D'!$E$10-OffsetZ)/Ecran)*'Calculs 3D'!$E$31)),0)</f>
        <v>8.5573407245585157E-4</v>
      </c>
      <c r="O155" s="105">
        <f>IF(Body5Actif=TRUE,((((($B155*$N$4)+'Calculs 3D'!$C$10-OffsetX)/Ecran)*'Calculs 3D'!$C$32)+(((($C155*$N$4)+'Calculs 3D'!$D$10-OffsetY)/Ecran)*'Calculs 3D'!$D$32)+(((($D155*$N$4)+'Calculs 3D'!$E$10-OffsetZ)/Ecran)*'Calculs 3D'!$E$32)),0)</f>
        <v>-1.3924937766678852E-2</v>
      </c>
      <c r="P155" s="105">
        <f>IF(Body6Actif=TRUE,((((($B155*$P$4)+'Calculs 3D'!$C$11-OffsetX)/Ecran)*'Calculs 3D'!$C$31)+(((($C155*$P$4)+'Calculs 3D'!$D$11-OffsetY)/Ecran)*'Calculs 3D'!$D$31)+(((($D155*$P$4)+'Calculs 3D'!$E$11-OffsetZ)/Ecran)*'Calculs 3D'!$E$31)),0)</f>
        <v>0.17067673259828417</v>
      </c>
      <c r="Q155" s="105">
        <f>IF(Body6Actif=TRUE,((((($B155*$P$4)+'Calculs 3D'!$C$11-OffsetX)/Ecran)*'Calculs 3D'!$C$32)+(((($C155*$P$4)+'Calculs 3D'!$D$11-OffsetY)/Ecran)*'Calculs 3D'!$D$32)+(((($D155*$P$4)+'Calculs 3D'!$E$11-OffsetZ)/Ecran)*'Calculs 3D'!$E$32)),0)</f>
        <v>0.12009263862933878</v>
      </c>
      <c r="R155" s="105">
        <f>IF(Body7Actif=TRUE,((((($B155*$R$4)+'Calculs 3D'!$C$12-OffsetX)/Ecran)*'Calculs 3D'!$C$31)+(((($C155*$R$4)+'Calculs 3D'!$D$12-OffsetY)/Ecran)*'Calculs 3D'!$D$31)+(((($D155*$R$4)+'Calculs 3D'!$E$12-OffsetZ)/Ecran)*'Calculs 3D'!$E$31)),0)</f>
        <v>-0.28073836751385717</v>
      </c>
      <c r="S155" s="105">
        <f>IF(Body7Actif=TRUE,((((($B155*$R$4)+'Calculs 3D'!$C$12-OffsetX)/Ecran)*'Calculs 3D'!$C$32)+(((($C155*$R$4)+'Calculs 3D'!$D$12-OffsetY)/Ecran)*'Calculs 3D'!$D$32)+(((($D155*$R$4)+'Calculs 3D'!$E$12-OffsetZ)/Ecran)*'Calculs 3D'!$E$32)),0)</f>
        <v>4.9326102895604185E-2</v>
      </c>
      <c r="T155" s="105">
        <f>IF(Body8Actif=TRUE,((((($B155*$T$4)+'Calculs 3D'!$C$13-OffsetX)/Ecran)*'Calculs 3D'!$C$31)+(((($C155*$T$4)+'Calculs 3D'!$D$13-OffsetY)/Ecran)*'Calculs 3D'!$D$31)+(((($D155*$T$4)+'Calculs 3D'!$E$13-OffsetZ)/Ecran)*'Calculs 3D'!$E$31)),0)</f>
        <v>0.16817081081111579</v>
      </c>
      <c r="U155" s="105">
        <f>IF(Body8Actif=TRUE,((((($B155*$T$4)+'Calculs 3D'!$C$13-OffsetX)/Ecran)*'Calculs 3D'!$C$32)+(((($C155*$T$4)+'Calculs 3D'!$D$13-OffsetY)/Ecran)*'Calculs 3D'!$D$32)+(((($D155*$T$4)+'Calculs 3D'!$E$13-OffsetZ)/Ecran)*'Calculs 3D'!$E$32)),0)</f>
        <v>-0.13526606936951691</v>
      </c>
      <c r="V155" s="105">
        <f>IF(Body9Actif=TRUE,((((($B155*$V$4)+'Calculs 3D'!$C$14-OffsetX)/Ecran)*'Calculs 3D'!$C$31)+(((($C155*$V$4)+'Calculs 3D'!$D$14-OffsetY)/Ecran)*'Calculs 3D'!$D$31)+(((($D155*$V$4)+'Calculs 3D'!$E$14-OffsetZ)/Ecran)*'Calculs 3D'!$E$31)),0)</f>
        <v>-0.17765889973758367</v>
      </c>
      <c r="W155" s="105">
        <f>IF(Body9Actif=TRUE,((((($B155*$V$4)+'Calculs 3D'!$C$14-OffsetX)/Ecran)*'Calculs 3D'!$C$32)+(((($C155*$V$4)+'Calculs 3D'!$D$14-OffsetY)/Ecran)*'Calculs 3D'!$D$32)+(((($D155*$V$4)+'Calculs 3D'!$E$14-OffsetZ)/Ecran)*'Calculs 3D'!$E$32)),0)</f>
        <v>0.28215851811221693</v>
      </c>
      <c r="X155" s="105">
        <f>IF(Body10Actif=TRUE,((((($B155*$X$4)+'Calculs 3D'!$C$15-OffsetX)/Ecran)*'Calculs 3D'!$C$31)+(((($C155*$X$4)+'Calculs 3D'!$D$15-OffsetY)/Ecran)*'Calculs 3D'!$D$31)+(((($D155*$X$4)+'Calculs 3D'!$E$15-OffsetZ)/Ecran)*'Calculs 3D'!$E$31)),0)</f>
        <v>-1.5442457044756927E-2</v>
      </c>
      <c r="Y155" s="105">
        <f>IF(Body10Actif=TRUE,((((($B155*$X$4)+'Calculs 3D'!$C$15-OffsetX)/Ecran)*'Calculs 3D'!$C$32)+(((($C155*$X$4)+'Calculs 3D'!$D$15-OffsetY)/Ecran)*'Calculs 3D'!$D$32)+(((($D155*$X$4)+'Calculs 3D'!$E$15-OffsetZ)/Ecran)*'Calculs 3D'!$E$32)),0)</f>
        <v>0.28271037941592947</v>
      </c>
    </row>
    <row r="156" spans="2:25" x14ac:dyDescent="0.3">
      <c r="B156" s="102">
        <v>0.69575461516245474</v>
      </c>
      <c r="C156" s="102">
        <v>-0.50549531697152705</v>
      </c>
      <c r="D156" s="102">
        <v>-0.5</v>
      </c>
      <c r="F156" s="105">
        <f>IF(Body1Actif=TRUE,((((($B156*$F$4)+'Calculs 3D'!$C$6-OffsetX)/Ecran)*'Calculs 3D'!$C$31)+(((($C156*$F$4)+'Calculs 3D'!$D$6-OffsetY)/Ecran)*'Calculs 3D'!$D$31)+(((($D156*$F$4)+'Calculs 3D'!$E$6-OffsetZ)/Ecran)*'Calculs 3D'!$E$31)),0)</f>
        <v>5.1582890322793042E-2</v>
      </c>
      <c r="G156" s="105">
        <f>IF(Body1Actif=TRUE,((((($B156*$F$4)+'Calculs 3D'!$C$6-OffsetX)/Ecran)*'Calculs 3D'!$C$32)+(((($C156*$F$4)+'Calculs 3D'!$D$6-OffsetY)/Ecran)*'Calculs 3D'!$D$32)+(((($D156*$F$4)+'Calculs 3D'!$E$6-OffsetZ)/Ecran)*'Calculs 3D'!$E$32)),0)</f>
        <v>0.26056621898153909</v>
      </c>
      <c r="H156" s="105">
        <f>IF(Body2Actif=TRUE,((((($B156*$H$4)+'Calculs 3D'!$C$7-OffsetX)/Ecran)*'Calculs 3D'!$C$31)+(((($C156*$H$4)+'Calculs 3D'!$D$7-OffsetY)/Ecran)*'Calculs 3D'!$D$31)+(((($D156*$H$4)+'Calculs 3D'!$E$7-OffsetZ)/Ecran)*'Calculs 3D'!$E$31)),0)</f>
        <v>2.9160541689588888E-2</v>
      </c>
      <c r="I156" s="105">
        <f>IF(Body2Actif=TRUE,((((($B156*$H$4)+'Calculs 3D'!$C$7-OffsetX)/Ecran)*'Calculs 3D'!$C$32)+(((($C156*$H$4)+'Calculs 3D'!$D$7-OffsetY)/Ecran)*'Calculs 3D'!$D$32)+(((($D156*$H$4)+'Calculs 3D'!$E$7-OffsetZ)/Ecran)*'Calculs 3D'!$E$32)),0)</f>
        <v>1.7469284235825094E-2</v>
      </c>
      <c r="J156" s="105">
        <f>IF(Body3Actif=TRUE,((((($B156*$J$4)+'Calculs 3D'!$C$8-OffsetX)/Ecran)*'Calculs 3D'!$C$31)+(((($C156*$J$4)+'Calculs 3D'!$D$8-OffsetY)/Ecran)*'Calculs 3D'!$D$31)+(((($D156*$J$4)+'Calculs 3D'!$E$8-OffsetZ)/Ecran)*'Calculs 3D'!$E$31)),0)</f>
        <v>0.22039877238387034</v>
      </c>
      <c r="K156" s="105">
        <f>IF(Body3Actif=TRUE,((((($B156*$J$4)+'Calculs 3D'!$C$8-OffsetX)/Ecran)*'Calculs 3D'!$C$32)+(((($C156*$J$4)+'Calculs 3D'!$D$8-OffsetY)/Ecran)*'Calculs 3D'!$D$32)+(((($D156*$J$4)+'Calculs 3D'!$E$8-OffsetZ)/Ecran)*'Calculs 3D'!$E$32)),0)</f>
        <v>-8.6578363423624377E-2</v>
      </c>
      <c r="L156" s="105">
        <f>IF(Body4Actif=TRUE,((((($B156*$L$4)+'Calculs 3D'!$C$9-OffsetX)/Ecran)*'Calculs 3D'!$C$31)+(((($C156*$L$4)+'Calculs 3D'!$D$9-OffsetY)/Ecran)*'Calculs 3D'!$D$31)+(((($D156*$L$4)+'Calculs 3D'!$E$9-OffsetZ)/Ecran)*'Calculs 3D'!$E$31)),0)</f>
        <v>-9.2265124001890908E-2</v>
      </c>
      <c r="M156" s="105">
        <f>IF(Body4Actif=TRUE,((((($B156*$L$4)+'Calculs 3D'!$C$9-OffsetX)/Ecran)*'Calculs 3D'!$C$32)+(((($C156*$L$4)+'Calculs 3D'!$D$9-OffsetY)/Ecran)*'Calculs 3D'!$D$32)+(((($D156*$L$4)+'Calculs 3D'!$E$9-OffsetZ)/Ecran)*'Calculs 3D'!$E$32)),0)</f>
        <v>-0.17953594838031228</v>
      </c>
      <c r="N156" s="105">
        <f>IF(Body5Actif=TRUE,((((($B156*$N$4)+'Calculs 3D'!$C$10-OffsetX)/Ecran)*'Calculs 3D'!$C$31)+(((($C156*$N$4)+'Calculs 3D'!$D$10-OffsetY)/Ecran)*'Calculs 3D'!$D$31)+(((($D156*$N$4)+'Calculs 3D'!$E$10-OffsetZ)/Ecran)*'Calculs 3D'!$E$31)),0)</f>
        <v>3.4367233688633561E-3</v>
      </c>
      <c r="O156" s="105">
        <f>IF(Body5Actif=TRUE,((((($B156*$N$4)+'Calculs 3D'!$C$10-OffsetX)/Ecran)*'Calculs 3D'!$C$32)+(((($C156*$N$4)+'Calculs 3D'!$D$10-OffsetY)/Ecran)*'Calculs 3D'!$D$32)+(((($D156*$N$4)+'Calculs 3D'!$E$10-OffsetZ)/Ecran)*'Calculs 3D'!$E$32)),0)</f>
        <v>-1.3673262407847796E-2</v>
      </c>
      <c r="P156" s="105">
        <f>IF(Body6Actif=TRUE,((((($B156*$P$4)+'Calculs 3D'!$C$11-OffsetX)/Ecran)*'Calculs 3D'!$C$31)+(((($C156*$P$4)+'Calculs 3D'!$D$11-OffsetY)/Ecran)*'Calculs 3D'!$D$31)+(((($D156*$P$4)+'Calculs 3D'!$E$11-OffsetZ)/Ecran)*'Calculs 3D'!$E$31)),0)</f>
        <v>0.17441702671282372</v>
      </c>
      <c r="Q156" s="105">
        <f>IF(Body6Actif=TRUE,((((($B156*$P$4)+'Calculs 3D'!$C$11-OffsetX)/Ecran)*'Calculs 3D'!$C$32)+(((($C156*$P$4)+'Calculs 3D'!$D$11-OffsetY)/Ecran)*'Calculs 3D'!$D$32)+(((($D156*$P$4)+'Calculs 3D'!$E$11-OffsetZ)/Ecran)*'Calculs 3D'!$E$32)),0)</f>
        <v>0.12045735919006358</v>
      </c>
      <c r="R156" s="105">
        <f>IF(Body7Actif=TRUE,((((($B156*$R$4)+'Calculs 3D'!$C$12-OffsetX)/Ecran)*'Calculs 3D'!$C$31)+(((($C156*$R$4)+'Calculs 3D'!$D$12-OffsetY)/Ecran)*'Calculs 3D'!$D$31)+(((($D156*$R$4)+'Calculs 3D'!$E$12-OffsetZ)/Ecran)*'Calculs 3D'!$E$31)),0)</f>
        <v>-0.27698212663644634</v>
      </c>
      <c r="S156" s="105">
        <f>IF(Body7Actif=TRUE,((((($B156*$R$4)+'Calculs 3D'!$C$12-OffsetX)/Ecran)*'Calculs 3D'!$C$32)+(((($C156*$R$4)+'Calculs 3D'!$D$12-OffsetY)/Ecran)*'Calculs 3D'!$D$32)+(((($D156*$R$4)+'Calculs 3D'!$E$12-OffsetZ)/Ecran)*'Calculs 3D'!$E$32)),0)</f>
        <v>4.9692378444283952E-2</v>
      </c>
      <c r="T156" s="105">
        <f>IF(Body8Actif=TRUE,((((($B156*$T$4)+'Calculs 3D'!$C$13-OffsetX)/Ecran)*'Calculs 3D'!$C$31)+(((($C156*$T$4)+'Calculs 3D'!$D$13-OffsetY)/Ecran)*'Calculs 3D'!$D$31)+(((($D156*$T$4)+'Calculs 3D'!$E$13-OffsetZ)/Ecran)*'Calculs 3D'!$E$31)),0)</f>
        <v>0.16952553846763324</v>
      </c>
      <c r="U156" s="105">
        <f>IF(Body8Actif=TRUE,((((($B156*$T$4)+'Calculs 3D'!$C$13-OffsetX)/Ecran)*'Calculs 3D'!$C$32)+(((($C156*$T$4)+'Calculs 3D'!$D$13-OffsetY)/Ecran)*'Calculs 3D'!$D$32)+(((($D156*$T$4)+'Calculs 3D'!$E$13-OffsetZ)/Ecran)*'Calculs 3D'!$E$32)),0)</f>
        <v>-0.13513396825249679</v>
      </c>
      <c r="V156" s="105">
        <f>IF(Body9Actif=TRUE,((((($B156*$V$4)+'Calculs 3D'!$C$14-OffsetX)/Ecran)*'Calculs 3D'!$C$31)+(((($C156*$V$4)+'Calculs 3D'!$D$14-OffsetY)/Ecran)*'Calculs 3D'!$D$31)+(((($D156*$V$4)+'Calculs 3D'!$E$14-OffsetZ)/Ecran)*'Calculs 3D'!$E$31)),0)</f>
        <v>-0.17577919351846605</v>
      </c>
      <c r="W156" s="105">
        <f>IF(Body9Actif=TRUE,((((($B156*$V$4)+'Calculs 3D'!$C$14-OffsetX)/Ecran)*'Calculs 3D'!$C$32)+(((($C156*$V$4)+'Calculs 3D'!$D$14-OffsetY)/Ecran)*'Calculs 3D'!$D$32)+(((($D156*$V$4)+'Calculs 3D'!$E$14-OffsetZ)/Ecran)*'Calculs 3D'!$E$32)),0)</f>
        <v>0.28234181051790486</v>
      </c>
      <c r="X156" s="105">
        <f>IF(Body10Actif=TRUE,((((($B156*$X$4)+'Calculs 3D'!$C$15-OffsetX)/Ecran)*'Calculs 3D'!$C$31)+(((($C156*$X$4)+'Calculs 3D'!$D$15-OffsetY)/Ecran)*'Calculs 3D'!$D$31)+(((($D156*$X$4)+'Calculs 3D'!$E$15-OffsetZ)/Ecran)*'Calculs 3D'!$E$31)),0)</f>
        <v>-1.2605126792594915E-2</v>
      </c>
      <c r="Y156" s="105">
        <f>IF(Body10Actif=TRUE,((((($B156*$X$4)+'Calculs 3D'!$C$15-OffsetX)/Ecran)*'Calculs 3D'!$C$32)+(((($C156*$X$4)+'Calculs 3D'!$D$15-OffsetY)/Ecran)*'Calculs 3D'!$D$32)+(((($D156*$X$4)+'Calculs 3D'!$E$15-OffsetZ)/Ecran)*'Calculs 3D'!$E$32)),0)</f>
        <v>0.28298705088850362</v>
      </c>
    </row>
    <row r="157" spans="2:25" x14ac:dyDescent="0.3">
      <c r="B157" s="102">
        <v>0.81790860401383203</v>
      </c>
      <c r="C157" s="102">
        <v>-0.26575461516245497</v>
      </c>
      <c r="D157" s="102">
        <v>-0.5</v>
      </c>
      <c r="F157" s="105">
        <f>IF(Body1Actif=TRUE,((((($B157*$F$4)+'Calculs 3D'!$C$6-OffsetX)/Ecran)*'Calculs 3D'!$C$31)+(((($C157*$F$4)+'Calculs 3D'!$D$6-OffsetY)/Ecran)*'Calculs 3D'!$D$31)+(((($D157*$F$4)+'Calculs 3D'!$E$6-OffsetZ)/Ecran)*'Calculs 3D'!$E$31)),0)</f>
        <v>5.2488354772897233E-2</v>
      </c>
      <c r="G157" s="105">
        <f>IF(Body1Actif=TRUE,((((($B157*$F$4)+'Calculs 3D'!$C$6-OffsetX)/Ecran)*'Calculs 3D'!$C$32)+(((($C157*$F$4)+'Calculs 3D'!$D$6-OffsetY)/Ecran)*'Calculs 3D'!$D$32)+(((($D157*$F$4)+'Calculs 3D'!$E$6-OffsetZ)/Ecran)*'Calculs 3D'!$E$32)),0)</f>
        <v>0.26085025882420904</v>
      </c>
      <c r="H157" s="105">
        <f>IF(Body2Actif=TRUE,((((($B157*$H$4)+'Calculs 3D'!$C$7-OffsetX)/Ecran)*'Calculs 3D'!$C$31)+(((($C157*$H$4)+'Calculs 3D'!$D$7-OffsetY)/Ecran)*'Calculs 3D'!$D$31)+(((($D157*$H$4)+'Calculs 3D'!$E$7-OffsetZ)/Ecran)*'Calculs 3D'!$E$31)),0)</f>
        <v>3.2689930238403359E-2</v>
      </c>
      <c r="I157" s="105">
        <f>IF(Body2Actif=TRUE,((((($B157*$H$4)+'Calculs 3D'!$C$7-OffsetX)/Ecran)*'Calculs 3D'!$C$32)+(((($C157*$H$4)+'Calculs 3D'!$D$7-OffsetY)/Ecran)*'Calculs 3D'!$D$32)+(((($D157*$H$4)+'Calculs 3D'!$E$7-OffsetZ)/Ecran)*'Calculs 3D'!$E$32)),0)</f>
        <v>1.8576436447058836E-2</v>
      </c>
      <c r="J157" s="105">
        <f>IF(Body3Actif=TRUE,((((($B157*$J$4)+'Calculs 3D'!$C$8-OffsetX)/Ecran)*'Calculs 3D'!$C$31)+(((($C157*$J$4)+'Calculs 3D'!$D$8-OffsetY)/Ecran)*'Calculs 3D'!$D$31)+(((($D157*$J$4)+'Calculs 3D'!$E$8-OffsetZ)/Ecran)*'Calculs 3D'!$E$31)),0)</f>
        <v>0.22196731105550677</v>
      </c>
      <c r="K157" s="105">
        <f>IF(Body3Actif=TRUE,((((($B157*$J$4)+'Calculs 3D'!$C$8-OffsetX)/Ecran)*'Calculs 3D'!$C$32)+(((($C157*$J$4)+'Calculs 3D'!$D$8-OffsetY)/Ecran)*'Calculs 3D'!$D$32)+(((($D157*$J$4)+'Calculs 3D'!$E$8-OffsetZ)/Ecran)*'Calculs 3D'!$E$32)),0)</f>
        <v>-8.608632038707878E-2</v>
      </c>
      <c r="L157" s="105">
        <f>IF(Body4Actif=TRUE,((((($B157*$L$4)+'Calculs 3D'!$C$9-OffsetX)/Ecran)*'Calculs 3D'!$C$31)+(((($C157*$L$4)+'Calculs 3D'!$D$9-OffsetY)/Ecran)*'Calculs 3D'!$D$31)+(((($D157*$L$4)+'Calculs 3D'!$E$9-OffsetZ)/Ecran)*'Calculs 3D'!$E$31)),0)</f>
        <v>-9.0225564786611451E-2</v>
      </c>
      <c r="M157" s="105">
        <f>IF(Body4Actif=TRUE,((((($B157*$L$4)+'Calculs 3D'!$C$9-OffsetX)/Ecran)*'Calculs 3D'!$C$32)+(((($C157*$L$4)+'Calculs 3D'!$D$9-OffsetY)/Ecran)*'Calculs 3D'!$D$32)+(((($D157*$L$4)+'Calculs 3D'!$E$9-OffsetZ)/Ecran)*'Calculs 3D'!$E$32)),0)</f>
        <v>-0.17889614846485744</v>
      </c>
      <c r="N157" s="105">
        <f>IF(Body5Actif=TRUE,((((($B157*$N$4)+'Calculs 3D'!$C$10-OffsetX)/Ecran)*'Calculs 3D'!$C$31)+(((($C157*$N$4)+'Calculs 3D'!$D$10-OffsetY)/Ecran)*'Calculs 3D'!$D$31)+(((($D157*$N$4)+'Calculs 3D'!$E$10-OffsetZ)/Ecran)*'Calculs 3D'!$E$31)),0)</f>
        <v>5.7650674501286527E-3</v>
      </c>
      <c r="O157" s="105">
        <f>IF(Body5Actif=TRUE,((((($B157*$N$4)+'Calculs 3D'!$C$10-OffsetX)/Ecran)*'Calculs 3D'!$C$32)+(((($C157*$N$4)+'Calculs 3D'!$D$10-OffsetY)/Ecran)*'Calculs 3D'!$D$32)+(((($D157*$N$4)+'Calculs 3D'!$E$10-OffsetZ)/Ecran)*'Calculs 3D'!$E$32)),0)</f>
        <v>-1.294287206900234E-2</v>
      </c>
      <c r="P157" s="105">
        <f>IF(Body6Actif=TRUE,((((($B157*$P$4)+'Calculs 3D'!$C$11-OffsetX)/Ecran)*'Calculs 3D'!$C$31)+(((($C157*$P$4)+'Calculs 3D'!$D$11-OffsetY)/Ecran)*'Calculs 3D'!$D$31)+(((($D157*$P$4)+'Calculs 3D'!$E$11-OffsetZ)/Ecran)*'Calculs 3D'!$E$31)),0)</f>
        <v>0.17779119477927063</v>
      </c>
      <c r="Q157" s="105">
        <f>IF(Body6Actif=TRUE,((((($B157*$P$4)+'Calculs 3D'!$C$11-OffsetX)/Ecran)*'Calculs 3D'!$C$32)+(((($C157*$P$4)+'Calculs 3D'!$D$11-OffsetY)/Ecran)*'Calculs 3D'!$D$32)+(((($D157*$P$4)+'Calculs 3D'!$E$11-OffsetZ)/Ecran)*'Calculs 3D'!$E$32)),0)</f>
        <v>0.12151581948259663</v>
      </c>
      <c r="R157" s="105">
        <f>IF(Body7Actif=TRUE,((((($B157*$R$4)+'Calculs 3D'!$C$12-OffsetX)/Ecran)*'Calculs 3D'!$C$31)+(((($C157*$R$4)+'Calculs 3D'!$D$12-OffsetY)/Ecran)*'Calculs 3D'!$D$31)+(((($D157*$R$4)+'Calculs 3D'!$E$12-OffsetZ)/Ecran)*'Calculs 3D'!$E$31)),0)</f>
        <v>-0.2735935727873855</v>
      </c>
      <c r="S157" s="105">
        <f>IF(Body7Actif=TRUE,((((($B157*$R$4)+'Calculs 3D'!$C$12-OffsetX)/Ecran)*'Calculs 3D'!$C$32)+(((($C157*$R$4)+'Calculs 3D'!$D$12-OffsetY)/Ecran)*'Calculs 3D'!$D$32)+(((($D157*$R$4)+'Calculs 3D'!$E$12-OffsetZ)/Ecran)*'Calculs 3D'!$E$32)),0)</f>
        <v>5.0755351487626665E-2</v>
      </c>
      <c r="T157" s="105">
        <f>IF(Body8Actif=TRUE,((((($B157*$T$4)+'Calculs 3D'!$C$13-OffsetX)/Ecran)*'Calculs 3D'!$C$31)+(((($C157*$T$4)+'Calculs 3D'!$D$13-OffsetY)/Ecran)*'Calculs 3D'!$D$31)+(((($D157*$T$4)+'Calculs 3D'!$E$13-OffsetZ)/Ecran)*'Calculs 3D'!$E$31)),0)</f>
        <v>0.17074765594218821</v>
      </c>
      <c r="U157" s="105">
        <f>IF(Body8Actif=TRUE,((((($B157*$T$4)+'Calculs 3D'!$C$13-OffsetX)/Ecran)*'Calculs 3D'!$C$32)+(((($C157*$T$4)+'Calculs 3D'!$D$13-OffsetY)/Ecran)*'Calculs 3D'!$D$32)+(((($D157*$T$4)+'Calculs 3D'!$E$13-OffsetZ)/Ecran)*'Calculs 3D'!$E$32)),0)</f>
        <v>-0.13475059587917296</v>
      </c>
      <c r="V157" s="105">
        <f>IF(Body9Actif=TRUE,((((($B157*$V$4)+'Calculs 3D'!$C$14-OffsetX)/Ecran)*'Calculs 3D'!$C$31)+(((($C157*$V$4)+'Calculs 3D'!$D$14-OffsetY)/Ecran)*'Calculs 3D'!$D$31)+(((($D157*$V$4)+'Calculs 3D'!$E$14-OffsetZ)/Ecran)*'Calculs 3D'!$E$31)),0)</f>
        <v>-0.17408348604075899</v>
      </c>
      <c r="W157" s="105">
        <f>IF(Body9Actif=TRUE,((((($B157*$V$4)+'Calculs 3D'!$C$14-OffsetX)/Ecran)*'Calculs 3D'!$C$32)+(((($C157*$V$4)+'Calculs 3D'!$D$14-OffsetY)/Ecran)*'Calculs 3D'!$D$32)+(((($D157*$V$4)+'Calculs 3D'!$E$14-OffsetZ)/Ecran)*'Calculs 3D'!$E$32)),0)</f>
        <v>0.28287374579722674</v>
      </c>
      <c r="X157" s="105">
        <f>IF(Body10Actif=TRUE,((((($B157*$X$4)+'Calculs 3D'!$C$15-OffsetX)/Ecran)*'Calculs 3D'!$C$31)+(((($C157*$X$4)+'Calculs 3D'!$D$15-OffsetY)/Ecran)*'Calculs 3D'!$D$31)+(((($D157*$X$4)+'Calculs 3D'!$E$15-OffsetZ)/Ecran)*'Calculs 3D'!$E$31)),0)</f>
        <v>-1.0045534194356845E-2</v>
      </c>
      <c r="Y157" s="105">
        <f>IF(Body10Actif=TRUE,((((($B157*$X$4)+'Calculs 3D'!$C$15-OffsetX)/Ecran)*'Calculs 3D'!$C$32)+(((($C157*$X$4)+'Calculs 3D'!$D$15-OffsetY)/Ecran)*'Calculs 3D'!$D$32)+(((($D157*$X$4)+'Calculs 3D'!$E$15-OffsetZ)/Ecran)*'Calculs 3D'!$E$32)),0)</f>
        <v>0.28378998277480683</v>
      </c>
    </row>
    <row r="158" spans="2:25" x14ac:dyDescent="0.3">
      <c r="B158" s="103">
        <v>0.86</v>
      </c>
      <c r="C158" s="103">
        <v>-2.1072553424428263E-16</v>
      </c>
      <c r="D158" s="103">
        <v>-0.5</v>
      </c>
      <c r="F158" s="105">
        <f>IF(Body1Actif=TRUE,((((($B158*$F$4)+'Calculs 3D'!$C$6-OffsetX)/Ecran)*'Calculs 3D'!$C$31)+(((($C158*$F$4)+'Calculs 3D'!$D$6-OffsetY)/Ecran)*'Calculs 3D'!$D$31)+(((($D158*$F$4)+'Calculs 3D'!$E$6-OffsetZ)/Ecran)*'Calculs 3D'!$E$31)),0)</f>
        <v>5.32069354290549E-2</v>
      </c>
      <c r="G158" s="105">
        <f>IF(Body1Actif=TRUE,((((($B158*$F$4)+'Calculs 3D'!$C$6-OffsetX)/Ecran)*'Calculs 3D'!$C$32)+(((($C158*$F$4)+'Calculs 3D'!$D$6-OffsetY)/Ecran)*'Calculs 3D'!$D$32)+(((($D158*$F$4)+'Calculs 3D'!$E$6-OffsetZ)/Ecran)*'Calculs 3D'!$E$32)),0)</f>
        <v>0.26129266125111955</v>
      </c>
      <c r="H158" s="105">
        <f>IF(Body2Actif=TRUE,((((($B158*$H$4)+'Calculs 3D'!$C$7-OffsetX)/Ecran)*'Calculs 3D'!$C$31)+(((($C158*$H$4)+'Calculs 3D'!$D$7-OffsetY)/Ecran)*'Calculs 3D'!$D$31)+(((($D158*$H$4)+'Calculs 3D'!$E$7-OffsetZ)/Ecran)*'Calculs 3D'!$E$31)),0)</f>
        <v>3.5490868849467061E-2</v>
      </c>
      <c r="I158" s="105">
        <f>IF(Body2Actif=TRUE,((((($B158*$H$4)+'Calculs 3D'!$C$7-OffsetX)/Ecran)*'Calculs 3D'!$C$32)+(((($C158*$H$4)+'Calculs 3D'!$D$7-OffsetY)/Ecran)*'Calculs 3D'!$D$32)+(((($D158*$H$4)+'Calculs 3D'!$E$7-OffsetZ)/Ecran)*'Calculs 3D'!$E$32)),0)</f>
        <v>2.0300866444642914E-2</v>
      </c>
      <c r="J158" s="105">
        <f>IF(Body3Actif=TRUE,((((($B158*$J$4)+'Calculs 3D'!$C$8-OffsetX)/Ecran)*'Calculs 3D'!$C$31)+(((($C158*$J$4)+'Calculs 3D'!$D$8-OffsetY)/Ecran)*'Calculs 3D'!$D$31)+(((($D158*$J$4)+'Calculs 3D'!$E$8-OffsetZ)/Ecran)*'Calculs 3D'!$E$31)),0)</f>
        <v>0.22321211039328689</v>
      </c>
      <c r="K158" s="105">
        <f>IF(Body3Actif=TRUE,((((($B158*$J$4)+'Calculs 3D'!$C$8-OffsetX)/Ecran)*'Calculs 3D'!$C$32)+(((($C158*$J$4)+'Calculs 3D'!$D$8-OffsetY)/Ecran)*'Calculs 3D'!$D$32)+(((($D158*$J$4)+'Calculs 3D'!$E$8-OffsetZ)/Ecran)*'Calculs 3D'!$E$32)),0)</f>
        <v>-8.5319945390296692E-2</v>
      </c>
      <c r="L158" s="105">
        <f>IF(Body4Actif=TRUE,((((($B158*$L$4)+'Calculs 3D'!$C$9-OffsetX)/Ecran)*'Calculs 3D'!$C$31)+(((($C158*$L$4)+'Calculs 3D'!$D$9-OffsetY)/Ecran)*'Calculs 3D'!$D$31)+(((($D158*$L$4)+'Calculs 3D'!$E$9-OffsetZ)/Ecran)*'Calculs 3D'!$E$31)),0)</f>
        <v>-8.8606961428943171E-2</v>
      </c>
      <c r="M158" s="105">
        <f>IF(Body4Actif=TRUE,((((($B158*$L$4)+'Calculs 3D'!$C$9-OffsetX)/Ecran)*'Calculs 3D'!$C$32)+(((($C158*$L$4)+'Calculs 3D'!$D$9-OffsetY)/Ecran)*'Calculs 3D'!$D$32)+(((($D158*$L$4)+'Calculs 3D'!$E$9-OffsetZ)/Ecran)*'Calculs 3D'!$E$32)),0)</f>
        <v>-0.17789963673370832</v>
      </c>
      <c r="N158" s="105">
        <f>IF(Body5Actif=TRUE,((((($B158*$N$4)+'Calculs 3D'!$C$10-OffsetX)/Ecran)*'Calculs 3D'!$C$31)+(((($C158*$N$4)+'Calculs 3D'!$D$10-OffsetY)/Ecran)*'Calculs 3D'!$D$31)+(((($D158*$N$4)+'Calculs 3D'!$E$10-OffsetZ)/Ecran)*'Calculs 3D'!$E$31)),0)</f>
        <v>7.6128517750503749E-3</v>
      </c>
      <c r="O158" s="105">
        <f>IF(Body5Actif=TRUE,((((($B158*$N$4)+'Calculs 3D'!$C$10-OffsetX)/Ecran)*'Calculs 3D'!$C$32)+(((($C158*$N$4)+'Calculs 3D'!$D$10-OffsetY)/Ecran)*'Calculs 3D'!$D$32)+(((($D158*$N$4)+'Calculs 3D'!$E$10-OffsetZ)/Ecran)*'Calculs 3D'!$E$32)),0)</f>
        <v>-1.1805262445437406E-2</v>
      </c>
      <c r="P158" s="105">
        <f>IF(Body6Actif=TRUE,((((($B158*$P$4)+'Calculs 3D'!$C$11-OffsetX)/Ecran)*'Calculs 3D'!$C$31)+(((($C158*$P$4)+'Calculs 3D'!$D$11-OffsetY)/Ecran)*'Calculs 3D'!$D$31)+(((($D158*$P$4)+'Calculs 3D'!$E$11-OffsetZ)/Ecran)*'Calculs 3D'!$E$31)),0)</f>
        <v>0.18046894971806984</v>
      </c>
      <c r="Q158" s="105">
        <f>IF(Body6Actif=TRUE,((((($B158*$P$4)+'Calculs 3D'!$C$11-OffsetX)/Ecran)*'Calculs 3D'!$C$32)+(((($C158*$P$4)+'Calculs 3D'!$D$11-OffsetY)/Ecran)*'Calculs 3D'!$D$32)+(((($D158*$P$4)+'Calculs 3D'!$E$11-OffsetZ)/Ecran)*'Calculs 3D'!$E$32)),0)</f>
        <v>0.12316441003877834</v>
      </c>
      <c r="R158" s="105">
        <f>IF(Body7Actif=TRUE,((((($B158*$R$4)+'Calculs 3D'!$C$12-OffsetX)/Ecran)*'Calculs 3D'!$C$31)+(((($C158*$R$4)+'Calculs 3D'!$D$12-OffsetY)/Ecran)*'Calculs 3D'!$D$31)+(((($D158*$R$4)+'Calculs 3D'!$E$12-OffsetZ)/Ecran)*'Calculs 3D'!$E$31)),0)</f>
        <v>-0.27090440122686388</v>
      </c>
      <c r="S158" s="105">
        <f>IF(Body7Actif=TRUE,((((($B158*$R$4)+'Calculs 3D'!$C$12-OffsetX)/Ecran)*'Calculs 3D'!$C$32)+(((($C158*$R$4)+'Calculs 3D'!$D$12-OffsetY)/Ecran)*'Calculs 3D'!$D$32)+(((($D158*$R$4)+'Calculs 3D'!$E$12-OffsetZ)/Ecran)*'Calculs 3D'!$E$32)),0)</f>
        <v>5.2410970817981267E-2</v>
      </c>
      <c r="T158" s="105">
        <f>IF(Body8Actif=TRUE,((((($B158*$T$4)+'Calculs 3D'!$C$13-OffsetX)/Ecran)*'Calculs 3D'!$C$31)+(((($C158*$T$4)+'Calculs 3D'!$D$13-OffsetY)/Ecran)*'Calculs 3D'!$D$31)+(((($D158*$T$4)+'Calculs 3D'!$E$13-OffsetZ)/Ecran)*'Calculs 3D'!$E$31)),0)</f>
        <v>0.17171753386137806</v>
      </c>
      <c r="U158" s="105">
        <f>IF(Body8Actif=TRUE,((((($B158*$T$4)+'Calculs 3D'!$C$13-OffsetX)/Ecran)*'Calculs 3D'!$C$32)+(((($C158*$T$4)+'Calculs 3D'!$D$13-OffsetY)/Ecran)*'Calculs 3D'!$D$32)+(((($D158*$T$4)+'Calculs 3D'!$E$13-OffsetZ)/Ecran)*'Calculs 3D'!$E$32)),0)</f>
        <v>-0.13415347940855876</v>
      </c>
      <c r="V158" s="105">
        <f>IF(Body9Actif=TRUE,((((($B158*$V$4)+'Calculs 3D'!$C$14-OffsetX)/Ecran)*'Calculs 3D'!$C$31)+(((($C158*$V$4)+'Calculs 3D'!$D$14-OffsetY)/Ecran)*'Calculs 3D'!$D$31)+(((($D158*$V$4)+'Calculs 3D'!$E$14-OffsetZ)/Ecran)*'Calculs 3D'!$E$31)),0)</f>
        <v>-0.17273776496706919</v>
      </c>
      <c r="W158" s="105">
        <f>IF(Body9Actif=TRUE,((((($B158*$V$4)+'Calculs 3D'!$C$14-OffsetX)/Ecran)*'Calculs 3D'!$C$32)+(((($C158*$V$4)+'Calculs 3D'!$D$14-OffsetY)/Ecran)*'Calculs 3D'!$D$32)+(((($D158*$V$4)+'Calculs 3D'!$E$14-OffsetZ)/Ecran)*'Calculs 3D'!$E$32)),0)</f>
        <v>0.28370225441883146</v>
      </c>
      <c r="X158" s="105">
        <f>IF(Body10Actif=TRUE,((((($B158*$X$4)+'Calculs 3D'!$C$15-OffsetX)/Ecran)*'Calculs 3D'!$C$31)+(((($C158*$X$4)+'Calculs 3D'!$D$15-OffsetY)/Ecran)*'Calculs 3D'!$D$31)+(((($D158*$X$4)+'Calculs 3D'!$E$15-OffsetZ)/Ecran)*'Calculs 3D'!$E$31)),0)</f>
        <v>-8.0142300072885142E-3</v>
      </c>
      <c r="Y158" s="105">
        <f>IF(Body10Actif=TRUE,((((($B158*$X$4)+'Calculs 3D'!$C$15-OffsetX)/Ecran)*'Calculs 3D'!$C$32)+(((($C158*$X$4)+'Calculs 3D'!$D$15-OffsetY)/Ecran)*'Calculs 3D'!$D$32)+(((($D158*$X$4)+'Calculs 3D'!$E$15-OffsetZ)/Ecran)*'Calculs 3D'!$E$32)),0)</f>
        <v>0.28504057850745257</v>
      </c>
    </row>
    <row r="159" spans="2:25" x14ac:dyDescent="0.3">
      <c r="B159" s="19"/>
      <c r="C159" s="19"/>
      <c r="D159" s="19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2:25" x14ac:dyDescent="0.3">
      <c r="B160" s="101">
        <v>0.65999999999999992</v>
      </c>
      <c r="C160" s="101">
        <v>0</v>
      </c>
      <c r="D160" s="101">
        <v>-0.75</v>
      </c>
      <c r="F160" s="105">
        <f>IF(Body1Actif=TRUE,((((($B160*$F$4)+'Calculs 3D'!$C$6-OffsetX)/Ecran)*'Calculs 3D'!$C$31)+(((($C160*$F$4)+'Calculs 3D'!$D$6-OffsetY)/Ecran)*'Calculs 3D'!$D$31)+(((($D160*$F$4)+'Calculs 3D'!$E$6-OffsetZ)/Ecran)*'Calculs 3D'!$E$31)),0)</f>
        <v>5.2595828410172435E-2</v>
      </c>
      <c r="G160" s="105">
        <f>IF(Body1Actif=TRUE,((((($B160*$F$4)+'Calculs 3D'!$C$6-OffsetX)/Ecran)*'Calculs 3D'!$C$32)+(((($C160*$F$4)+'Calculs 3D'!$D$6-OffsetY)/Ecran)*'Calculs 3D'!$D$32)+(((($D160*$F$4)+'Calculs 3D'!$E$6-OffsetZ)/Ecran)*'Calculs 3D'!$E$32)),0)</f>
        <v>0.26082196259131818</v>
      </c>
      <c r="H160" s="105">
        <f>IF(Body2Actif=TRUE,((((($B160*$H$4)+'Calculs 3D'!$C$7-OffsetX)/Ecran)*'Calculs 3D'!$C$31)+(((($C160*$H$4)+'Calculs 3D'!$D$7-OffsetY)/Ecran)*'Calculs 3D'!$D$31)+(((($D160*$H$4)+'Calculs 3D'!$E$7-OffsetZ)/Ecran)*'Calculs 3D'!$E$31)),0)</f>
        <v>3.3108849197236952E-2</v>
      </c>
      <c r="I160" s="105">
        <f>IF(Body2Actif=TRUE,((((($B160*$H$4)+'Calculs 3D'!$C$7-OffsetX)/Ecran)*'Calculs 3D'!$C$32)+(((($C160*$H$4)+'Calculs 3D'!$D$7-OffsetY)/Ecran)*'Calculs 3D'!$D$32)+(((($D160*$H$4)+'Calculs 3D'!$E$7-OffsetZ)/Ecran)*'Calculs 3D'!$E$32)),0)</f>
        <v>1.8466141227485935E-2</v>
      </c>
      <c r="J160" s="105">
        <f>IF(Body3Actif=TRUE,((((($B160*$J$4)+'Calculs 3D'!$C$8-OffsetX)/Ecran)*'Calculs 3D'!$C$31)+(((($C160*$J$4)+'Calculs 3D'!$D$8-OffsetY)/Ecran)*'Calculs 3D'!$D$31)+(((($D160*$J$4)+'Calculs 3D'!$E$8-OffsetZ)/Ecran)*'Calculs 3D'!$E$31)),0)</f>
        <v>0.22215348794652456</v>
      </c>
      <c r="K160" s="105">
        <f>IF(Body3Actif=TRUE,((((($B160*$J$4)+'Calculs 3D'!$C$8-OffsetX)/Ecran)*'Calculs 3D'!$C$32)+(((($C160*$J$4)+'Calculs 3D'!$D$8-OffsetY)/Ecran)*'Calculs 3D'!$D$32)+(((($D160*$J$4)+'Calculs 3D'!$E$8-OffsetZ)/Ecran)*'Calculs 3D'!$E$32)),0)</f>
        <v>-8.6135338032714545E-2</v>
      </c>
      <c r="L160" s="105">
        <f>IF(Body4Actif=TRUE,((((($B160*$L$4)+'Calculs 3D'!$C$9-OffsetX)/Ecran)*'Calculs 3D'!$C$31)+(((($C160*$L$4)+'Calculs 3D'!$D$9-OffsetY)/Ecran)*'Calculs 3D'!$D$31)+(((($D160*$L$4)+'Calculs 3D'!$E$9-OffsetZ)/Ecran)*'Calculs 3D'!$E$31)),0)</f>
        <v>-8.9983480354385539E-2</v>
      </c>
      <c r="M160" s="105">
        <f>IF(Body4Actif=TRUE,((((($B160*$L$4)+'Calculs 3D'!$C$9-OffsetX)/Ecran)*'Calculs 3D'!$C$32)+(((($C160*$L$4)+'Calculs 3D'!$D$9-OffsetY)/Ecran)*'Calculs 3D'!$D$32)+(((($D160*$L$4)+'Calculs 3D'!$E$9-OffsetZ)/Ecran)*'Calculs 3D'!$E$32)),0)</f>
        <v>-0.17895988574636379</v>
      </c>
      <c r="N160" s="105">
        <f>IF(Body5Actif=TRUE,((((($B160*$N$4)+'Calculs 3D'!$C$10-OffsetX)/Ecran)*'Calculs 3D'!$C$31)+(((($C160*$N$4)+'Calculs 3D'!$D$10-OffsetY)/Ecran)*'Calculs 3D'!$D$31)+(((($D160*$N$4)+'Calculs 3D'!$E$10-OffsetZ)/Ecran)*'Calculs 3D'!$E$31)),0)</f>
        <v>6.0414290535167666E-3</v>
      </c>
      <c r="O160" s="105">
        <f>IF(Body5Actif=TRUE,((((($B160*$N$4)+'Calculs 3D'!$C$10-OffsetX)/Ecran)*'Calculs 3D'!$C$32)+(((($C160*$N$4)+'Calculs 3D'!$D$10-OffsetY)/Ecran)*'Calculs 3D'!$D$32)+(((($D160*$N$4)+'Calculs 3D'!$E$10-OffsetZ)/Ecran)*'Calculs 3D'!$E$32)),0)</f>
        <v>-1.3015634027095813E-2</v>
      </c>
      <c r="P160" s="105">
        <f>IF(Body6Actif=TRUE,((((($B160*$P$4)+'Calculs 3D'!$C$11-OffsetX)/Ecran)*'Calculs 3D'!$C$31)+(((($C160*$P$4)+'Calculs 3D'!$D$11-OffsetY)/Ecran)*'Calculs 3D'!$D$31)+(((($D160*$P$4)+'Calculs 3D'!$E$11-OffsetZ)/Ecran)*'Calculs 3D'!$E$31)),0)</f>
        <v>0.17819168992277087</v>
      </c>
      <c r="Q160" s="105">
        <f>IF(Body6Actif=TRUE,((((($B160*$P$4)+'Calculs 3D'!$C$11-OffsetX)/Ecran)*'Calculs 3D'!$C$32)+(((($C160*$P$4)+'Calculs 3D'!$D$11-OffsetY)/Ecran)*'Calculs 3D'!$D$32)+(((($D160*$P$4)+'Calculs 3D'!$E$11-OffsetZ)/Ecran)*'Calculs 3D'!$E$32)),0)</f>
        <v>0.12141037498346671</v>
      </c>
      <c r="R160" s="105">
        <f>IF(Body7Actif=TRUE,((((($B160*$R$4)+'Calculs 3D'!$C$12-OffsetX)/Ecran)*'Calculs 3D'!$C$31)+(((($C160*$R$4)+'Calculs 3D'!$D$12-OffsetY)/Ecran)*'Calculs 3D'!$D$31)+(((($D160*$R$4)+'Calculs 3D'!$E$12-OffsetZ)/Ecran)*'Calculs 3D'!$E$31)),0)</f>
        <v>-0.27319137013081574</v>
      </c>
      <c r="S160" s="105">
        <f>IF(Body7Actif=TRUE,((((($B160*$R$4)+'Calculs 3D'!$C$12-OffsetX)/Ecran)*'Calculs 3D'!$C$32)+(((($C160*$R$4)+'Calculs 3D'!$D$12-OffsetY)/Ecran)*'Calculs 3D'!$D$32)+(((($D160*$R$4)+'Calculs 3D'!$E$12-OffsetZ)/Ecran)*'Calculs 3D'!$E$32)),0)</f>
        <v>5.0649457425341479E-2</v>
      </c>
      <c r="T160" s="105">
        <f>IF(Body8Actif=TRUE,((((($B160*$T$4)+'Calculs 3D'!$C$13-OffsetX)/Ecran)*'Calculs 3D'!$C$31)+(((($C160*$T$4)+'Calculs 3D'!$D$13-OffsetY)/Ecran)*'Calculs 3D'!$D$31)+(((($D160*$T$4)+'Calculs 3D'!$E$13-OffsetZ)/Ecran)*'Calculs 3D'!$E$31)),0)</f>
        <v>0.17089271454736357</v>
      </c>
      <c r="U160" s="105">
        <f>IF(Body8Actif=TRUE,((((($B160*$T$4)+'Calculs 3D'!$C$13-OffsetX)/Ecran)*'Calculs 3D'!$C$32)+(((($C160*$T$4)+'Calculs 3D'!$D$13-OffsetY)/Ecran)*'Calculs 3D'!$D$32)+(((($D160*$T$4)+'Calculs 3D'!$E$13-OffsetZ)/Ecran)*'Calculs 3D'!$E$32)),0)</f>
        <v>-0.13478878768303235</v>
      </c>
      <c r="V160" s="105">
        <f>IF(Body9Actif=TRUE,((((($B160*$V$4)+'Calculs 3D'!$C$14-OffsetX)/Ecran)*'Calculs 3D'!$C$31)+(((($C160*$V$4)+'Calculs 3D'!$D$14-OffsetY)/Ecran)*'Calculs 3D'!$D$31)+(((($D160*$V$4)+'Calculs 3D'!$E$14-OffsetZ)/Ecran)*'Calculs 3D'!$E$31)),0)</f>
        <v>-0.17388221491370046</v>
      </c>
      <c r="W160" s="105">
        <f>IF(Body9Actif=TRUE,((((($B160*$V$4)+'Calculs 3D'!$C$14-OffsetX)/Ecran)*'Calculs 3D'!$C$32)+(((($C160*$V$4)+'Calculs 3D'!$D$14-OffsetY)/Ecran)*'Calculs 3D'!$D$32)+(((($D160*$V$4)+'Calculs 3D'!$E$14-OffsetZ)/Ecran)*'Calculs 3D'!$E$32)),0)</f>
        <v>0.28282075406055668</v>
      </c>
      <c r="X160" s="105">
        <f>IF(Body10Actif=TRUE,((((($B160*$X$4)+'Calculs 3D'!$C$15-OffsetX)/Ecran)*'Calculs 3D'!$C$31)+(((($C160*$X$4)+'Calculs 3D'!$D$15-OffsetY)/Ecran)*'Calculs 3D'!$D$31)+(((($D160*$X$4)+'Calculs 3D'!$E$15-OffsetZ)/Ecran)*'Calculs 3D'!$E$31)),0)</f>
        <v>-9.7417246671648861E-3</v>
      </c>
      <c r="Y160" s="105">
        <f>IF(Body10Actif=TRUE,((((($B160*$X$4)+'Calculs 3D'!$C$15-OffsetX)/Ecran)*'Calculs 3D'!$C$32)+(((($C160*$X$4)+'Calculs 3D'!$D$15-OffsetY)/Ecran)*'Calculs 3D'!$D$32)+(((($D160*$X$4)+'Calculs 3D'!$E$15-OffsetZ)/Ecran)*'Calculs 3D'!$E$32)),0)</f>
        <v>0.28370999418082371</v>
      </c>
    </row>
    <row r="161" spans="2:25" x14ac:dyDescent="0.3">
      <c r="B161" s="102">
        <v>0.62769730075480124</v>
      </c>
      <c r="C161" s="102">
        <v>0.20395121628746526</v>
      </c>
      <c r="D161" s="102">
        <v>-0.75</v>
      </c>
      <c r="F161" s="105">
        <f>IF(Body1Actif=TRUE,((((($B161*$F$4)+'Calculs 3D'!$C$6-OffsetX)/Ecran)*'Calculs 3D'!$C$31)+(((($C161*$F$4)+'Calculs 3D'!$D$6-OffsetY)/Ecran)*'Calculs 3D'!$D$31)+(((($D161*$F$4)+'Calculs 3D'!$E$6-OffsetZ)/Ecran)*'Calculs 3D'!$E$31)),0)</f>
        <v>5.2949893223452393E-2</v>
      </c>
      <c r="G161" s="105">
        <f>IF(Body1Actif=TRUE,((((($B161*$F$4)+'Calculs 3D'!$C$6-OffsetX)/Ecran)*'Calculs 3D'!$C$32)+(((($C161*$F$4)+'Calculs 3D'!$D$6-OffsetY)/Ecran)*'Calculs 3D'!$D$32)+(((($D161*$F$4)+'Calculs 3D'!$E$6-OffsetZ)/Ecran)*'Calculs 3D'!$E$32)),0)</f>
        <v>0.26124978040791824</v>
      </c>
      <c r="H161" s="105">
        <f>IF(Body2Actif=TRUE,((((($B161*$H$4)+'Calculs 3D'!$C$7-OffsetX)/Ecran)*'Calculs 3D'!$C$31)+(((($C161*$H$4)+'Calculs 3D'!$D$7-OffsetY)/Ecran)*'Calculs 3D'!$D$31)+(((($D161*$H$4)+'Calculs 3D'!$E$7-OffsetZ)/Ecran)*'Calculs 3D'!$E$31)),0)</f>
        <v>3.4488950091738836E-2</v>
      </c>
      <c r="I161" s="105">
        <f>IF(Body2Actif=TRUE,((((($B161*$H$4)+'Calculs 3D'!$C$7-OffsetX)/Ecran)*'Calculs 3D'!$C$32)+(((($C161*$H$4)+'Calculs 3D'!$D$7-OffsetY)/Ecran)*'Calculs 3D'!$D$32)+(((($D161*$H$4)+'Calculs 3D'!$E$7-OffsetZ)/Ecran)*'Calculs 3D'!$E$32)),0)</f>
        <v>2.013372221613012E-2</v>
      </c>
      <c r="J161" s="105">
        <f>IF(Body3Actif=TRUE,((((($B161*$J$4)+'Calculs 3D'!$C$8-OffsetX)/Ecran)*'Calculs 3D'!$C$31)+(((($C161*$J$4)+'Calculs 3D'!$D$8-OffsetY)/Ecran)*'Calculs 3D'!$D$31)+(((($D161*$J$4)+'Calculs 3D'!$E$8-OffsetZ)/Ecran)*'Calculs 3D'!$E$31)),0)</f>
        <v>0.22276683544109649</v>
      </c>
      <c r="K161" s="105">
        <f>IF(Body3Actif=TRUE,((((($B161*$J$4)+'Calculs 3D'!$C$8-OffsetX)/Ecran)*'Calculs 3D'!$C$32)+(((($C161*$J$4)+'Calculs 3D'!$D$8-OffsetY)/Ecran)*'Calculs 3D'!$D$32)+(((($D161*$J$4)+'Calculs 3D'!$E$8-OffsetZ)/Ecran)*'Calculs 3D'!$E$32)),0)</f>
        <v>-8.5394227998328354E-2</v>
      </c>
      <c r="L161" s="105">
        <f>IF(Body4Actif=TRUE,((((($B161*$L$4)+'Calculs 3D'!$C$9-OffsetX)/Ecran)*'Calculs 3D'!$C$31)+(((($C161*$L$4)+'Calculs 3D'!$D$9-OffsetY)/Ecran)*'Calculs 3D'!$D$31)+(((($D161*$L$4)+'Calculs 3D'!$E$9-OffsetZ)/Ecran)*'Calculs 3D'!$E$31)),0)</f>
        <v>-8.9185949150760419E-2</v>
      </c>
      <c r="M161" s="105">
        <f>IF(Body4Actif=TRUE,((((($B161*$L$4)+'Calculs 3D'!$C$9-OffsetX)/Ecran)*'Calculs 3D'!$C$32)+(((($C161*$L$4)+'Calculs 3D'!$D$9-OffsetY)/Ecran)*'Calculs 3D'!$D$32)+(((($D161*$L$4)+'Calculs 3D'!$E$9-OffsetZ)/Ecran)*'Calculs 3D'!$E$32)),0)</f>
        <v>-0.17799622585865985</v>
      </c>
      <c r="N161" s="105">
        <f>IF(Body5Actif=TRUE,((((($B161*$N$4)+'Calculs 3D'!$C$10-OffsetX)/Ecran)*'Calculs 3D'!$C$31)+(((($C161*$N$4)+'Calculs 3D'!$D$10-OffsetY)/Ecran)*'Calculs 3D'!$D$31)+(((($D161*$N$4)+'Calculs 3D'!$E$10-OffsetZ)/Ecran)*'Calculs 3D'!$E$31)),0)</f>
        <v>6.9518841379652523E-3</v>
      </c>
      <c r="O161" s="105">
        <f>IF(Body5Actif=TRUE,((((($B161*$N$4)+'Calculs 3D'!$C$10-OffsetX)/Ecran)*'Calculs 3D'!$C$32)+(((($C161*$N$4)+'Calculs 3D'!$D$10-OffsetY)/Ecran)*'Calculs 3D'!$D$32)+(((($D161*$N$4)+'Calculs 3D'!$E$10-OffsetZ)/Ecran)*'Calculs 3D'!$E$32)),0)</f>
        <v>-1.1915527798711176E-2</v>
      </c>
      <c r="P161" s="105">
        <f>IF(Body6Actif=TRUE,((((($B161*$P$4)+'Calculs 3D'!$C$11-OffsetX)/Ecran)*'Calculs 3D'!$C$31)+(((($C161*$P$4)+'Calculs 3D'!$D$11-OffsetY)/Ecran)*'Calculs 3D'!$D$31)+(((($D161*$P$4)+'Calculs 3D'!$E$11-OffsetZ)/Ecran)*'Calculs 3D'!$E$31)),0)</f>
        <v>0.17951109477216531</v>
      </c>
      <c r="Q161" s="105">
        <f>IF(Body6Actif=TRUE,((((($B161*$P$4)+'Calculs 3D'!$C$11-OffsetX)/Ecran)*'Calculs 3D'!$C$32)+(((($C161*$P$4)+'Calculs 3D'!$D$11-OffsetY)/Ecran)*'Calculs 3D'!$D$32)+(((($D161*$P$4)+'Calculs 3D'!$E$11-OffsetZ)/Ecran)*'Calculs 3D'!$E$32)),0)</f>
        <v>0.12300461671748811</v>
      </c>
      <c r="R161" s="105">
        <f>IF(Body7Actif=TRUE,((((($B161*$R$4)+'Calculs 3D'!$C$12-OffsetX)/Ecran)*'Calculs 3D'!$C$31)+(((($C161*$R$4)+'Calculs 3D'!$D$12-OffsetY)/Ecran)*'Calculs 3D'!$D$31)+(((($D161*$R$4)+'Calculs 3D'!$E$12-OffsetZ)/Ecran)*'Calculs 3D'!$E$31)),0)</f>
        <v>-0.27186633999217391</v>
      </c>
      <c r="S161" s="105">
        <f>IF(Body7Actif=TRUE,((((($B161*$R$4)+'Calculs 3D'!$C$12-OffsetX)/Ecran)*'Calculs 3D'!$C$32)+(((($C161*$R$4)+'Calculs 3D'!$D$12-OffsetY)/Ecran)*'Calculs 3D'!$D$32)+(((($D161*$R$4)+'Calculs 3D'!$E$12-OffsetZ)/Ecran)*'Calculs 3D'!$E$32)),0)</f>
        <v>5.2250496217057657E-2</v>
      </c>
      <c r="T161" s="105">
        <f>IF(Body8Actif=TRUE,((((($B161*$T$4)+'Calculs 3D'!$C$13-OffsetX)/Ecran)*'Calculs 3D'!$C$31)+(((($C161*$T$4)+'Calculs 3D'!$D$13-OffsetY)/Ecran)*'Calculs 3D'!$D$31)+(((($D161*$T$4)+'Calculs 3D'!$E$13-OffsetZ)/Ecran)*'Calculs 3D'!$E$31)),0)</f>
        <v>0.17137060055976822</v>
      </c>
      <c r="U161" s="105">
        <f>IF(Body8Actif=TRUE,((((($B161*$T$4)+'Calculs 3D'!$C$13-OffsetX)/Ecran)*'Calculs 3D'!$C$32)+(((($C161*$T$4)+'Calculs 3D'!$D$13-OffsetY)/Ecran)*'Calculs 3D'!$D$32)+(((($D161*$T$4)+'Calculs 3D'!$E$13-OffsetZ)/Ecran)*'Calculs 3D'!$E$32)),0)</f>
        <v>-0.13421135625595348</v>
      </c>
      <c r="V161" s="105">
        <f>IF(Body9Actif=TRUE,((((($B161*$V$4)+'Calculs 3D'!$C$14-OffsetX)/Ecran)*'Calculs 3D'!$C$31)+(((($C161*$V$4)+'Calculs 3D'!$D$14-OffsetY)/Ecran)*'Calculs 3D'!$D$31)+(((($D161*$V$4)+'Calculs 3D'!$E$14-OffsetZ)/Ecran)*'Calculs 3D'!$E$31)),0)</f>
        <v>-0.17321914045351294</v>
      </c>
      <c r="W161" s="105">
        <f>IF(Body9Actif=TRUE,((((($B161*$V$4)+'Calculs 3D'!$C$14-OffsetX)/Ecran)*'Calculs 3D'!$C$32)+(((($C161*$V$4)+'Calculs 3D'!$D$14-OffsetY)/Ecran)*'Calculs 3D'!$D$32)+(((($D161*$V$4)+'Calculs 3D'!$E$14-OffsetZ)/Ecran)*'Calculs 3D'!$E$32)),0)</f>
        <v>0.28362194937045704</v>
      </c>
      <c r="X161" s="105">
        <f>IF(Body10Actif=TRUE,((((($B161*$X$4)+'Calculs 3D'!$C$15-OffsetX)/Ecran)*'Calculs 3D'!$C$31)+(((($C161*$X$4)+'Calculs 3D'!$D$15-OffsetY)/Ecran)*'Calculs 3D'!$D$31)+(((($D161*$X$4)+'Calculs 3D'!$E$15-OffsetZ)/Ecran)*'Calculs 3D'!$E$31)),0)</f>
        <v>-8.7408442071273129E-3</v>
      </c>
      <c r="Y161" s="105">
        <f>IF(Body10Actif=TRUE,((((($B161*$X$4)+'Calculs 3D'!$C$15-OffsetX)/Ecran)*'Calculs 3D'!$C$32)+(((($C161*$X$4)+'Calculs 3D'!$D$15-OffsetY)/Ecran)*'Calculs 3D'!$D$32)+(((($D161*$X$4)+'Calculs 3D'!$E$15-OffsetZ)/Ecran)*'Calculs 3D'!$E$32)),0)</f>
        <v>0.28491936172323551</v>
      </c>
    </row>
    <row r="162" spans="2:25" x14ac:dyDescent="0.3">
      <c r="B162" s="102">
        <v>0.53395121628746522</v>
      </c>
      <c r="C162" s="102">
        <v>0.3879382665130322</v>
      </c>
      <c r="D162" s="102">
        <v>-0.75</v>
      </c>
      <c r="F162" s="105">
        <f>IF(Body1Actif=TRUE,((((($B162*$F$4)+'Calculs 3D'!$C$6-OffsetX)/Ecran)*'Calculs 3D'!$C$31)+(((($C162*$F$4)+'Calculs 3D'!$D$6-OffsetY)/Ecran)*'Calculs 3D'!$D$31)+(((($D162*$F$4)+'Calculs 3D'!$E$6-OffsetZ)/Ecran)*'Calculs 3D'!$E$31)),0)</f>
        <v>5.3071895643518011E-2</v>
      </c>
      <c r="G162" s="105">
        <f>IF(Body1Actif=TRUE,((((($B162*$F$4)+'Calculs 3D'!$C$6-OffsetX)/Ecran)*'Calculs 3D'!$C$32)+(((($C162*$F$4)+'Calculs 3D'!$D$6-OffsetY)/Ecran)*'Calculs 3D'!$D$32)+(((($D162*$F$4)+'Calculs 3D'!$E$6-OffsetZ)/Ecran)*'Calculs 3D'!$E$32)),0)</f>
        <v>0.26172402011086493</v>
      </c>
      <c r="H162" s="105">
        <f>IF(Body2Actif=TRUE,((((($B162*$H$4)+'Calculs 3D'!$C$7-OffsetX)/Ecran)*'Calculs 3D'!$C$31)+(((($C162*$H$4)+'Calculs 3D'!$D$7-OffsetY)/Ecran)*'Calculs 3D'!$D$31)+(((($D162*$H$4)+'Calculs 3D'!$E$7-OffsetZ)/Ecran)*'Calculs 3D'!$E$31)),0)</f>
        <v>3.496450045073711E-2</v>
      </c>
      <c r="I162" s="105">
        <f>IF(Body2Actif=TRUE,((((($B162*$H$4)+'Calculs 3D'!$C$7-OffsetX)/Ecran)*'Calculs 3D'!$C$32)+(((($C162*$H$4)+'Calculs 3D'!$D$7-OffsetY)/Ecran)*'Calculs 3D'!$D$32)+(((($D162*$H$4)+'Calculs 3D'!$E$7-OffsetZ)/Ecran)*'Calculs 3D'!$E$32)),0)</f>
        <v>2.1982249981942269E-2</v>
      </c>
      <c r="J162" s="105">
        <f>IF(Body3Actif=TRUE,((((($B162*$J$4)+'Calculs 3D'!$C$8-OffsetX)/Ecran)*'Calculs 3D'!$C$31)+(((($C162*$J$4)+'Calculs 3D'!$D$8-OffsetY)/Ecran)*'Calculs 3D'!$D$31)+(((($D162*$J$4)+'Calculs 3D'!$E$8-OffsetZ)/Ecran)*'Calculs 3D'!$E$31)),0)</f>
        <v>0.22297818058433666</v>
      </c>
      <c r="K162" s="105">
        <f>IF(Body3Actif=TRUE,((((($B162*$J$4)+'Calculs 3D'!$C$8-OffsetX)/Ecran)*'Calculs 3D'!$C$32)+(((($C162*$J$4)+'Calculs 3D'!$D$8-OffsetY)/Ecran)*'Calculs 3D'!$D$32)+(((($D162*$J$4)+'Calculs 3D'!$E$8-OffsetZ)/Ecran)*'Calculs 3D'!$E$32)),0)</f>
        <v>-8.4572701196683378E-2</v>
      </c>
      <c r="L162" s="105">
        <f>IF(Body4Actif=TRUE,((((($B162*$L$4)+'Calculs 3D'!$C$9-OffsetX)/Ecran)*'Calculs 3D'!$C$31)+(((($C162*$L$4)+'Calculs 3D'!$D$9-OffsetY)/Ecran)*'Calculs 3D'!$D$31)+(((($D162*$L$4)+'Calculs 3D'!$E$9-OffsetZ)/Ecran)*'Calculs 3D'!$E$31)),0)</f>
        <v>-8.8911138626611652E-2</v>
      </c>
      <c r="M162" s="105">
        <f>IF(Body4Actif=TRUE,((((($B162*$L$4)+'Calculs 3D'!$C$9-OffsetX)/Ecran)*'Calculs 3D'!$C$32)+(((($C162*$L$4)+'Calculs 3D'!$D$9-OffsetY)/Ecran)*'Calculs 3D'!$D$32)+(((($D162*$L$4)+'Calculs 3D'!$E$9-OffsetZ)/Ecran)*'Calculs 3D'!$E$32)),0)</f>
        <v>-0.17692800064420208</v>
      </c>
      <c r="N162" s="105">
        <f>IF(Body5Actif=TRUE,((((($B162*$N$4)+'Calculs 3D'!$C$10-OffsetX)/Ecran)*'Calculs 3D'!$C$31)+(((($C162*$N$4)+'Calculs 3D'!$D$10-OffsetY)/Ecran)*'Calculs 3D'!$D$31)+(((($D162*$N$4)+'Calculs 3D'!$E$10-OffsetZ)/Ecran)*'Calculs 3D'!$E$31)),0)</f>
        <v>7.2656055796266258E-3</v>
      </c>
      <c r="O162" s="105">
        <f>IF(Body5Actif=TRUE,((((($B162*$N$4)+'Calculs 3D'!$C$10-OffsetX)/Ecran)*'Calculs 3D'!$C$32)+(((($C162*$N$4)+'Calculs 3D'!$D$10-OffsetY)/Ecran)*'Calculs 3D'!$D$32)+(((($D162*$N$4)+'Calculs 3D'!$E$10-OffsetZ)/Ecran)*'Calculs 3D'!$E$32)),0)</f>
        <v>-1.0696050650458682E-2</v>
      </c>
      <c r="P162" s="105">
        <f>IF(Body6Actif=TRUE,((((($B162*$P$4)+'Calculs 3D'!$C$11-OffsetX)/Ecran)*'Calculs 3D'!$C$31)+(((($C162*$P$4)+'Calculs 3D'!$D$11-OffsetY)/Ecran)*'Calculs 3D'!$D$31)+(((($D162*$P$4)+'Calculs 3D'!$E$11-OffsetZ)/Ecran)*'Calculs 3D'!$E$31)),0)</f>
        <v>0.17996573069935967</v>
      </c>
      <c r="Q162" s="105">
        <f>IF(Body6Actif=TRUE,((((($B162*$P$4)+'Calculs 3D'!$C$11-OffsetX)/Ecran)*'Calculs 3D'!$C$32)+(((($C162*$P$4)+'Calculs 3D'!$D$11-OffsetY)/Ecran)*'Calculs 3D'!$D$32)+(((($D162*$P$4)+'Calculs 3D'!$E$11-OffsetZ)/Ecran)*'Calculs 3D'!$E$32)),0)</f>
        <v>0.12477184729328825</v>
      </c>
      <c r="R162" s="105">
        <f>IF(Body7Actif=TRUE,((((($B162*$R$4)+'Calculs 3D'!$C$12-OffsetX)/Ecran)*'Calculs 3D'!$C$31)+(((($C162*$R$4)+'Calculs 3D'!$D$12-OffsetY)/Ecran)*'Calculs 3D'!$D$31)+(((($D162*$R$4)+'Calculs 3D'!$E$12-OffsetZ)/Ecran)*'Calculs 3D'!$E$31)),0)</f>
        <v>-0.27140976572240499</v>
      </c>
      <c r="S162" s="105">
        <f>IF(Body7Actif=TRUE,((((($B162*$R$4)+'Calculs 3D'!$C$12-OffsetX)/Ecran)*'Calculs 3D'!$C$32)+(((($C162*$R$4)+'Calculs 3D'!$D$12-OffsetY)/Ecran)*'Calculs 3D'!$D$32)+(((($D162*$R$4)+'Calculs 3D'!$E$12-OffsetZ)/Ecran)*'Calculs 3D'!$E$32)),0)</f>
        <v>5.4025261389354304E-2</v>
      </c>
      <c r="T162" s="105">
        <f>IF(Body8Actif=TRUE,((((($B162*$T$4)+'Calculs 3D'!$C$13-OffsetX)/Ecran)*'Calculs 3D'!$C$31)+(((($C162*$T$4)+'Calculs 3D'!$D$13-OffsetY)/Ecran)*'Calculs 3D'!$D$31)+(((($D162*$T$4)+'Calculs 3D'!$E$13-OffsetZ)/Ecran)*'Calculs 3D'!$E$31)),0)</f>
        <v>0.17153526885732867</v>
      </c>
      <c r="U162" s="105">
        <f>IF(Body8Actif=TRUE,((((($B162*$T$4)+'Calculs 3D'!$C$13-OffsetX)/Ecran)*'Calculs 3D'!$C$32)+(((($C162*$T$4)+'Calculs 3D'!$D$13-OffsetY)/Ecran)*'Calculs 3D'!$D$32)+(((($D162*$T$4)+'Calculs 3D'!$E$13-OffsetZ)/Ecran)*'Calculs 3D'!$E$32)),0)</f>
        <v>-0.13357126858820212</v>
      </c>
      <c r="V162" s="105">
        <f>IF(Body9Actif=TRUE,((((($B162*$V$4)+'Calculs 3D'!$C$14-OffsetX)/Ecran)*'Calculs 3D'!$C$31)+(((($C162*$V$4)+'Calculs 3D'!$D$14-OffsetY)/Ecran)*'Calculs 3D'!$D$31)+(((($D162*$V$4)+'Calculs 3D'!$E$14-OffsetZ)/Ecran)*'Calculs 3D'!$E$31)),0)</f>
        <v>-0.17299066056567219</v>
      </c>
      <c r="W162" s="105">
        <f>IF(Body9Actif=TRUE,((((($B162*$V$4)+'Calculs 3D'!$C$14-OffsetX)/Ecran)*'Calculs 3D'!$C$32)+(((($C162*$V$4)+'Calculs 3D'!$D$14-OffsetY)/Ecran)*'Calculs 3D'!$D$32)+(((($D162*$V$4)+'Calculs 3D'!$E$14-OffsetZ)/Ecran)*'Calculs 3D'!$E$32)),0)</f>
        <v>0.28451008121309296</v>
      </c>
      <c r="X162" s="105">
        <f>IF(Body10Actif=TRUE,((((($B162*$X$4)+'Calculs 3D'!$C$15-OffsetX)/Ecran)*'Calculs 3D'!$C$31)+(((($C162*$X$4)+'Calculs 3D'!$D$15-OffsetY)/Ecran)*'Calculs 3D'!$D$31)+(((($D162*$X$4)+'Calculs 3D'!$E$15-OffsetZ)/Ecran)*'Calculs 3D'!$E$31)),0)</f>
        <v>-8.3959643045191934E-3</v>
      </c>
      <c r="Y162" s="105">
        <f>IF(Body10Actif=TRUE,((((($B162*$X$4)+'Calculs 3D'!$C$15-OffsetX)/Ecran)*'Calculs 3D'!$C$32)+(((($C162*$X$4)+'Calculs 3D'!$D$15-OffsetY)/Ecran)*'Calculs 3D'!$D$32)+(((($D162*$X$4)+'Calculs 3D'!$E$15-OffsetZ)/Ecran)*'Calculs 3D'!$E$32)),0)</f>
        <v>0.28625995597109744</v>
      </c>
    </row>
    <row r="163" spans="2:25" x14ac:dyDescent="0.3">
      <c r="B163" s="102">
        <v>0.3879382665130322</v>
      </c>
      <c r="C163" s="102">
        <v>0.53395121628746522</v>
      </c>
      <c r="D163" s="102">
        <v>-0.75</v>
      </c>
      <c r="F163" s="105">
        <f>IF(Body1Actif=TRUE,((((($B163*$F$4)+'Calculs 3D'!$C$6-OffsetX)/Ecran)*'Calculs 3D'!$C$31)+(((($C163*$F$4)+'Calculs 3D'!$D$6-OffsetY)/Ecran)*'Calculs 3D'!$D$31)+(((($D163*$F$4)+'Calculs 3D'!$E$6-OffsetZ)/Ecran)*'Calculs 3D'!$E$31)),0)</f>
        <v>5.29498932234524E-2</v>
      </c>
      <c r="G163" s="105">
        <f>IF(Body1Actif=TRUE,((((($B163*$F$4)+'Calculs 3D'!$C$6-OffsetX)/Ecran)*'Calculs 3D'!$C$32)+(((($C163*$F$4)+'Calculs 3D'!$D$6-OffsetY)/Ecran)*'Calculs 3D'!$D$32)+(((($D163*$F$4)+'Calculs 3D'!$E$6-OffsetZ)/Ecran)*'Calculs 3D'!$E$32)),0)</f>
        <v>0.26219825981381173</v>
      </c>
      <c r="H163" s="105">
        <f>IF(Body2Actif=TRUE,((((($B163*$H$4)+'Calculs 3D'!$C$7-OffsetX)/Ecran)*'Calculs 3D'!$C$31)+(((($C163*$H$4)+'Calculs 3D'!$D$7-OffsetY)/Ecran)*'Calculs 3D'!$D$31)+(((($D163*$H$4)+'Calculs 3D'!$E$7-OffsetZ)/Ecran)*'Calculs 3D'!$E$31)),0)</f>
        <v>3.4488950091738836E-2</v>
      </c>
      <c r="I163" s="105">
        <f>IF(Body2Actif=TRUE,((((($B163*$H$4)+'Calculs 3D'!$C$7-OffsetX)/Ecran)*'Calculs 3D'!$C$32)+(((($C163*$H$4)+'Calculs 3D'!$D$7-OffsetY)/Ecran)*'Calculs 3D'!$D$32)+(((($D163*$H$4)+'Calculs 3D'!$E$7-OffsetZ)/Ecran)*'Calculs 3D'!$E$32)),0)</f>
        <v>2.3830777747754418E-2</v>
      </c>
      <c r="J163" s="105">
        <f>IF(Body3Actif=TRUE,((((($B163*$J$4)+'Calculs 3D'!$C$8-OffsetX)/Ecran)*'Calculs 3D'!$C$31)+(((($C163*$J$4)+'Calculs 3D'!$D$8-OffsetY)/Ecran)*'Calculs 3D'!$D$31)+(((($D163*$J$4)+'Calculs 3D'!$E$8-OffsetZ)/Ecran)*'Calculs 3D'!$E$31)),0)</f>
        <v>0.22276683544109652</v>
      </c>
      <c r="K163" s="105">
        <f>IF(Body3Actif=TRUE,((((($B163*$J$4)+'Calculs 3D'!$C$8-OffsetX)/Ecran)*'Calculs 3D'!$C$32)+(((($C163*$J$4)+'Calculs 3D'!$D$8-OffsetY)/Ecran)*'Calculs 3D'!$D$32)+(((($D163*$J$4)+'Calculs 3D'!$E$8-OffsetZ)/Ecran)*'Calculs 3D'!$E$32)),0)</f>
        <v>-8.3751174395038375E-2</v>
      </c>
      <c r="L163" s="105">
        <f>IF(Body4Actif=TRUE,((((($B163*$L$4)+'Calculs 3D'!$C$9-OffsetX)/Ecran)*'Calculs 3D'!$C$31)+(((($C163*$L$4)+'Calculs 3D'!$D$9-OffsetY)/Ecran)*'Calculs 3D'!$D$31)+(((($D163*$L$4)+'Calculs 3D'!$E$9-OffsetZ)/Ecran)*'Calculs 3D'!$E$31)),0)</f>
        <v>-8.9185949150760419E-2</v>
      </c>
      <c r="M163" s="105">
        <f>IF(Body4Actif=TRUE,((((($B163*$L$4)+'Calculs 3D'!$C$9-OffsetX)/Ecran)*'Calculs 3D'!$C$32)+(((($C163*$L$4)+'Calculs 3D'!$D$9-OffsetY)/Ecran)*'Calculs 3D'!$D$32)+(((($D163*$L$4)+'Calculs 3D'!$E$9-OffsetZ)/Ecran)*'Calculs 3D'!$E$32)),0)</f>
        <v>-0.17585977542974432</v>
      </c>
      <c r="N163" s="105">
        <f>IF(Body5Actif=TRUE,((((($B163*$N$4)+'Calculs 3D'!$C$10-OffsetX)/Ecran)*'Calculs 3D'!$C$31)+(((($C163*$N$4)+'Calculs 3D'!$D$10-OffsetY)/Ecran)*'Calculs 3D'!$D$31)+(((($D163*$N$4)+'Calculs 3D'!$E$10-OffsetZ)/Ecran)*'Calculs 3D'!$E$31)),0)</f>
        <v>6.9518841379652531E-3</v>
      </c>
      <c r="O163" s="105">
        <f>IF(Body5Actif=TRUE,((((($B163*$N$4)+'Calculs 3D'!$C$10-OffsetX)/Ecran)*'Calculs 3D'!$C$32)+(((($C163*$N$4)+'Calculs 3D'!$D$10-OffsetY)/Ecran)*'Calculs 3D'!$D$32)+(((($D163*$N$4)+'Calculs 3D'!$E$10-OffsetZ)/Ecran)*'Calculs 3D'!$E$32)),0)</f>
        <v>-9.4765735022061884E-3</v>
      </c>
      <c r="P163" s="105">
        <f>IF(Body6Actif=TRUE,((((($B163*$P$4)+'Calculs 3D'!$C$11-OffsetX)/Ecran)*'Calculs 3D'!$C$31)+(((($C163*$P$4)+'Calculs 3D'!$D$11-OffsetY)/Ecran)*'Calculs 3D'!$D$31)+(((($D163*$P$4)+'Calculs 3D'!$E$11-OffsetZ)/Ecran)*'Calculs 3D'!$E$31)),0)</f>
        <v>0.17951109477216531</v>
      </c>
      <c r="Q163" s="105">
        <f>IF(Body6Actif=TRUE,((((($B163*$P$4)+'Calculs 3D'!$C$11-OffsetX)/Ecran)*'Calculs 3D'!$C$32)+(((($C163*$P$4)+'Calculs 3D'!$D$11-OffsetY)/Ecran)*'Calculs 3D'!$D$32)+(((($D163*$P$4)+'Calculs 3D'!$E$11-OffsetZ)/Ecran)*'Calculs 3D'!$E$32)),0)</f>
        <v>0.12653907786908838</v>
      </c>
      <c r="R163" s="105">
        <f>IF(Body7Actif=TRUE,((((($B163*$R$4)+'Calculs 3D'!$C$12-OffsetX)/Ecran)*'Calculs 3D'!$C$31)+(((($C163*$R$4)+'Calculs 3D'!$D$12-OffsetY)/Ecran)*'Calculs 3D'!$D$31)+(((($D163*$R$4)+'Calculs 3D'!$E$12-OffsetZ)/Ecran)*'Calculs 3D'!$E$31)),0)</f>
        <v>-0.27186633999217391</v>
      </c>
      <c r="S163" s="105">
        <f>IF(Body7Actif=TRUE,((((($B163*$R$4)+'Calculs 3D'!$C$12-OffsetX)/Ecran)*'Calculs 3D'!$C$32)+(((($C163*$R$4)+'Calculs 3D'!$D$12-OffsetY)/Ecran)*'Calculs 3D'!$D$32)+(((($D163*$R$4)+'Calculs 3D'!$E$12-OffsetZ)/Ecran)*'Calculs 3D'!$E$32)),0)</f>
        <v>5.5800026561650909E-2</v>
      </c>
      <c r="T163" s="105">
        <f>IF(Body8Actif=TRUE,((((($B163*$T$4)+'Calculs 3D'!$C$13-OffsetX)/Ecran)*'Calculs 3D'!$C$31)+(((($C163*$T$4)+'Calculs 3D'!$D$13-OffsetY)/Ecran)*'Calculs 3D'!$D$31)+(((($D163*$T$4)+'Calculs 3D'!$E$13-OffsetZ)/Ecran)*'Calculs 3D'!$E$31)),0)</f>
        <v>0.17137060055976822</v>
      </c>
      <c r="U163" s="105">
        <f>IF(Body8Actif=TRUE,((((($B163*$T$4)+'Calculs 3D'!$C$13-OffsetX)/Ecran)*'Calculs 3D'!$C$32)+(((($C163*$T$4)+'Calculs 3D'!$D$13-OffsetY)/Ecran)*'Calculs 3D'!$D$32)+(((($D163*$T$4)+'Calculs 3D'!$E$13-OffsetZ)/Ecran)*'Calculs 3D'!$E$32)),0)</f>
        <v>-0.13293118092045075</v>
      </c>
      <c r="V163" s="105">
        <f>IF(Body9Actif=TRUE,((((($B163*$V$4)+'Calculs 3D'!$C$14-OffsetX)/Ecran)*'Calculs 3D'!$C$31)+(((($C163*$V$4)+'Calculs 3D'!$D$14-OffsetY)/Ecran)*'Calculs 3D'!$D$31)+(((($D163*$V$4)+'Calculs 3D'!$E$14-OffsetZ)/Ecran)*'Calculs 3D'!$E$31)),0)</f>
        <v>-0.17321914045351294</v>
      </c>
      <c r="W163" s="105">
        <f>IF(Body9Actif=TRUE,((((($B163*$V$4)+'Calculs 3D'!$C$14-OffsetX)/Ecran)*'Calculs 3D'!$C$32)+(((($C163*$V$4)+'Calculs 3D'!$D$14-OffsetY)/Ecran)*'Calculs 3D'!$D$32)+(((($D163*$V$4)+'Calculs 3D'!$E$14-OffsetZ)/Ecran)*'Calculs 3D'!$E$32)),0)</f>
        <v>0.28539821305572888</v>
      </c>
      <c r="X163" s="105">
        <f>IF(Body10Actif=TRUE,((((($B163*$X$4)+'Calculs 3D'!$C$15-OffsetX)/Ecran)*'Calculs 3D'!$C$31)+(((($C163*$X$4)+'Calculs 3D'!$D$15-OffsetY)/Ecran)*'Calculs 3D'!$D$31)+(((($D163*$X$4)+'Calculs 3D'!$E$15-OffsetZ)/Ecran)*'Calculs 3D'!$E$31)),0)</f>
        <v>-8.7408442071273407E-3</v>
      </c>
      <c r="Y163" s="105">
        <f>IF(Body10Actif=TRUE,((((($B163*$X$4)+'Calculs 3D'!$C$15-OffsetX)/Ecran)*'Calculs 3D'!$C$32)+(((($C163*$X$4)+'Calculs 3D'!$D$15-OffsetY)/Ecran)*'Calculs 3D'!$D$32)+(((($D163*$X$4)+'Calculs 3D'!$E$15-OffsetZ)/Ecran)*'Calculs 3D'!$E$32)),0)</f>
        <v>0.28760055021895931</v>
      </c>
    </row>
    <row r="164" spans="2:25" x14ac:dyDescent="0.3">
      <c r="B164" s="102">
        <v>0.20395121628746529</v>
      </c>
      <c r="C164" s="102">
        <v>0.62769730075480124</v>
      </c>
      <c r="D164" s="102">
        <v>-0.75</v>
      </c>
      <c r="F164" s="105">
        <f>IF(Body1Actif=TRUE,((((($B164*$F$4)+'Calculs 3D'!$C$6-OffsetX)/Ecran)*'Calculs 3D'!$C$31)+(((($C164*$F$4)+'Calculs 3D'!$D$6-OffsetY)/Ecran)*'Calculs 3D'!$D$31)+(((($D164*$F$4)+'Calculs 3D'!$E$6-OffsetZ)/Ecran)*'Calculs 3D'!$E$31)),0)</f>
        <v>5.2595828410172442E-2</v>
      </c>
      <c r="G164" s="105">
        <f>IF(Body1Actif=TRUE,((((($B164*$F$4)+'Calculs 3D'!$C$6-OffsetX)/Ecran)*'Calculs 3D'!$C$32)+(((($C164*$F$4)+'Calculs 3D'!$D$6-OffsetY)/Ecran)*'Calculs 3D'!$D$32)+(((($D164*$F$4)+'Calculs 3D'!$E$6-OffsetZ)/Ecran)*'Calculs 3D'!$E$32)),0)</f>
        <v>0.26262607763041174</v>
      </c>
      <c r="H164" s="105">
        <f>IF(Body2Actif=TRUE,((((($B164*$H$4)+'Calculs 3D'!$C$7-OffsetX)/Ecran)*'Calculs 3D'!$C$31)+(((($C164*$H$4)+'Calculs 3D'!$D$7-OffsetY)/Ecran)*'Calculs 3D'!$D$31)+(((($D164*$H$4)+'Calculs 3D'!$E$7-OffsetZ)/Ecran)*'Calculs 3D'!$E$31)),0)</f>
        <v>3.3108849197236952E-2</v>
      </c>
      <c r="I164" s="105">
        <f>IF(Body2Actif=TRUE,((((($B164*$H$4)+'Calculs 3D'!$C$7-OffsetX)/Ecran)*'Calculs 3D'!$C$32)+(((($C164*$H$4)+'Calculs 3D'!$D$7-OffsetY)/Ecran)*'Calculs 3D'!$D$32)+(((($D164*$H$4)+'Calculs 3D'!$E$7-OffsetZ)/Ecran)*'Calculs 3D'!$E$32)),0)</f>
        <v>2.5498358736398601E-2</v>
      </c>
      <c r="J164" s="105">
        <f>IF(Body3Actif=TRUE,((((($B164*$J$4)+'Calculs 3D'!$C$8-OffsetX)/Ecran)*'Calculs 3D'!$C$31)+(((($C164*$J$4)+'Calculs 3D'!$D$8-OffsetY)/Ecran)*'Calculs 3D'!$D$31)+(((($D164*$J$4)+'Calculs 3D'!$E$8-OffsetZ)/Ecran)*'Calculs 3D'!$E$31)),0)</f>
        <v>0.22215348794652459</v>
      </c>
      <c r="K164" s="105">
        <f>IF(Body3Actif=TRUE,((((($B164*$J$4)+'Calculs 3D'!$C$8-OffsetX)/Ecran)*'Calculs 3D'!$C$32)+(((($C164*$J$4)+'Calculs 3D'!$D$8-OffsetY)/Ecran)*'Calculs 3D'!$D$32)+(((($D164*$J$4)+'Calculs 3D'!$E$8-OffsetZ)/Ecran)*'Calculs 3D'!$E$32)),0)</f>
        <v>-8.3010064360652197E-2</v>
      </c>
      <c r="L164" s="105">
        <f>IF(Body4Actif=TRUE,((((($B164*$L$4)+'Calculs 3D'!$C$9-OffsetX)/Ecran)*'Calculs 3D'!$C$31)+(((($C164*$L$4)+'Calculs 3D'!$D$9-OffsetY)/Ecran)*'Calculs 3D'!$D$31)+(((($D164*$L$4)+'Calculs 3D'!$E$9-OffsetZ)/Ecran)*'Calculs 3D'!$E$31)),0)</f>
        <v>-8.9983480354385553E-2</v>
      </c>
      <c r="M164" s="105">
        <f>IF(Body4Actif=TRUE,((((($B164*$L$4)+'Calculs 3D'!$C$9-OffsetX)/Ecran)*'Calculs 3D'!$C$32)+(((($C164*$L$4)+'Calculs 3D'!$D$9-OffsetY)/Ecran)*'Calculs 3D'!$D$32)+(((($D164*$L$4)+'Calculs 3D'!$E$9-OffsetZ)/Ecran)*'Calculs 3D'!$E$32)),0)</f>
        <v>-0.1748961155420404</v>
      </c>
      <c r="N164" s="105">
        <f>IF(Body5Actif=TRUE,((((($B164*$N$4)+'Calculs 3D'!$C$10-OffsetX)/Ecran)*'Calculs 3D'!$C$31)+(((($C164*$N$4)+'Calculs 3D'!$D$10-OffsetY)/Ecran)*'Calculs 3D'!$D$31)+(((($D164*$N$4)+'Calculs 3D'!$E$10-OffsetZ)/Ecran)*'Calculs 3D'!$E$31)),0)</f>
        <v>6.0414290535167666E-3</v>
      </c>
      <c r="O164" s="105">
        <f>IF(Body5Actif=TRUE,((((($B164*$N$4)+'Calculs 3D'!$C$10-OffsetX)/Ecran)*'Calculs 3D'!$C$32)+(((($C164*$N$4)+'Calculs 3D'!$D$10-OffsetY)/Ecran)*'Calculs 3D'!$D$32)+(((($D164*$N$4)+'Calculs 3D'!$E$10-OffsetZ)/Ecran)*'Calculs 3D'!$E$32)),0)</f>
        <v>-8.3764672738215525E-3</v>
      </c>
      <c r="P164" s="105">
        <f>IF(Body6Actif=TRUE,((((($B164*$P$4)+'Calculs 3D'!$C$11-OffsetX)/Ecran)*'Calculs 3D'!$C$31)+(((($C164*$P$4)+'Calculs 3D'!$D$11-OffsetY)/Ecran)*'Calculs 3D'!$D$31)+(((($D164*$P$4)+'Calculs 3D'!$E$11-OffsetZ)/Ecran)*'Calculs 3D'!$E$31)),0)</f>
        <v>0.17819168992277085</v>
      </c>
      <c r="Q164" s="105">
        <f>IF(Body6Actif=TRUE,((((($B164*$P$4)+'Calculs 3D'!$C$11-OffsetX)/Ecran)*'Calculs 3D'!$C$32)+(((($C164*$P$4)+'Calculs 3D'!$D$11-OffsetY)/Ecran)*'Calculs 3D'!$D$32)+(((($D164*$P$4)+'Calculs 3D'!$E$11-OffsetZ)/Ecran)*'Calculs 3D'!$E$32)),0)</f>
        <v>0.12813331960310978</v>
      </c>
      <c r="R164" s="105">
        <f>IF(Body7Actif=TRUE,((((($B164*$R$4)+'Calculs 3D'!$C$12-OffsetX)/Ecran)*'Calculs 3D'!$C$31)+(((($C164*$R$4)+'Calculs 3D'!$D$12-OffsetY)/Ecran)*'Calculs 3D'!$D$31)+(((($D164*$R$4)+'Calculs 3D'!$E$12-OffsetZ)/Ecran)*'Calculs 3D'!$E$31)),0)</f>
        <v>-0.27319137013081574</v>
      </c>
      <c r="S164" s="105">
        <f>IF(Body7Actif=TRUE,((((($B164*$R$4)+'Calculs 3D'!$C$12-OffsetX)/Ecran)*'Calculs 3D'!$C$32)+(((($C164*$R$4)+'Calculs 3D'!$D$12-OffsetY)/Ecran)*'Calculs 3D'!$D$32)+(((($D164*$R$4)+'Calculs 3D'!$E$12-OffsetZ)/Ecran)*'Calculs 3D'!$E$32)),0)</f>
        <v>5.7401065353367101E-2</v>
      </c>
      <c r="T164" s="105">
        <f>IF(Body8Actif=TRUE,((((($B164*$T$4)+'Calculs 3D'!$C$13-OffsetX)/Ecran)*'Calculs 3D'!$C$31)+(((($C164*$T$4)+'Calculs 3D'!$D$13-OffsetY)/Ecran)*'Calculs 3D'!$D$31)+(((($D164*$T$4)+'Calculs 3D'!$E$13-OffsetZ)/Ecran)*'Calculs 3D'!$E$31)),0)</f>
        <v>0.17089271454736354</v>
      </c>
      <c r="U164" s="105">
        <f>IF(Body8Actif=TRUE,((((($B164*$T$4)+'Calculs 3D'!$C$13-OffsetX)/Ecran)*'Calculs 3D'!$C$32)+(((($C164*$T$4)+'Calculs 3D'!$D$13-OffsetY)/Ecran)*'Calculs 3D'!$D$32)+(((($D164*$T$4)+'Calculs 3D'!$E$13-OffsetZ)/Ecran)*'Calculs 3D'!$E$32)),0)</f>
        <v>-0.13235374949337192</v>
      </c>
      <c r="V164" s="105">
        <f>IF(Body9Actif=TRUE,((((($B164*$V$4)+'Calculs 3D'!$C$14-OffsetX)/Ecran)*'Calculs 3D'!$C$31)+(((($C164*$V$4)+'Calculs 3D'!$D$14-OffsetY)/Ecran)*'Calculs 3D'!$D$31)+(((($D164*$V$4)+'Calculs 3D'!$E$14-OffsetZ)/Ecran)*'Calculs 3D'!$E$31)),0)</f>
        <v>-0.17388221491370046</v>
      </c>
      <c r="W164" s="105">
        <f>IF(Body9Actif=TRUE,((((($B164*$V$4)+'Calculs 3D'!$C$14-OffsetX)/Ecran)*'Calculs 3D'!$C$32)+(((($C164*$V$4)+'Calculs 3D'!$D$14-OffsetY)/Ecran)*'Calculs 3D'!$D$32)+(((($D164*$V$4)+'Calculs 3D'!$E$14-OffsetZ)/Ecran)*'Calculs 3D'!$E$32)),0)</f>
        <v>0.28619940836562924</v>
      </c>
      <c r="X164" s="105">
        <f>IF(Body10Actif=TRUE,((((($B164*$X$4)+'Calculs 3D'!$C$15-OffsetX)/Ecran)*'Calculs 3D'!$C$31)+(((($C164*$X$4)+'Calculs 3D'!$D$15-OffsetY)/Ecran)*'Calculs 3D'!$D$31)+(((($D164*$X$4)+'Calculs 3D'!$E$15-OffsetZ)/Ecran)*'Calculs 3D'!$E$31)),0)</f>
        <v>-9.7417246671648861E-3</v>
      </c>
      <c r="Y164" s="105">
        <f>IF(Body10Actif=TRUE,((((($B164*$X$4)+'Calculs 3D'!$C$15-OffsetX)/Ecran)*'Calculs 3D'!$C$32)+(((($C164*$X$4)+'Calculs 3D'!$D$15-OffsetY)/Ecran)*'Calculs 3D'!$D$32)+(((($D164*$X$4)+'Calculs 3D'!$E$15-OffsetZ)/Ecran)*'Calculs 3D'!$E$32)),0)</f>
        <v>0.28880991776137116</v>
      </c>
    </row>
    <row r="165" spans="2:25" x14ac:dyDescent="0.3">
      <c r="B165" s="102">
        <v>4.0429899011984458E-17</v>
      </c>
      <c r="C165" s="102">
        <v>0.65999999999999992</v>
      </c>
      <c r="D165" s="102">
        <v>-0.75</v>
      </c>
      <c r="F165" s="105">
        <f>IF(Body1Actif=TRUE,((((($B165*$F$4)+'Calculs 3D'!$C$6-OffsetX)/Ecran)*'Calculs 3D'!$C$31)+(((($C165*$F$4)+'Calculs 3D'!$D$6-OffsetY)/Ecran)*'Calculs 3D'!$D$31)+(((($D165*$F$4)+'Calculs 3D'!$E$6-OffsetZ)/Ecran)*'Calculs 3D'!$E$31)),0)</f>
        <v>5.2044359534516561E-2</v>
      </c>
      <c r="G165" s="105">
        <f>IF(Body1Actif=TRUE,((((($B165*$F$4)+'Calculs 3D'!$C$6-OffsetX)/Ecran)*'Calculs 3D'!$C$32)+(((($C165*$F$4)+'Calculs 3D'!$D$6-OffsetY)/Ecran)*'Calculs 3D'!$D$32)+(((($D165*$F$4)+'Calculs 3D'!$E$6-OffsetZ)/Ecran)*'Calculs 3D'!$E$32)),0)</f>
        <v>0.26296559577199419</v>
      </c>
      <c r="H165" s="105">
        <f>IF(Body2Actif=TRUE,((((($B165*$H$4)+'Calculs 3D'!$C$7-OffsetX)/Ecran)*'Calculs 3D'!$C$31)+(((($C165*$H$4)+'Calculs 3D'!$D$7-OffsetY)/Ecran)*'Calculs 3D'!$D$31)+(((($D165*$H$4)+'Calculs 3D'!$E$7-OffsetZ)/Ecran)*'Calculs 3D'!$E$31)),0)</f>
        <v>3.0959291658513646E-2</v>
      </c>
      <c r="I165" s="105">
        <f>IF(Body2Actif=TRUE,((((($B165*$H$4)+'Calculs 3D'!$C$7-OffsetX)/Ecran)*'Calculs 3D'!$C$32)+(((($C165*$H$4)+'Calculs 3D'!$D$7-OffsetY)/Ecran)*'Calculs 3D'!$D$32)+(((($D165*$H$4)+'Calculs 3D'!$E$7-OffsetZ)/Ecran)*'Calculs 3D'!$E$32)),0)</f>
        <v>2.6821758501986381E-2</v>
      </c>
      <c r="J165" s="105">
        <f>IF(Body3Actif=TRUE,((((($B165*$J$4)+'Calculs 3D'!$C$8-OffsetX)/Ecran)*'Calculs 3D'!$C$31)+(((($C165*$J$4)+'Calculs 3D'!$D$8-OffsetY)/Ecran)*'Calculs 3D'!$D$31)+(((($D165*$J$4)+'Calculs 3D'!$E$8-OffsetZ)/Ecran)*'Calculs 3D'!$E$31)),0)</f>
        <v>0.22119817682683288</v>
      </c>
      <c r="K165" s="105">
        <f>IF(Body3Actif=TRUE,((((($B165*$J$4)+'Calculs 3D'!$C$8-OffsetX)/Ecran)*'Calculs 3D'!$C$32)+(((($C165*$J$4)+'Calculs 3D'!$D$8-OffsetY)/Ecran)*'Calculs 3D'!$D$32)+(((($D165*$J$4)+'Calculs 3D'!$E$8-OffsetZ)/Ecran)*'Calculs 3D'!$E$32)),0)</f>
        <v>-8.2421916107307786E-2</v>
      </c>
      <c r="L165" s="105">
        <f>IF(Body4Actif=TRUE,((((($B165*$L$4)+'Calculs 3D'!$C$9-OffsetX)/Ecran)*'Calculs 3D'!$C$31)+(((($C165*$L$4)+'Calculs 3D'!$D$9-OffsetY)/Ecran)*'Calculs 3D'!$D$31)+(((($D165*$L$4)+'Calculs 3D'!$E$9-OffsetZ)/Ecran)*'Calculs 3D'!$E$31)),0)</f>
        <v>-9.1225664326549549E-2</v>
      </c>
      <c r="M165" s="105">
        <f>IF(Body4Actif=TRUE,((((($B165*$L$4)+'Calculs 3D'!$C$9-OffsetX)/Ecran)*'Calculs 3D'!$C$32)+(((($C165*$L$4)+'Calculs 3D'!$D$9-OffsetY)/Ecran)*'Calculs 3D'!$D$32)+(((($D165*$L$4)+'Calculs 3D'!$E$9-OffsetZ)/Ecran)*'Calculs 3D'!$E$32)),0)</f>
        <v>-0.17413135072511202</v>
      </c>
      <c r="N165" s="105">
        <f>IF(Body5Actif=TRUE,((((($B165*$N$4)+'Calculs 3D'!$C$10-OffsetX)/Ecran)*'Calculs 3D'!$C$31)+(((($C165*$N$4)+'Calculs 3D'!$D$10-OffsetY)/Ecran)*'Calculs 3D'!$D$31)+(((($D165*$N$4)+'Calculs 3D'!$E$10-OffsetZ)/Ecran)*'Calculs 3D'!$E$31)),0)</f>
        <v>4.6233620134605614E-3</v>
      </c>
      <c r="O165" s="105">
        <f>IF(Body5Actif=TRUE,((((($B165*$N$4)+'Calculs 3D'!$C$10-OffsetX)/Ecran)*'Calculs 3D'!$C$32)+(((($C165*$N$4)+'Calculs 3D'!$D$10-OffsetY)/Ecran)*'Calculs 3D'!$D$32)+(((($D165*$N$4)+'Calculs 3D'!$E$10-OffsetZ)/Ecran)*'Calculs 3D'!$E$32)),0)</f>
        <v>-7.5034180278298595E-3</v>
      </c>
      <c r="P165" s="105">
        <f>IF(Body6Actif=TRUE,((((($B165*$P$4)+'Calculs 3D'!$C$11-OffsetX)/Ecran)*'Calculs 3D'!$C$31)+(((($C165*$P$4)+'Calculs 3D'!$D$11-OffsetY)/Ecran)*'Calculs 3D'!$D$31)+(((($D165*$P$4)+'Calculs 3D'!$E$11-OffsetZ)/Ecran)*'Calculs 3D'!$E$31)),0)</f>
        <v>0.17613666869066913</v>
      </c>
      <c r="Q165" s="105">
        <f>IF(Body6Actif=TRUE,((((($B165*$P$4)+'Calculs 3D'!$C$11-OffsetX)/Ecran)*'Calculs 3D'!$C$32)+(((($C165*$P$4)+'Calculs 3D'!$D$11-OffsetY)/Ecran)*'Calculs 3D'!$D$32)+(((($D165*$P$4)+'Calculs 3D'!$E$11-OffsetZ)/Ecran)*'Calculs 3D'!$E$32)),0)</f>
        <v>0.12939851700669108</v>
      </c>
      <c r="R165" s="105">
        <f>IF(Body7Actif=TRUE,((((($B165*$R$4)+'Calculs 3D'!$C$12-OffsetX)/Ecran)*'Calculs 3D'!$C$31)+(((($C165*$R$4)+'Calculs 3D'!$D$12-OffsetY)/Ecran)*'Calculs 3D'!$D$31)+(((($D165*$R$4)+'Calculs 3D'!$E$12-OffsetZ)/Ecran)*'Calculs 3D'!$E$31)),0)</f>
        <v>-0.27525515295633241</v>
      </c>
      <c r="S165" s="105">
        <f>IF(Body7Actif=TRUE,((((($B165*$R$4)+'Calculs 3D'!$C$12-OffsetX)/Ecran)*'Calculs 3D'!$C$32)+(((($C165*$R$4)+'Calculs 3D'!$D$12-OffsetY)/Ecran)*'Calculs 3D'!$D$32)+(((($D165*$R$4)+'Calculs 3D'!$E$12-OffsetZ)/Ecran)*'Calculs 3D'!$E$32)),0)</f>
        <v>5.8671656932476432E-2</v>
      </c>
      <c r="T165" s="105">
        <f>IF(Body8Actif=TRUE,((((($B165*$T$4)+'Calculs 3D'!$C$13-OffsetX)/Ecran)*'Calculs 3D'!$C$31)+(((($C165*$T$4)+'Calculs 3D'!$D$13-OffsetY)/Ecran)*'Calculs 3D'!$D$31)+(((($D165*$T$4)+'Calculs 3D'!$E$13-OffsetZ)/Ecran)*'Calculs 3D'!$E$31)),0)</f>
        <v>0.17014838963263648</v>
      </c>
      <c r="U165" s="105">
        <f>IF(Body8Actif=TRUE,((((($B165*$T$4)+'Calculs 3D'!$C$13-OffsetX)/Ecran)*'Calculs 3D'!$C$32)+(((($C165*$T$4)+'Calculs 3D'!$D$13-OffsetY)/Ecran)*'Calculs 3D'!$D$32)+(((($D165*$T$4)+'Calculs 3D'!$E$13-OffsetZ)/Ecran)*'Calculs 3D'!$E$32)),0)</f>
        <v>-0.1318954973182494</v>
      </c>
      <c r="V165" s="105">
        <f>IF(Body9Actif=TRUE,((((($B165*$V$4)+'Calculs 3D'!$C$14-OffsetX)/Ecran)*'Calculs 3D'!$C$31)+(((($C165*$V$4)+'Calculs 3D'!$D$14-OffsetY)/Ecran)*'Calculs 3D'!$D$31)+(((($D165*$V$4)+'Calculs 3D'!$E$14-OffsetZ)/Ecran)*'Calculs 3D'!$E$31)),0)</f>
        <v>-0.17491497759816005</v>
      </c>
      <c r="W165" s="105">
        <f>IF(Body9Actif=TRUE,((((($B165*$V$4)+'Calculs 3D'!$C$14-OffsetX)/Ecran)*'Calculs 3D'!$C$32)+(((($C165*$V$4)+'Calculs 3D'!$D$14-OffsetY)/Ecran)*'Calculs 3D'!$D$32)+(((($D165*$V$4)+'Calculs 3D'!$E$14-OffsetZ)/Ecran)*'Calculs 3D'!$E$32)),0)</f>
        <v>0.28683524056360493</v>
      </c>
      <c r="X165" s="105">
        <f>IF(Body10Actif=TRUE,((((($B165*$X$4)+'Calculs 3D'!$C$15-OffsetX)/Ecran)*'Calculs 3D'!$C$31)+(((($C165*$X$4)+'Calculs 3D'!$D$15-OffsetY)/Ecran)*'Calculs 3D'!$D$31)+(((($D165*$X$4)+'Calculs 3D'!$E$15-OffsetZ)/Ecran)*'Calculs 3D'!$E$31)),0)</f>
        <v>-1.1300632531659194E-2</v>
      </c>
      <c r="Y165" s="105">
        <f>IF(Body10Actif=TRUE,((((($B165*$X$4)+'Calculs 3D'!$C$15-OffsetX)/Ecran)*'Calculs 3D'!$C$32)+(((($C165*$X$4)+'Calculs 3D'!$D$15-OffsetY)/Ecran)*'Calculs 3D'!$D$32)+(((($D165*$X$4)+'Calculs 3D'!$E$15-OffsetZ)/Ecran)*'Calculs 3D'!$E$32)),0)</f>
        <v>0.28976967727712249</v>
      </c>
    </row>
    <row r="166" spans="2:25" x14ac:dyDescent="0.3">
      <c r="B166" s="102">
        <v>-0.20395121628746521</v>
      </c>
      <c r="C166" s="102">
        <v>0.62769730075480135</v>
      </c>
      <c r="D166" s="102">
        <v>-0.75</v>
      </c>
      <c r="F166" s="105">
        <f>IF(Body1Actif=TRUE,((((($B166*$F$4)+'Calculs 3D'!$C$6-OffsetX)/Ecran)*'Calculs 3D'!$C$31)+(((($C166*$F$4)+'Calculs 3D'!$D$6-OffsetY)/Ecran)*'Calculs 3D'!$D$31)+(((($D166*$F$4)+'Calculs 3D'!$E$6-OffsetZ)/Ecran)*'Calculs 3D'!$E$31)),0)</f>
        <v>5.1349468212343576E-2</v>
      </c>
      <c r="G166" s="105">
        <f>IF(Body1Actif=TRUE,((((($B166*$F$4)+'Calculs 3D'!$C$6-OffsetX)/Ecran)*'Calculs 3D'!$C$32)+(((($C166*$F$4)+'Calculs 3D'!$D$6-OffsetY)/Ecran)*'Calculs 3D'!$D$32)+(((($D166*$F$4)+'Calculs 3D'!$E$6-OffsetZ)/Ecran)*'Calculs 3D'!$E$32)),0)</f>
        <v>0.26318357983729906</v>
      </c>
      <c r="H166" s="105">
        <f>IF(Body2Actif=TRUE,((((($B166*$H$4)+'Calculs 3D'!$C$7-OffsetX)/Ecran)*'Calculs 3D'!$C$31)+(((($C166*$H$4)+'Calculs 3D'!$D$7-OffsetY)/Ecran)*'Calculs 3D'!$D$31)+(((($D166*$H$4)+'Calculs 3D'!$E$7-OffsetZ)/Ecran)*'Calculs 3D'!$E$31)),0)</f>
        <v>2.8250691144307193E-2</v>
      </c>
      <c r="I166" s="105">
        <f>IF(Body2Actif=TRUE,((((($B166*$H$4)+'Calculs 3D'!$C$7-OffsetX)/Ecran)*'Calculs 3D'!$C$32)+(((($C166*$H$4)+'Calculs 3D'!$D$7-OffsetY)/Ecran)*'Calculs 3D'!$D$32)+(((($D166*$H$4)+'Calculs 3D'!$E$7-OffsetZ)/Ecran)*'Calculs 3D'!$E$32)),0)</f>
        <v>2.7671433454793674E-2</v>
      </c>
      <c r="J166" s="105">
        <f>IF(Body3Actif=TRUE,((((($B166*$J$4)+'Calculs 3D'!$C$8-OffsetX)/Ecran)*'Calculs 3D'!$C$31)+(((($C166*$J$4)+'Calculs 3D'!$D$8-OffsetY)/Ecran)*'Calculs 3D'!$D$31)+(((($D166*$J$4)+'Calculs 3D'!$E$8-OffsetZ)/Ecran)*'Calculs 3D'!$E$31)),0)</f>
        <v>0.21999441459046076</v>
      </c>
      <c r="K166" s="105">
        <f>IF(Body3Actif=TRUE,((((($B166*$J$4)+'Calculs 3D'!$C$8-OffsetX)/Ecran)*'Calculs 3D'!$C$32)+(((($C166*$J$4)+'Calculs 3D'!$D$8-OffsetY)/Ecran)*'Calculs 3D'!$D$32)+(((($D166*$J$4)+'Calculs 3D'!$E$8-OffsetZ)/Ecran)*'Calculs 3D'!$E$32)),0)</f>
        <v>-8.204430168391233E-2</v>
      </c>
      <c r="L166" s="105">
        <f>IF(Body4Actif=TRUE,((((($B166*$L$4)+'Calculs 3D'!$C$9-OffsetX)/Ecran)*'Calculs 3D'!$C$31)+(((($C166*$L$4)+'Calculs 3D'!$D$9-OffsetY)/Ecran)*'Calculs 3D'!$D$31)+(((($D166*$L$4)+'Calculs 3D'!$E$9-OffsetZ)/Ecran)*'Calculs 3D'!$E$31)),0)</f>
        <v>-9.2790907445252396E-2</v>
      </c>
      <c r="M166" s="105">
        <f>IF(Body4Actif=TRUE,((((($B166*$L$4)+'Calculs 3D'!$C$9-OffsetX)/Ecran)*'Calculs 3D'!$C$32)+(((($C166*$L$4)+'Calculs 3D'!$D$9-OffsetY)/Ecran)*'Calculs 3D'!$D$32)+(((($D166*$L$4)+'Calculs 3D'!$E$9-OffsetZ)/Ecran)*'Calculs 3D'!$E$32)),0)</f>
        <v>-0.17364034148766994</v>
      </c>
      <c r="N166" s="105">
        <f>IF(Body5Actif=TRUE,((((($B166*$N$4)+'Calculs 3D'!$C$10-OffsetX)/Ecran)*'Calculs 3D'!$C$31)+(((($C166*$N$4)+'Calculs 3D'!$D$10-OffsetY)/Ecran)*'Calculs 3D'!$D$31)+(((($D166*$N$4)+'Calculs 3D'!$E$10-OffsetZ)/Ecran)*'Calculs 3D'!$E$31)),0)</f>
        <v>2.8364932999313808E-3</v>
      </c>
      <c r="O166" s="105">
        <f>IF(Body5Actif=TRUE,((((($B166*$N$4)+'Calculs 3D'!$C$10-OffsetX)/Ecran)*'Calculs 3D'!$C$32)+(((($C166*$N$4)+'Calculs 3D'!$D$10-OffsetY)/Ecran)*'Calculs 3D'!$D$32)+(((($D166*$N$4)+'Calculs 3D'!$E$10-OffsetZ)/Ecran)*'Calculs 3D'!$E$32)),0)</f>
        <v>-6.9428859073205566E-3</v>
      </c>
      <c r="P166" s="105">
        <f>IF(Body6Actif=TRUE,((((($B166*$P$4)+'Calculs 3D'!$C$11-OffsetX)/Ecran)*'Calculs 3D'!$C$31)+(((($C166*$P$4)+'Calculs 3D'!$D$11-OffsetY)/Ecran)*'Calculs 3D'!$D$31)+(((($D166*$P$4)+'Calculs 3D'!$E$11-OffsetZ)/Ecran)*'Calculs 3D'!$E$31)),0)</f>
        <v>0.17354719087223314</v>
      </c>
      <c r="Q166" s="105">
        <f>IF(Body6Actif=TRUE,((((($B166*$P$4)+'Calculs 3D'!$C$11-OffsetX)/Ecran)*'Calculs 3D'!$C$32)+(((($C166*$P$4)+'Calculs 3D'!$D$11-OffsetY)/Ecran)*'Calculs 3D'!$D$32)+(((($D166*$P$4)+'Calculs 3D'!$E$11-OffsetZ)/Ecran)*'Calculs 3D'!$E$32)),0)</f>
        <v>0.13021082374282111</v>
      </c>
      <c r="R166" s="105">
        <f>IF(Body7Actif=TRUE,((((($B166*$R$4)+'Calculs 3D'!$C$12-OffsetX)/Ecran)*'Calculs 3D'!$C$31)+(((($C166*$R$4)+'Calculs 3D'!$D$12-OffsetY)/Ecran)*'Calculs 3D'!$D$31)+(((($D166*$R$4)+'Calculs 3D'!$E$12-OffsetZ)/Ecran)*'Calculs 3D'!$E$31)),0)</f>
        <v>-0.27785567102654185</v>
      </c>
      <c r="S166" s="105">
        <f>IF(Body7Actif=TRUE,((((($B166*$R$4)+'Calculs 3D'!$C$12-OffsetX)/Ecran)*'Calculs 3D'!$C$32)+(((($C166*$R$4)+'Calculs 3D'!$D$12-OffsetY)/Ecran)*'Calculs 3D'!$D$32)+(((($D166*$R$4)+'Calculs 3D'!$E$12-OffsetZ)/Ecran)*'Calculs 3D'!$E$32)),0)</f>
        <v>5.9487426942483629E-2</v>
      </c>
      <c r="T166" s="105">
        <f>IF(Body8Actif=TRUE,((((($B166*$T$4)+'Calculs 3D'!$C$13-OffsetX)/Ecran)*'Calculs 3D'!$C$31)+(((($C166*$T$4)+'Calculs 3D'!$D$13-OffsetY)/Ecran)*'Calculs 3D'!$D$31)+(((($D166*$T$4)+'Calculs 3D'!$E$13-OffsetZ)/Ecran)*'Calculs 3D'!$E$31)),0)</f>
        <v>0.1692104855242571</v>
      </c>
      <c r="U166" s="105">
        <f>IF(Body8Actif=TRUE,((((($B166*$T$4)+'Calculs 3D'!$C$13-OffsetX)/Ecran)*'Calculs 3D'!$C$32)+(((($C166*$T$4)+'Calculs 3D'!$D$13-OffsetY)/Ecran)*'Calculs 3D'!$D$32)+(((($D166*$T$4)+'Calculs 3D'!$E$13-OffsetZ)/Ecran)*'Calculs 3D'!$E$32)),0)</f>
        <v>-0.13160128131081483</v>
      </c>
      <c r="V166" s="105">
        <f>IF(Body9Actif=TRUE,((((($B166*$V$4)+'Calculs 3D'!$C$14-OffsetX)/Ecran)*'Calculs 3D'!$C$31)+(((($C166*$V$4)+'Calculs 3D'!$D$14-OffsetY)/Ecran)*'Calculs 3D'!$D$31)+(((($D166*$V$4)+'Calculs 3D'!$E$14-OffsetZ)/Ecran)*'Calculs 3D'!$E$31)),0)</f>
        <v>-0.17621633449965621</v>
      </c>
      <c r="W166" s="105">
        <f>IF(Body9Actif=TRUE,((((($B166*$V$4)+'Calculs 3D'!$C$14-OffsetX)/Ecran)*'Calculs 3D'!$C$32)+(((($C166*$V$4)+'Calculs 3D'!$D$14-OffsetY)/Ecran)*'Calculs 3D'!$D$32)+(((($D166*$V$4)+'Calculs 3D'!$E$14-OffsetZ)/Ecran)*'Calculs 3D'!$E$32)),0)</f>
        <v>0.28724346996401473</v>
      </c>
      <c r="X166" s="105">
        <f>IF(Body10Actif=TRUE,((((($B166*$X$4)+'Calculs 3D'!$C$15-OffsetX)/Ecran)*'Calculs 3D'!$C$31)+(((($C166*$X$4)+'Calculs 3D'!$D$15-OffsetY)/Ecran)*'Calculs 3D'!$D$31)+(((($D166*$X$4)+'Calculs 3D'!$E$15-OffsetZ)/Ecran)*'Calculs 3D'!$E$31)),0)</f>
        <v>-1.3264971037283801E-2</v>
      </c>
      <c r="Y166" s="105">
        <f>IF(Body10Actif=TRUE,((((($B166*$X$4)+'Calculs 3D'!$C$15-OffsetX)/Ecran)*'Calculs 3D'!$C$32)+(((($C166*$X$4)+'Calculs 3D'!$D$15-OffsetY)/Ecran)*'Calculs 3D'!$D$32)+(((($D166*$X$4)+'Calculs 3D'!$E$15-OffsetZ)/Ecran)*'Calculs 3D'!$E$32)),0)</f>
        <v>0.29038588081777383</v>
      </c>
    </row>
    <row r="167" spans="2:25" x14ac:dyDescent="0.3">
      <c r="B167" s="102">
        <v>-0.38793826651303215</v>
      </c>
      <c r="C167" s="102">
        <v>0.53395121628746522</v>
      </c>
      <c r="D167" s="102">
        <v>-0.75</v>
      </c>
      <c r="F167" s="105">
        <f>IF(Body1Actif=TRUE,((((($B167*$F$4)+'Calculs 3D'!$C$6-OffsetX)/Ecran)*'Calculs 3D'!$C$31)+(((($C167*$F$4)+'Calculs 3D'!$D$6-OffsetY)/Ecran)*'Calculs 3D'!$D$31)+(((($D167*$F$4)+'Calculs 3D'!$E$6-OffsetZ)/Ecran)*'Calculs 3D'!$E$31)),0)</f>
        <v>5.0579175247860278E-2</v>
      </c>
      <c r="G167" s="105">
        <f>IF(Body1Actif=TRUE,((((($B167*$F$4)+'Calculs 3D'!$C$6-OffsetX)/Ecran)*'Calculs 3D'!$C$32)+(((($C167*$F$4)+'Calculs 3D'!$D$6-OffsetY)/Ecran)*'Calculs 3D'!$D$32)+(((($D167*$F$4)+'Calculs 3D'!$E$6-OffsetZ)/Ecran)*'Calculs 3D'!$E$32)),0)</f>
        <v>0.26325869202722996</v>
      </c>
      <c r="H167" s="105">
        <f>IF(Body2Actif=TRUE,((((($B167*$H$4)+'Calculs 3D'!$C$7-OffsetX)/Ecran)*'Calculs 3D'!$C$31)+(((($C167*$H$4)+'Calculs 3D'!$D$7-OffsetY)/Ecran)*'Calculs 3D'!$D$31)+(((($D167*$H$4)+'Calculs 3D'!$E$7-OffsetZ)/Ecran)*'Calculs 3D'!$E$31)),0)</f>
        <v>2.5248184344877588E-2</v>
      </c>
      <c r="I167" s="105">
        <f>IF(Body2Actif=TRUE,((((($B167*$H$4)+'Calculs 3D'!$C$7-OffsetX)/Ecran)*'Calculs 3D'!$C$32)+(((($C167*$H$4)+'Calculs 3D'!$D$7-OffsetY)/Ecran)*'Calculs 3D'!$D$32)+(((($D167*$H$4)+'Calculs 3D'!$E$7-OffsetZ)/Ecran)*'Calculs 3D'!$E$32)),0)</f>
        <v>2.7964211490406194E-2</v>
      </c>
      <c r="J167" s="105">
        <f>IF(Body3Actif=TRUE,((((($B167*$J$4)+'Calculs 3D'!$C$8-OffsetX)/Ecran)*'Calculs 3D'!$C$31)+(((($C167*$J$4)+'Calculs 3D'!$D$8-OffsetY)/Ecran)*'Calculs 3D'!$D$31)+(((($D167*$J$4)+'Calculs 3D'!$E$8-OffsetZ)/Ecran)*'Calculs 3D'!$E$31)),0)</f>
        <v>0.21866003387220898</v>
      </c>
      <c r="K167" s="105">
        <f>IF(Body3Actif=TRUE,((((($B167*$J$4)+'Calculs 3D'!$C$8-OffsetX)/Ecran)*'Calculs 3D'!$C$32)+(((($C167*$J$4)+'Calculs 3D'!$D$8-OffsetY)/Ecran)*'Calculs 3D'!$D$32)+(((($D167*$J$4)+'Calculs 3D'!$E$8-OffsetZ)/Ecran)*'Calculs 3D'!$E$32)),0)</f>
        <v>-8.1914184621222186E-2</v>
      </c>
      <c r="L167" s="105">
        <f>IF(Body4Actif=TRUE,((((($B167*$L$4)+'Calculs 3D'!$C$9-OffsetX)/Ecran)*'Calculs 3D'!$C$31)+(((($C167*$L$4)+'Calculs 3D'!$D$9-OffsetY)/Ecran)*'Calculs 3D'!$D$31)+(((($D167*$L$4)+'Calculs 3D'!$E$9-OffsetZ)/Ecran)*'Calculs 3D'!$E$31)),0)</f>
        <v>-9.4525992808345352E-2</v>
      </c>
      <c r="M167" s="105">
        <f>IF(Body4Actif=TRUE,((((($B167*$L$4)+'Calculs 3D'!$C$9-OffsetX)/Ecran)*'Calculs 3D'!$C$32)+(((($C167*$L$4)+'Calculs 3D'!$D$9-OffsetY)/Ecran)*'Calculs 3D'!$D$32)+(((($D167*$L$4)+'Calculs 3D'!$E$9-OffsetZ)/Ecran)*'Calculs 3D'!$E$32)),0)</f>
        <v>-0.17347115123493748</v>
      </c>
      <c r="N167" s="105">
        <f>IF(Body5Actif=TRUE,((((($B167*$N$4)+'Calculs 3D'!$C$10-OffsetX)/Ecran)*'Calculs 3D'!$C$31)+(((($C167*$N$4)+'Calculs 3D'!$D$10-OffsetY)/Ecran)*'Calculs 3D'!$D$31)+(((($D167*$N$4)+'Calculs 3D'!$E$10-OffsetZ)/Ecran)*'Calculs 3D'!$E$31)),0)</f>
        <v>8.5573407245585244E-4</v>
      </c>
      <c r="O167" s="105">
        <f>IF(Body5Actif=TRUE,((((($B167*$N$4)+'Calculs 3D'!$C$10-OffsetX)/Ecran)*'Calculs 3D'!$C$32)+(((($C167*$N$4)+'Calculs 3D'!$D$10-OffsetY)/Ecran)*'Calculs 3D'!$D$32)+(((($D167*$N$4)+'Calculs 3D'!$E$10-OffsetZ)/Ecran)*'Calculs 3D'!$E$32)),0)</f>
        <v>-6.7497397017060243E-3</v>
      </c>
      <c r="P167" s="105">
        <f>IF(Body6Actif=TRUE,((((($B167*$P$4)+'Calculs 3D'!$C$11-OffsetX)/Ecran)*'Calculs 3D'!$C$31)+(((($C167*$P$4)+'Calculs 3D'!$D$11-OffsetY)/Ecran)*'Calculs 3D'!$D$31)+(((($D167*$P$4)+'Calculs 3D'!$E$11-OffsetZ)/Ecran)*'Calculs 3D'!$E$31)),0)</f>
        <v>0.1706767325982842</v>
      </c>
      <c r="Q167" s="105">
        <f>IF(Body6Actif=TRUE,((((($B167*$P$4)+'Calculs 3D'!$C$11-OffsetX)/Ecran)*'Calculs 3D'!$C$32)+(((($C167*$P$4)+'Calculs 3D'!$D$11-OffsetY)/Ecran)*'Calculs 3D'!$D$32)+(((($D167*$P$4)+'Calculs 3D'!$E$11-OffsetZ)/Ecran)*'Calculs 3D'!$E$32)),0)</f>
        <v>0.13049072556849362</v>
      </c>
      <c r="R167" s="105">
        <f>IF(Body7Actif=TRUE,((((($B167*$R$4)+'Calculs 3D'!$C$12-OffsetX)/Ecran)*'Calculs 3D'!$C$31)+(((($C167*$R$4)+'Calculs 3D'!$D$12-OffsetY)/Ecran)*'Calculs 3D'!$D$31)+(((($D167*$R$4)+'Calculs 3D'!$E$12-OffsetZ)/Ecran)*'Calculs 3D'!$E$31)),0)</f>
        <v>-0.28073836751385717</v>
      </c>
      <c r="S167" s="105">
        <f>IF(Body7Actif=TRUE,((((($B167*$R$4)+'Calculs 3D'!$C$12-OffsetX)/Ecran)*'Calculs 3D'!$C$32)+(((($C167*$R$4)+'Calculs 3D'!$D$12-OffsetY)/Ecran)*'Calculs 3D'!$D$32)+(((($D167*$R$4)+'Calculs 3D'!$E$12-OffsetZ)/Ecran)*'Calculs 3D'!$E$32)),0)</f>
        <v>5.9768522131005308E-2</v>
      </c>
      <c r="T167" s="105">
        <f>IF(Body8Actif=TRUE,((((($B167*$T$4)+'Calculs 3D'!$C$13-OffsetX)/Ecran)*'Calculs 3D'!$C$31)+(((($C167*$T$4)+'Calculs 3D'!$D$13-OffsetY)/Ecran)*'Calculs 3D'!$D$31)+(((($D167*$T$4)+'Calculs 3D'!$E$13-OffsetZ)/Ecran)*'Calculs 3D'!$E$31)),0)</f>
        <v>0.16817081081111576</v>
      </c>
      <c r="U167" s="105">
        <f>IF(Body8Actif=TRUE,((((($B167*$T$4)+'Calculs 3D'!$C$13-OffsetX)/Ecran)*'Calculs 3D'!$C$32)+(((($C167*$T$4)+'Calculs 3D'!$D$13-OffsetY)/Ecran)*'Calculs 3D'!$D$32)+(((($D167*$T$4)+'Calculs 3D'!$E$13-OffsetZ)/Ecran)*'Calculs 3D'!$E$32)),0)</f>
        <v>-0.13149990138379941</v>
      </c>
      <c r="V167" s="105">
        <f>IF(Body9Actif=TRUE,((((($B167*$V$4)+'Calculs 3D'!$C$14-OffsetX)/Ecran)*'Calculs 3D'!$C$31)+(((($C167*$V$4)+'Calculs 3D'!$D$14-OffsetY)/Ecran)*'Calculs 3D'!$D$31)+(((($D167*$V$4)+'Calculs 3D'!$E$14-OffsetZ)/Ecran)*'Calculs 3D'!$E$31)),0)</f>
        <v>-0.17765889973758364</v>
      </c>
      <c r="W167" s="105">
        <f>IF(Body9Actif=TRUE,((((($B167*$V$4)+'Calculs 3D'!$C$14-OffsetX)/Ecran)*'Calculs 3D'!$C$32)+(((($C167*$V$4)+'Calculs 3D'!$D$14-OffsetY)/Ecran)*'Calculs 3D'!$D$32)+(((($D167*$V$4)+'Calculs 3D'!$E$14-OffsetZ)/Ecran)*'Calculs 3D'!$E$32)),0)</f>
        <v>0.28738413622884501</v>
      </c>
      <c r="X167" s="105">
        <f>IF(Body10Actif=TRUE,((((($B167*$X$4)+'Calculs 3D'!$C$15-OffsetX)/Ecran)*'Calculs 3D'!$C$31)+(((($C167*$X$4)+'Calculs 3D'!$D$15-OffsetY)/Ecran)*'Calculs 3D'!$D$31)+(((($D167*$X$4)+'Calculs 3D'!$E$15-OffsetZ)/Ecran)*'Calculs 3D'!$E$31)),0)</f>
        <v>-1.5442457044756913E-2</v>
      </c>
      <c r="Y167" s="105">
        <f>IF(Body10Actif=TRUE,((((($B167*$X$4)+'Calculs 3D'!$C$15-OffsetX)/Ecran)*'Calculs 3D'!$C$32)+(((($C167*$X$4)+'Calculs 3D'!$D$15-OffsetY)/Ecran)*'Calculs 3D'!$D$32)+(((($D167*$X$4)+'Calculs 3D'!$E$15-OffsetZ)/Ecran)*'Calculs 3D'!$E$32)),0)</f>
        <v>0.2905982100874237</v>
      </c>
    </row>
    <row r="168" spans="2:25" x14ac:dyDescent="0.3">
      <c r="B168" s="102">
        <v>-0.53395121628746522</v>
      </c>
      <c r="C168" s="102">
        <v>0.38793826651303231</v>
      </c>
      <c r="D168" s="102">
        <v>-0.75</v>
      </c>
      <c r="F168" s="105">
        <f>IF(Body1Actif=TRUE,((((($B168*$F$4)+'Calculs 3D'!$C$6-OffsetX)/Ecran)*'Calculs 3D'!$C$31)+(((($C168*$F$4)+'Calculs 3D'!$D$6-OffsetY)/Ecran)*'Calculs 3D'!$D$31)+(((($D168*$F$4)+'Calculs 3D'!$E$6-OffsetZ)/Ecran)*'Calculs 3D'!$E$31)),0)</f>
        <v>4.9808882283376994E-2</v>
      </c>
      <c r="G168" s="105">
        <f>IF(Body1Actif=TRUE,((((($B168*$F$4)+'Calculs 3D'!$C$6-OffsetX)/Ecran)*'Calculs 3D'!$C$32)+(((($C168*$F$4)+'Calculs 3D'!$D$6-OffsetY)/Ecran)*'Calculs 3D'!$D$32)+(((($D168*$F$4)+'Calculs 3D'!$E$6-OffsetZ)/Ecran)*'Calculs 3D'!$E$32)),0)</f>
        <v>0.26318357983729906</v>
      </c>
      <c r="H168" s="105">
        <f>IF(Body2Actif=TRUE,((((($B168*$H$4)+'Calculs 3D'!$C$7-OffsetX)/Ecran)*'Calculs 3D'!$C$31)+(((($C168*$H$4)+'Calculs 3D'!$D$7-OffsetY)/Ecran)*'Calculs 3D'!$D$31)+(((($D168*$H$4)+'Calculs 3D'!$E$7-OffsetZ)/Ecran)*'Calculs 3D'!$E$31)),0)</f>
        <v>2.2245677545447991E-2</v>
      </c>
      <c r="I168" s="105">
        <f>IF(Body2Actif=TRUE,((((($B168*$H$4)+'Calculs 3D'!$C$7-OffsetX)/Ecran)*'Calculs 3D'!$C$32)+(((($C168*$H$4)+'Calculs 3D'!$D$7-OffsetY)/Ecran)*'Calculs 3D'!$D$32)+(((($D168*$H$4)+'Calculs 3D'!$E$7-OffsetZ)/Ecran)*'Calculs 3D'!$E$32)),0)</f>
        <v>2.7671433454793674E-2</v>
      </c>
      <c r="J168" s="105">
        <f>IF(Body3Actif=TRUE,((((($B168*$J$4)+'Calculs 3D'!$C$8-OffsetX)/Ecran)*'Calculs 3D'!$C$31)+(((($C168*$J$4)+'Calculs 3D'!$D$8-OffsetY)/Ecran)*'Calculs 3D'!$D$31)+(((($D168*$J$4)+'Calculs 3D'!$E$8-OffsetZ)/Ecran)*'Calculs 3D'!$E$31)),0)</f>
        <v>0.21732565315395722</v>
      </c>
      <c r="K168" s="105">
        <f>IF(Body3Actif=TRUE,((((($B168*$J$4)+'Calculs 3D'!$C$8-OffsetX)/Ecran)*'Calculs 3D'!$C$32)+(((($C168*$J$4)+'Calculs 3D'!$D$8-OffsetY)/Ecran)*'Calculs 3D'!$D$32)+(((($D168*$J$4)+'Calculs 3D'!$E$8-OffsetZ)/Ecran)*'Calculs 3D'!$E$32)),0)</f>
        <v>-8.2044301683912357E-2</v>
      </c>
      <c r="L168" s="105">
        <f>IF(Body4Actif=TRUE,((((($B168*$L$4)+'Calculs 3D'!$C$9-OffsetX)/Ecran)*'Calculs 3D'!$C$31)+(((($C168*$L$4)+'Calculs 3D'!$D$9-OffsetY)/Ecran)*'Calculs 3D'!$D$31)+(((($D168*$L$4)+'Calculs 3D'!$E$9-OffsetZ)/Ecran)*'Calculs 3D'!$E$31)),0)</f>
        <v>-9.6261078171438322E-2</v>
      </c>
      <c r="M168" s="105">
        <f>IF(Body4Actif=TRUE,((((($B168*$L$4)+'Calculs 3D'!$C$9-OffsetX)/Ecran)*'Calculs 3D'!$C$32)+(((($C168*$L$4)+'Calculs 3D'!$D$9-OffsetY)/Ecran)*'Calculs 3D'!$D$32)+(((($D168*$L$4)+'Calculs 3D'!$E$9-OffsetZ)/Ecran)*'Calculs 3D'!$E$32)),0)</f>
        <v>-0.17364034148766994</v>
      </c>
      <c r="N168" s="105">
        <f>IF(Body5Actif=TRUE,((((($B168*$N$4)+'Calculs 3D'!$C$10-OffsetX)/Ecran)*'Calculs 3D'!$C$31)+(((($C168*$N$4)+'Calculs 3D'!$D$10-OffsetY)/Ecran)*'Calculs 3D'!$D$31)+(((($D168*$N$4)+'Calculs 3D'!$E$10-OffsetZ)/Ecran)*'Calculs 3D'!$E$31)),0)</f>
        <v>-1.1250251550196724E-3</v>
      </c>
      <c r="O168" s="105">
        <f>IF(Body5Actif=TRUE,((((($B168*$N$4)+'Calculs 3D'!$C$10-OffsetX)/Ecran)*'Calculs 3D'!$C$32)+(((($C168*$N$4)+'Calculs 3D'!$D$10-OffsetY)/Ecran)*'Calculs 3D'!$D$32)+(((($D168*$N$4)+'Calculs 3D'!$E$10-OffsetZ)/Ecran)*'Calculs 3D'!$E$32)),0)</f>
        <v>-6.9428859073205566E-3</v>
      </c>
      <c r="P168" s="105">
        <f>IF(Body6Actif=TRUE,((((($B168*$P$4)+'Calculs 3D'!$C$11-OffsetX)/Ecran)*'Calculs 3D'!$C$31)+(((($C168*$P$4)+'Calculs 3D'!$D$11-OffsetY)/Ecran)*'Calculs 3D'!$D$31)+(((($D168*$P$4)+'Calculs 3D'!$E$11-OffsetZ)/Ecran)*'Calculs 3D'!$E$31)),0)</f>
        <v>0.16780627432433526</v>
      </c>
      <c r="Q168" s="105">
        <f>IF(Body6Actif=TRUE,((((($B168*$P$4)+'Calculs 3D'!$C$11-OffsetX)/Ecran)*'Calculs 3D'!$C$32)+(((($C168*$P$4)+'Calculs 3D'!$D$11-OffsetY)/Ecran)*'Calculs 3D'!$D$32)+(((($D168*$P$4)+'Calculs 3D'!$E$11-OffsetZ)/Ecran)*'Calculs 3D'!$E$32)),0)</f>
        <v>0.13021082374282111</v>
      </c>
      <c r="R168" s="105">
        <f>IF(Body7Actif=TRUE,((((($B168*$R$4)+'Calculs 3D'!$C$12-OffsetX)/Ecran)*'Calculs 3D'!$C$31)+(((($C168*$R$4)+'Calculs 3D'!$D$12-OffsetY)/Ecran)*'Calculs 3D'!$D$31)+(((($D168*$R$4)+'Calculs 3D'!$E$12-OffsetZ)/Ecran)*'Calculs 3D'!$E$31)),0)</f>
        <v>-0.28362106400117243</v>
      </c>
      <c r="S168" s="105">
        <f>IF(Body7Actif=TRUE,((((($B168*$R$4)+'Calculs 3D'!$C$12-OffsetX)/Ecran)*'Calculs 3D'!$C$32)+(((($C168*$R$4)+'Calculs 3D'!$D$12-OffsetY)/Ecran)*'Calculs 3D'!$D$32)+(((($D168*$R$4)+'Calculs 3D'!$E$12-OffsetZ)/Ecran)*'Calculs 3D'!$E$32)),0)</f>
        <v>5.9487426942483643E-2</v>
      </c>
      <c r="T168" s="105">
        <f>IF(Body8Actif=TRUE,((((($B168*$T$4)+'Calculs 3D'!$C$13-OffsetX)/Ecran)*'Calculs 3D'!$C$31)+(((($C168*$T$4)+'Calculs 3D'!$D$13-OffsetY)/Ecran)*'Calculs 3D'!$D$31)+(((($D168*$T$4)+'Calculs 3D'!$E$13-OffsetZ)/Ecran)*'Calculs 3D'!$E$31)),0)</f>
        <v>0.16713113609797448</v>
      </c>
      <c r="U168" s="105">
        <f>IF(Body8Actif=TRUE,((((($B168*$T$4)+'Calculs 3D'!$C$13-OffsetX)/Ecran)*'Calculs 3D'!$C$32)+(((($C168*$T$4)+'Calculs 3D'!$D$13-OffsetY)/Ecran)*'Calculs 3D'!$D$32)+(((($D168*$T$4)+'Calculs 3D'!$E$13-OffsetZ)/Ecran)*'Calculs 3D'!$E$32)),0)</f>
        <v>-0.13160128131081483</v>
      </c>
      <c r="V168" s="105">
        <f>IF(Body9Actif=TRUE,((((($B168*$V$4)+'Calculs 3D'!$C$14-OffsetX)/Ecran)*'Calculs 3D'!$C$31)+(((($C168*$V$4)+'Calculs 3D'!$D$14-OffsetY)/Ecran)*'Calculs 3D'!$D$31)+(((($D168*$V$4)+'Calculs 3D'!$E$14-OffsetZ)/Ecran)*'Calculs 3D'!$E$31)),0)</f>
        <v>-0.17910146497551116</v>
      </c>
      <c r="W168" s="105">
        <f>IF(Body9Actif=TRUE,((((($B168*$V$4)+'Calculs 3D'!$C$14-OffsetX)/Ecran)*'Calculs 3D'!$C$32)+(((($C168*$V$4)+'Calculs 3D'!$D$14-OffsetY)/Ecran)*'Calculs 3D'!$D$32)+(((($D168*$V$4)+'Calculs 3D'!$E$14-OffsetZ)/Ecran)*'Calculs 3D'!$E$32)),0)</f>
        <v>0.28724346996401473</v>
      </c>
      <c r="X168" s="105">
        <f>IF(Body10Actif=TRUE,((((($B168*$X$4)+'Calculs 3D'!$C$15-OffsetX)/Ecran)*'Calculs 3D'!$C$31)+(((($C168*$X$4)+'Calculs 3D'!$D$15-OffsetY)/Ecran)*'Calculs 3D'!$D$31)+(((($D168*$X$4)+'Calculs 3D'!$E$15-OffsetZ)/Ecran)*'Calculs 3D'!$E$31)),0)</f>
        <v>-1.7619943052230053E-2</v>
      </c>
      <c r="Y168" s="105">
        <f>IF(Body10Actif=TRUE,((((($B168*$X$4)+'Calculs 3D'!$C$15-OffsetX)/Ecran)*'Calculs 3D'!$C$32)+(((($C168*$X$4)+'Calculs 3D'!$D$15-OffsetY)/Ecran)*'Calculs 3D'!$D$32)+(((($D168*$X$4)+'Calculs 3D'!$E$15-OffsetZ)/Ecran)*'Calculs 3D'!$E$32)),0)</f>
        <v>0.29038588081777383</v>
      </c>
    </row>
    <row r="169" spans="2:25" x14ac:dyDescent="0.3">
      <c r="B169" s="102">
        <v>-0.62769730075480124</v>
      </c>
      <c r="C169" s="102">
        <v>0.20395121628746532</v>
      </c>
      <c r="D169" s="102">
        <v>-0.75</v>
      </c>
      <c r="F169" s="105">
        <f>IF(Body1Actif=TRUE,((((($B169*$F$4)+'Calculs 3D'!$C$6-OffsetX)/Ecran)*'Calculs 3D'!$C$31)+(((($C169*$F$4)+'Calculs 3D'!$D$6-OffsetY)/Ecran)*'Calculs 3D'!$D$31)+(((($D169*$F$4)+'Calculs 3D'!$E$6-OffsetZ)/Ecran)*'Calculs 3D'!$E$31)),0)</f>
        <v>4.9113990961204015E-2</v>
      </c>
      <c r="G169" s="105">
        <f>IF(Body1Actif=TRUE,((((($B169*$F$4)+'Calculs 3D'!$C$6-OffsetX)/Ecran)*'Calculs 3D'!$C$32)+(((($C169*$F$4)+'Calculs 3D'!$D$6-OffsetY)/Ecran)*'Calculs 3D'!$D$32)+(((($D169*$F$4)+'Calculs 3D'!$E$6-OffsetZ)/Ecran)*'Calculs 3D'!$E$32)),0)</f>
        <v>0.26296559577199419</v>
      </c>
      <c r="H169" s="105">
        <f>IF(Body2Actif=TRUE,((((($B169*$H$4)+'Calculs 3D'!$C$7-OffsetX)/Ecran)*'Calculs 3D'!$C$31)+(((($C169*$H$4)+'Calculs 3D'!$D$7-OffsetY)/Ecran)*'Calculs 3D'!$D$31)+(((($D169*$H$4)+'Calculs 3D'!$E$7-OffsetZ)/Ecran)*'Calculs 3D'!$E$31)),0)</f>
        <v>1.953707703124153E-2</v>
      </c>
      <c r="I169" s="105">
        <f>IF(Body2Actif=TRUE,((((($B169*$H$4)+'Calculs 3D'!$C$7-OffsetX)/Ecran)*'Calculs 3D'!$C$32)+(((($C169*$H$4)+'Calculs 3D'!$D$7-OffsetY)/Ecran)*'Calculs 3D'!$D$32)+(((($D169*$H$4)+'Calculs 3D'!$E$7-OffsetZ)/Ecran)*'Calculs 3D'!$E$32)),0)</f>
        <v>2.6821758501986381E-2</v>
      </c>
      <c r="J169" s="105">
        <f>IF(Body3Actif=TRUE,((((($B169*$J$4)+'Calculs 3D'!$C$8-OffsetX)/Ecran)*'Calculs 3D'!$C$31)+(((($C169*$J$4)+'Calculs 3D'!$D$8-OffsetY)/Ecran)*'Calculs 3D'!$D$31)+(((($D169*$J$4)+'Calculs 3D'!$E$8-OffsetZ)/Ecran)*'Calculs 3D'!$E$31)),0)</f>
        <v>0.21612189091758507</v>
      </c>
      <c r="K169" s="105">
        <f>IF(Body3Actif=TRUE,((((($B169*$J$4)+'Calculs 3D'!$C$8-OffsetX)/Ecran)*'Calculs 3D'!$C$32)+(((($C169*$J$4)+'Calculs 3D'!$D$8-OffsetY)/Ecran)*'Calculs 3D'!$D$32)+(((($D169*$J$4)+'Calculs 3D'!$E$8-OffsetZ)/Ecran)*'Calculs 3D'!$E$32)),0)</f>
        <v>-8.2421916107307786E-2</v>
      </c>
      <c r="L169" s="105">
        <f>IF(Body4Actif=TRUE,((((($B169*$L$4)+'Calculs 3D'!$C$9-OffsetX)/Ecran)*'Calculs 3D'!$C$31)+(((($C169*$L$4)+'Calculs 3D'!$D$9-OffsetY)/Ecran)*'Calculs 3D'!$D$31)+(((($D169*$L$4)+'Calculs 3D'!$E$9-OffsetZ)/Ecran)*'Calculs 3D'!$E$31)),0)</f>
        <v>-9.7826321290141155E-2</v>
      </c>
      <c r="M169" s="105">
        <f>IF(Body4Actif=TRUE,((((($B169*$L$4)+'Calculs 3D'!$C$9-OffsetX)/Ecran)*'Calculs 3D'!$C$32)+(((($C169*$L$4)+'Calculs 3D'!$D$9-OffsetY)/Ecran)*'Calculs 3D'!$D$32)+(((($D169*$L$4)+'Calculs 3D'!$E$9-OffsetZ)/Ecran)*'Calculs 3D'!$E$32)),0)</f>
        <v>-0.17413135072511202</v>
      </c>
      <c r="N169" s="105">
        <f>IF(Body5Actif=TRUE,((((($B169*$N$4)+'Calculs 3D'!$C$10-OffsetX)/Ecran)*'Calculs 3D'!$C$31)+(((($C169*$N$4)+'Calculs 3D'!$D$10-OffsetY)/Ecran)*'Calculs 3D'!$D$31)+(((($D169*$N$4)+'Calculs 3D'!$E$10-OffsetZ)/Ecran)*'Calculs 3D'!$E$31)),0)</f>
        <v>-2.9118938685488531E-3</v>
      </c>
      <c r="O169" s="105">
        <f>IF(Body5Actif=TRUE,((((($B169*$N$4)+'Calculs 3D'!$C$10-OffsetX)/Ecran)*'Calculs 3D'!$C$32)+(((($C169*$N$4)+'Calculs 3D'!$D$10-OffsetY)/Ecran)*'Calculs 3D'!$D$32)+(((($D169*$N$4)+'Calculs 3D'!$E$10-OffsetZ)/Ecran)*'Calculs 3D'!$E$32)),0)</f>
        <v>-7.5034180278298578E-3</v>
      </c>
      <c r="P169" s="105">
        <f>IF(Body6Actif=TRUE,((((($B169*$P$4)+'Calculs 3D'!$C$11-OffsetX)/Ecran)*'Calculs 3D'!$C$31)+(((($C169*$P$4)+'Calculs 3D'!$D$11-OffsetY)/Ecran)*'Calculs 3D'!$D$31)+(((($D169*$P$4)+'Calculs 3D'!$E$11-OffsetZ)/Ecran)*'Calculs 3D'!$E$31)),0)</f>
        <v>0.16521679650589921</v>
      </c>
      <c r="Q169" s="105">
        <f>IF(Body6Actif=TRUE,((((($B169*$P$4)+'Calculs 3D'!$C$11-OffsetX)/Ecran)*'Calculs 3D'!$C$32)+(((($C169*$P$4)+'Calculs 3D'!$D$11-OffsetY)/Ecran)*'Calculs 3D'!$D$32)+(((($D169*$P$4)+'Calculs 3D'!$E$11-OffsetZ)/Ecran)*'Calculs 3D'!$E$32)),0)</f>
        <v>0.12939851700669108</v>
      </c>
      <c r="R169" s="105">
        <f>IF(Body7Actif=TRUE,((((($B169*$R$4)+'Calculs 3D'!$C$12-OffsetX)/Ecran)*'Calculs 3D'!$C$31)+(((($C169*$R$4)+'Calculs 3D'!$D$12-OffsetY)/Ecran)*'Calculs 3D'!$D$31)+(((($D169*$R$4)+'Calculs 3D'!$E$12-OffsetZ)/Ecran)*'Calculs 3D'!$E$31)),0)</f>
        <v>-0.28622158207138187</v>
      </c>
      <c r="S169" s="105">
        <f>IF(Body7Actif=TRUE,((((($B169*$R$4)+'Calculs 3D'!$C$12-OffsetX)/Ecran)*'Calculs 3D'!$C$32)+(((($C169*$R$4)+'Calculs 3D'!$D$12-OffsetY)/Ecran)*'Calculs 3D'!$D$32)+(((($D169*$R$4)+'Calculs 3D'!$E$12-OffsetZ)/Ecran)*'Calculs 3D'!$E$32)),0)</f>
        <v>5.8671656932476432E-2</v>
      </c>
      <c r="T169" s="105">
        <f>IF(Body8Actif=TRUE,((((($B169*$T$4)+'Calculs 3D'!$C$13-OffsetX)/Ecran)*'Calculs 3D'!$C$31)+(((($C169*$T$4)+'Calculs 3D'!$D$13-OffsetY)/Ecran)*'Calculs 3D'!$D$31)+(((($D169*$T$4)+'Calculs 3D'!$E$13-OffsetZ)/Ecran)*'Calculs 3D'!$E$31)),0)</f>
        <v>0.16619323198959507</v>
      </c>
      <c r="U169" s="105">
        <f>IF(Body8Actif=TRUE,((((($B169*$T$4)+'Calculs 3D'!$C$13-OffsetX)/Ecran)*'Calculs 3D'!$C$32)+(((($C169*$T$4)+'Calculs 3D'!$D$13-OffsetY)/Ecran)*'Calculs 3D'!$D$32)+(((($D169*$T$4)+'Calculs 3D'!$E$13-OffsetZ)/Ecran)*'Calculs 3D'!$E$32)),0)</f>
        <v>-0.1318954973182494</v>
      </c>
      <c r="V169" s="105">
        <f>IF(Body9Actif=TRUE,((((($B169*$V$4)+'Calculs 3D'!$C$14-OffsetX)/Ecran)*'Calculs 3D'!$C$31)+(((($C169*$V$4)+'Calculs 3D'!$D$14-OffsetY)/Ecran)*'Calculs 3D'!$D$31)+(((($D169*$V$4)+'Calculs 3D'!$E$14-OffsetZ)/Ecran)*'Calculs 3D'!$E$31)),0)</f>
        <v>-0.18040282187700729</v>
      </c>
      <c r="W169" s="105">
        <f>IF(Body9Actif=TRUE,((((($B169*$V$4)+'Calculs 3D'!$C$14-OffsetX)/Ecran)*'Calculs 3D'!$C$32)+(((($C169*$V$4)+'Calculs 3D'!$D$14-OffsetY)/Ecran)*'Calculs 3D'!$D$32)+(((($D169*$V$4)+'Calculs 3D'!$E$14-OffsetZ)/Ecran)*'Calculs 3D'!$E$32)),0)</f>
        <v>0.28683524056360493</v>
      </c>
      <c r="X169" s="105">
        <f>IF(Body10Actif=TRUE,((((($B169*$X$4)+'Calculs 3D'!$C$15-OffsetX)/Ecran)*'Calculs 3D'!$C$31)+(((($C169*$X$4)+'Calculs 3D'!$D$15-OffsetY)/Ecran)*'Calculs 3D'!$D$31)+(((($D169*$X$4)+'Calculs 3D'!$E$15-OffsetZ)/Ecran)*'Calculs 3D'!$E$31)),0)</f>
        <v>-1.9584281557854633E-2</v>
      </c>
      <c r="Y169" s="105">
        <f>IF(Body10Actif=TRUE,((((($B169*$X$4)+'Calculs 3D'!$C$15-OffsetX)/Ecran)*'Calculs 3D'!$C$32)+(((($C169*$X$4)+'Calculs 3D'!$D$15-OffsetY)/Ecran)*'Calculs 3D'!$D$32)+(((($D169*$X$4)+'Calculs 3D'!$E$15-OffsetZ)/Ecran)*'Calculs 3D'!$E$32)),0)</f>
        <v>0.28976967727712249</v>
      </c>
    </row>
    <row r="170" spans="2:25" x14ac:dyDescent="0.3">
      <c r="B170" s="102">
        <v>-0.65999999999999992</v>
      </c>
      <c r="C170" s="102">
        <v>8.0859798023968916E-17</v>
      </c>
      <c r="D170" s="102">
        <v>-0.75</v>
      </c>
      <c r="F170" s="105">
        <f>IF(Body1Actif=TRUE,((((($B170*$F$4)+'Calculs 3D'!$C$6-OffsetX)/Ecran)*'Calculs 3D'!$C$31)+(((($C170*$F$4)+'Calculs 3D'!$D$6-OffsetY)/Ecran)*'Calculs 3D'!$D$31)+(((($D170*$F$4)+'Calculs 3D'!$E$6-OffsetZ)/Ecran)*'Calculs 3D'!$E$31)),0)</f>
        <v>4.8562522085548135E-2</v>
      </c>
      <c r="G170" s="105">
        <f>IF(Body1Actif=TRUE,((((($B170*$F$4)+'Calculs 3D'!$C$6-OffsetX)/Ecran)*'Calculs 3D'!$C$32)+(((($C170*$F$4)+'Calculs 3D'!$D$6-OffsetY)/Ecran)*'Calculs 3D'!$D$32)+(((($D170*$F$4)+'Calculs 3D'!$E$6-OffsetZ)/Ecran)*'Calculs 3D'!$E$32)),0)</f>
        <v>0.26262607763041174</v>
      </c>
      <c r="H170" s="105">
        <f>IF(Body2Actif=TRUE,((((($B170*$H$4)+'Calculs 3D'!$C$7-OffsetX)/Ecran)*'Calculs 3D'!$C$31)+(((($C170*$H$4)+'Calculs 3D'!$D$7-OffsetY)/Ecran)*'Calculs 3D'!$D$31)+(((($D170*$H$4)+'Calculs 3D'!$E$7-OffsetZ)/Ecran)*'Calculs 3D'!$E$31)),0)</f>
        <v>1.7387519492518232E-2</v>
      </c>
      <c r="I170" s="105">
        <f>IF(Body2Actif=TRUE,((((($B170*$H$4)+'Calculs 3D'!$C$7-OffsetX)/Ecran)*'Calculs 3D'!$C$32)+(((($C170*$H$4)+'Calculs 3D'!$D$7-OffsetY)/Ecran)*'Calculs 3D'!$D$32)+(((($D170*$H$4)+'Calculs 3D'!$E$7-OffsetZ)/Ecran)*'Calculs 3D'!$E$32)),0)</f>
        <v>2.5498358736398601E-2</v>
      </c>
      <c r="J170" s="105">
        <f>IF(Body3Actif=TRUE,((((($B170*$J$4)+'Calculs 3D'!$C$8-OffsetX)/Ecran)*'Calculs 3D'!$C$31)+(((($C170*$J$4)+'Calculs 3D'!$D$8-OffsetY)/Ecran)*'Calculs 3D'!$D$31)+(((($D170*$J$4)+'Calculs 3D'!$E$8-OffsetZ)/Ecran)*'Calculs 3D'!$E$31)),0)</f>
        <v>0.21516657979789336</v>
      </c>
      <c r="K170" s="105">
        <f>IF(Body3Actif=TRUE,((((($B170*$J$4)+'Calculs 3D'!$C$8-OffsetX)/Ecran)*'Calculs 3D'!$C$32)+(((($C170*$J$4)+'Calculs 3D'!$D$8-OffsetY)/Ecran)*'Calculs 3D'!$D$32)+(((($D170*$J$4)+'Calculs 3D'!$E$8-OffsetZ)/Ecran)*'Calculs 3D'!$E$32)),0)</f>
        <v>-8.3010064360652211E-2</v>
      </c>
      <c r="L170" s="105">
        <f>IF(Body4Actif=TRUE,((((($B170*$L$4)+'Calculs 3D'!$C$9-OffsetX)/Ecran)*'Calculs 3D'!$C$31)+(((($C170*$L$4)+'Calculs 3D'!$D$9-OffsetY)/Ecran)*'Calculs 3D'!$D$31)+(((($D170*$L$4)+'Calculs 3D'!$E$9-OffsetZ)/Ecran)*'Calculs 3D'!$E$31)),0)</f>
        <v>-9.9068505262305165E-2</v>
      </c>
      <c r="M170" s="105">
        <f>IF(Body4Actif=TRUE,((((($B170*$L$4)+'Calculs 3D'!$C$9-OffsetX)/Ecran)*'Calculs 3D'!$C$32)+(((($C170*$L$4)+'Calculs 3D'!$D$9-OffsetY)/Ecran)*'Calculs 3D'!$D$32)+(((($D170*$L$4)+'Calculs 3D'!$E$9-OffsetZ)/Ecran)*'Calculs 3D'!$E$32)),0)</f>
        <v>-0.1748961155420404</v>
      </c>
      <c r="N170" s="105">
        <f>IF(Body5Actif=TRUE,((((($B170*$N$4)+'Calculs 3D'!$C$10-OffsetX)/Ecran)*'Calculs 3D'!$C$31)+(((($C170*$N$4)+'Calculs 3D'!$D$10-OffsetY)/Ecran)*'Calculs 3D'!$D$31)+(((($D170*$N$4)+'Calculs 3D'!$E$10-OffsetZ)/Ecran)*'Calculs 3D'!$E$31)),0)</f>
        <v>-4.3299609086050609E-3</v>
      </c>
      <c r="O170" s="105">
        <f>IF(Body5Actif=TRUE,((((($B170*$N$4)+'Calculs 3D'!$C$10-OffsetX)/Ecran)*'Calculs 3D'!$C$32)+(((($C170*$N$4)+'Calculs 3D'!$D$10-OffsetY)/Ecran)*'Calculs 3D'!$D$32)+(((($D170*$N$4)+'Calculs 3D'!$E$10-OffsetZ)/Ecran)*'Calculs 3D'!$E$32)),0)</f>
        <v>-8.3764672738215508E-3</v>
      </c>
      <c r="P170" s="105">
        <f>IF(Body6Actif=TRUE,((((($B170*$P$4)+'Calculs 3D'!$C$11-OffsetX)/Ecran)*'Calculs 3D'!$C$31)+(((($C170*$P$4)+'Calculs 3D'!$D$11-OffsetY)/Ecran)*'Calculs 3D'!$D$31)+(((($D170*$P$4)+'Calculs 3D'!$E$11-OffsetZ)/Ecran)*'Calculs 3D'!$E$31)),0)</f>
        <v>0.16316177527379749</v>
      </c>
      <c r="Q170" s="105">
        <f>IF(Body6Actif=TRUE,((((($B170*$P$4)+'Calculs 3D'!$C$11-OffsetX)/Ecran)*'Calculs 3D'!$C$32)+(((($C170*$P$4)+'Calculs 3D'!$D$11-OffsetY)/Ecran)*'Calculs 3D'!$D$32)+(((($D170*$P$4)+'Calculs 3D'!$E$11-OffsetZ)/Ecran)*'Calculs 3D'!$E$32)),0)</f>
        <v>0.12813331960310978</v>
      </c>
      <c r="R170" s="105">
        <f>IF(Body7Actif=TRUE,((((($B170*$R$4)+'Calculs 3D'!$C$12-OffsetX)/Ecran)*'Calculs 3D'!$C$31)+(((($C170*$R$4)+'Calculs 3D'!$D$12-OffsetY)/Ecran)*'Calculs 3D'!$D$31)+(((($D170*$R$4)+'Calculs 3D'!$E$12-OffsetZ)/Ecran)*'Calculs 3D'!$E$31)),0)</f>
        <v>-0.28828536489689854</v>
      </c>
      <c r="S170" s="105">
        <f>IF(Body7Actif=TRUE,((((($B170*$R$4)+'Calculs 3D'!$C$12-OffsetX)/Ecran)*'Calculs 3D'!$C$32)+(((($C170*$R$4)+'Calculs 3D'!$D$12-OffsetY)/Ecran)*'Calculs 3D'!$D$32)+(((($D170*$R$4)+'Calculs 3D'!$E$12-OffsetZ)/Ecran)*'Calculs 3D'!$E$32)),0)</f>
        <v>5.7401065353367087E-2</v>
      </c>
      <c r="T170" s="105">
        <f>IF(Body8Actif=TRUE,((((($B170*$T$4)+'Calculs 3D'!$C$13-OffsetX)/Ecran)*'Calculs 3D'!$C$31)+(((($C170*$T$4)+'Calculs 3D'!$D$13-OffsetY)/Ecran)*'Calculs 3D'!$D$31)+(((($D170*$T$4)+'Calculs 3D'!$E$13-OffsetZ)/Ecran)*'Calculs 3D'!$E$31)),0)</f>
        <v>0.16544890707486798</v>
      </c>
      <c r="U170" s="105">
        <f>IF(Body8Actif=TRUE,((((($B170*$T$4)+'Calculs 3D'!$C$13-OffsetX)/Ecran)*'Calculs 3D'!$C$32)+(((($C170*$T$4)+'Calculs 3D'!$D$13-OffsetY)/Ecran)*'Calculs 3D'!$D$32)+(((($D170*$T$4)+'Calculs 3D'!$E$13-OffsetZ)/Ecran)*'Calculs 3D'!$E$32)),0)</f>
        <v>-0.13235374949337192</v>
      </c>
      <c r="V170" s="105">
        <f>IF(Body9Actif=TRUE,((((($B170*$V$4)+'Calculs 3D'!$C$14-OffsetX)/Ecran)*'Calculs 3D'!$C$31)+(((($C170*$V$4)+'Calculs 3D'!$D$14-OffsetY)/Ecran)*'Calculs 3D'!$D$31)+(((($D170*$V$4)+'Calculs 3D'!$E$14-OffsetZ)/Ecran)*'Calculs 3D'!$E$31)),0)</f>
        <v>-0.18143558456146691</v>
      </c>
      <c r="W170" s="105">
        <f>IF(Body9Actif=TRUE,((((($B170*$V$4)+'Calculs 3D'!$C$14-OffsetX)/Ecran)*'Calculs 3D'!$C$32)+(((($C170*$V$4)+'Calculs 3D'!$D$14-OffsetY)/Ecran)*'Calculs 3D'!$D$32)+(((($D170*$V$4)+'Calculs 3D'!$E$14-OffsetZ)/Ecran)*'Calculs 3D'!$E$32)),0)</f>
        <v>0.28619940836562924</v>
      </c>
      <c r="X170" s="105">
        <f>IF(Body10Actif=TRUE,((((($B170*$X$4)+'Calculs 3D'!$C$15-OffsetX)/Ecran)*'Calculs 3D'!$C$31)+(((($C170*$X$4)+'Calculs 3D'!$D$15-OffsetY)/Ecran)*'Calculs 3D'!$D$31)+(((($D170*$X$4)+'Calculs 3D'!$E$15-OffsetZ)/Ecran)*'Calculs 3D'!$E$31)),0)</f>
        <v>-2.1143189422348913E-2</v>
      </c>
      <c r="Y170" s="105">
        <f>IF(Body10Actif=TRUE,((((($B170*$X$4)+'Calculs 3D'!$C$15-OffsetX)/Ecran)*'Calculs 3D'!$C$32)+(((($C170*$X$4)+'Calculs 3D'!$D$15-OffsetY)/Ecran)*'Calculs 3D'!$D$32)+(((($D170*$X$4)+'Calculs 3D'!$E$15-OffsetZ)/Ecran)*'Calculs 3D'!$E$32)),0)</f>
        <v>0.28880991776137116</v>
      </c>
    </row>
    <row r="171" spans="2:25" x14ac:dyDescent="0.3">
      <c r="B171" s="102">
        <v>-0.62769730075480124</v>
      </c>
      <c r="C171" s="102">
        <v>-0.20395121628746549</v>
      </c>
      <c r="D171" s="102">
        <v>-0.75</v>
      </c>
      <c r="F171" s="105">
        <f>IF(Body1Actif=TRUE,((((($B171*$F$4)+'Calculs 3D'!$C$6-OffsetX)/Ecran)*'Calculs 3D'!$C$31)+(((($C171*$F$4)+'Calculs 3D'!$D$6-OffsetY)/Ecran)*'Calculs 3D'!$D$31)+(((($D171*$F$4)+'Calculs 3D'!$E$6-OffsetZ)/Ecran)*'Calculs 3D'!$E$31)),0)</f>
        <v>4.8208457272268176E-2</v>
      </c>
      <c r="G171" s="105">
        <f>IF(Body1Actif=TRUE,((((($B171*$F$4)+'Calculs 3D'!$C$6-OffsetX)/Ecran)*'Calculs 3D'!$C$32)+(((($C171*$F$4)+'Calculs 3D'!$D$6-OffsetY)/Ecran)*'Calculs 3D'!$D$32)+(((($D171*$F$4)+'Calculs 3D'!$E$6-OffsetZ)/Ecran)*'Calculs 3D'!$E$32)),0)</f>
        <v>0.26219825981381173</v>
      </c>
      <c r="H171" s="105">
        <f>IF(Body2Actif=TRUE,((((($B171*$H$4)+'Calculs 3D'!$C$7-OffsetX)/Ecran)*'Calculs 3D'!$C$31)+(((($C171*$H$4)+'Calculs 3D'!$D$7-OffsetY)/Ecran)*'Calculs 3D'!$D$31)+(((($D171*$H$4)+'Calculs 3D'!$E$7-OffsetZ)/Ecran)*'Calculs 3D'!$E$31)),0)</f>
        <v>1.600741859801634E-2</v>
      </c>
      <c r="I171" s="105">
        <f>IF(Body2Actif=TRUE,((((($B171*$H$4)+'Calculs 3D'!$C$7-OffsetX)/Ecran)*'Calculs 3D'!$C$32)+(((($C171*$H$4)+'Calculs 3D'!$D$7-OffsetY)/Ecran)*'Calculs 3D'!$D$32)+(((($D171*$H$4)+'Calculs 3D'!$E$7-OffsetZ)/Ecran)*'Calculs 3D'!$E$32)),0)</f>
        <v>2.3830777747754415E-2</v>
      </c>
      <c r="J171" s="105">
        <f>IF(Body3Actif=TRUE,((((($B171*$J$4)+'Calculs 3D'!$C$8-OffsetX)/Ecran)*'Calculs 3D'!$C$31)+(((($C171*$J$4)+'Calculs 3D'!$D$8-OffsetY)/Ecran)*'Calculs 3D'!$D$31)+(((($D171*$J$4)+'Calculs 3D'!$E$8-OffsetZ)/Ecran)*'Calculs 3D'!$E$31)),0)</f>
        <v>0.21455323230332143</v>
      </c>
      <c r="K171" s="105">
        <f>IF(Body3Actif=TRUE,((((($B171*$J$4)+'Calculs 3D'!$C$8-OffsetX)/Ecran)*'Calculs 3D'!$C$32)+(((($C171*$J$4)+'Calculs 3D'!$D$8-OffsetY)/Ecran)*'Calculs 3D'!$D$32)+(((($D171*$J$4)+'Calculs 3D'!$E$8-OffsetZ)/Ecran)*'Calculs 3D'!$E$32)),0)</f>
        <v>-8.3751174395038389E-2</v>
      </c>
      <c r="L171" s="105">
        <f>IF(Body4Actif=TRUE,((((($B171*$L$4)+'Calculs 3D'!$C$9-OffsetX)/Ecran)*'Calculs 3D'!$C$31)+(((($C171*$L$4)+'Calculs 3D'!$D$9-OffsetY)/Ecran)*'Calculs 3D'!$D$31)+(((($D171*$L$4)+'Calculs 3D'!$E$9-OffsetZ)/Ecran)*'Calculs 3D'!$E$31)),0)</f>
        <v>-9.9866036465930286E-2</v>
      </c>
      <c r="M171" s="105">
        <f>IF(Body4Actif=TRUE,((((($B171*$L$4)+'Calculs 3D'!$C$9-OffsetX)/Ecran)*'Calculs 3D'!$C$32)+(((($C171*$L$4)+'Calculs 3D'!$D$9-OffsetY)/Ecran)*'Calculs 3D'!$D$32)+(((($D171*$L$4)+'Calculs 3D'!$E$9-OffsetZ)/Ecran)*'Calculs 3D'!$E$32)),0)</f>
        <v>-0.17585977542974432</v>
      </c>
      <c r="N171" s="105">
        <f>IF(Body5Actif=TRUE,((((($B171*$N$4)+'Calculs 3D'!$C$10-OffsetX)/Ecran)*'Calculs 3D'!$C$31)+(((($C171*$N$4)+'Calculs 3D'!$D$10-OffsetY)/Ecran)*'Calculs 3D'!$D$31)+(((($D171*$N$4)+'Calculs 3D'!$E$10-OffsetZ)/Ecran)*'Calculs 3D'!$E$31)),0)</f>
        <v>-5.2404159930535491E-3</v>
      </c>
      <c r="O171" s="105">
        <f>IF(Body5Actif=TRUE,((((($B171*$N$4)+'Calculs 3D'!$C$10-OffsetX)/Ecran)*'Calculs 3D'!$C$32)+(((($C171*$N$4)+'Calculs 3D'!$D$10-OffsetY)/Ecran)*'Calculs 3D'!$D$32)+(((($D171*$N$4)+'Calculs 3D'!$E$10-OffsetZ)/Ecran)*'Calculs 3D'!$E$32)),0)</f>
        <v>-9.4765735022061901E-3</v>
      </c>
      <c r="P171" s="105">
        <f>IF(Body6Actif=TRUE,((((($B171*$P$4)+'Calculs 3D'!$C$11-OffsetX)/Ecran)*'Calculs 3D'!$C$31)+(((($C171*$P$4)+'Calculs 3D'!$D$11-OffsetY)/Ecran)*'Calculs 3D'!$D$31)+(((($D171*$P$4)+'Calculs 3D'!$E$11-OffsetZ)/Ecran)*'Calculs 3D'!$E$31)),0)</f>
        <v>0.16184237042440303</v>
      </c>
      <c r="Q171" s="105">
        <f>IF(Body6Actif=TRUE,((((($B171*$P$4)+'Calculs 3D'!$C$11-OffsetX)/Ecran)*'Calculs 3D'!$C$32)+(((($C171*$P$4)+'Calculs 3D'!$D$11-OffsetY)/Ecran)*'Calculs 3D'!$D$32)+(((($D171*$P$4)+'Calculs 3D'!$E$11-OffsetZ)/Ecran)*'Calculs 3D'!$E$32)),0)</f>
        <v>0.12653907786908838</v>
      </c>
      <c r="R171" s="105">
        <f>IF(Body7Actif=TRUE,((((($B171*$R$4)+'Calculs 3D'!$C$12-OffsetX)/Ecran)*'Calculs 3D'!$C$31)+(((($C171*$R$4)+'Calculs 3D'!$D$12-OffsetY)/Ecran)*'Calculs 3D'!$D$31)+(((($D171*$R$4)+'Calculs 3D'!$E$12-OffsetZ)/Ecran)*'Calculs 3D'!$E$31)),0)</f>
        <v>-0.28961039503554037</v>
      </c>
      <c r="S171" s="105">
        <f>IF(Body7Actif=TRUE,((((($B171*$R$4)+'Calculs 3D'!$C$12-OffsetX)/Ecran)*'Calculs 3D'!$C$32)+(((($C171*$R$4)+'Calculs 3D'!$D$12-OffsetY)/Ecran)*'Calculs 3D'!$D$32)+(((($D171*$R$4)+'Calculs 3D'!$E$12-OffsetZ)/Ecran)*'Calculs 3D'!$E$32)),0)</f>
        <v>5.5800026561650909E-2</v>
      </c>
      <c r="T171" s="105">
        <f>IF(Body8Actif=TRUE,((((($B171*$T$4)+'Calculs 3D'!$C$13-OffsetX)/Ecran)*'Calculs 3D'!$C$31)+(((($C171*$T$4)+'Calculs 3D'!$D$13-OffsetY)/Ecran)*'Calculs 3D'!$D$31)+(((($D171*$T$4)+'Calculs 3D'!$E$13-OffsetZ)/Ecran)*'Calculs 3D'!$E$31)),0)</f>
        <v>0.16497102106246334</v>
      </c>
      <c r="U171" s="105">
        <f>IF(Body8Actif=TRUE,((((($B171*$T$4)+'Calculs 3D'!$C$13-OffsetX)/Ecran)*'Calculs 3D'!$C$32)+(((($C171*$T$4)+'Calculs 3D'!$D$13-OffsetY)/Ecran)*'Calculs 3D'!$D$32)+(((($D171*$T$4)+'Calculs 3D'!$E$13-OffsetZ)/Ecran)*'Calculs 3D'!$E$32)),0)</f>
        <v>-0.13293118092045078</v>
      </c>
      <c r="V171" s="105">
        <f>IF(Body9Actif=TRUE,((((($B171*$V$4)+'Calculs 3D'!$C$14-OffsetX)/Ecran)*'Calculs 3D'!$C$31)+(((($C171*$V$4)+'Calculs 3D'!$D$14-OffsetY)/Ecran)*'Calculs 3D'!$D$31)+(((($D171*$V$4)+'Calculs 3D'!$E$14-OffsetZ)/Ecran)*'Calculs 3D'!$E$31)),0)</f>
        <v>-0.1820986590216544</v>
      </c>
      <c r="W171" s="105">
        <f>IF(Body9Actif=TRUE,((((($B171*$V$4)+'Calculs 3D'!$C$14-OffsetX)/Ecran)*'Calculs 3D'!$C$32)+(((($C171*$V$4)+'Calculs 3D'!$D$14-OffsetY)/Ecran)*'Calculs 3D'!$D$32)+(((($D171*$V$4)+'Calculs 3D'!$E$14-OffsetZ)/Ecran)*'Calculs 3D'!$E$32)),0)</f>
        <v>0.28539821305572888</v>
      </c>
      <c r="X171" s="105">
        <f>IF(Body10Actif=TRUE,((((($B171*$X$4)+'Calculs 3D'!$C$15-OffsetX)/Ecran)*'Calculs 3D'!$C$31)+(((($C171*$X$4)+'Calculs 3D'!$D$15-OffsetY)/Ecran)*'Calculs 3D'!$D$31)+(((($D171*$X$4)+'Calculs 3D'!$E$15-OffsetZ)/Ecran)*'Calculs 3D'!$E$31)),0)</f>
        <v>-2.21440698823865E-2</v>
      </c>
      <c r="Y171" s="105">
        <f>IF(Body10Actif=TRUE,((((($B171*$X$4)+'Calculs 3D'!$C$15-OffsetX)/Ecran)*'Calculs 3D'!$C$32)+(((($C171*$X$4)+'Calculs 3D'!$D$15-OffsetY)/Ecran)*'Calculs 3D'!$D$32)+(((($D171*$X$4)+'Calculs 3D'!$E$15-OffsetZ)/Ecran)*'Calculs 3D'!$E$32)),0)</f>
        <v>0.28760055021895931</v>
      </c>
    </row>
    <row r="172" spans="2:25" x14ac:dyDescent="0.3">
      <c r="B172" s="102">
        <v>-0.53395121628746534</v>
      </c>
      <c r="C172" s="102">
        <v>-0.38793826651303215</v>
      </c>
      <c r="D172" s="102">
        <v>-0.75</v>
      </c>
      <c r="F172" s="105">
        <f>IF(Body1Actif=TRUE,((((($B172*$F$4)+'Calculs 3D'!$C$6-OffsetX)/Ecran)*'Calculs 3D'!$C$31)+(((($C172*$F$4)+'Calculs 3D'!$D$6-OffsetY)/Ecran)*'Calculs 3D'!$D$31)+(((($D172*$F$4)+'Calculs 3D'!$E$6-OffsetZ)/Ecran)*'Calculs 3D'!$E$31)),0)</f>
        <v>4.8086454852202538E-2</v>
      </c>
      <c r="G172" s="105">
        <f>IF(Body1Actif=TRUE,((((($B172*$F$4)+'Calculs 3D'!$C$6-OffsetX)/Ecran)*'Calculs 3D'!$C$32)+(((($C172*$F$4)+'Calculs 3D'!$D$6-OffsetY)/Ecran)*'Calculs 3D'!$D$32)+(((($D172*$F$4)+'Calculs 3D'!$E$6-OffsetZ)/Ecran)*'Calculs 3D'!$E$32)),0)</f>
        <v>0.26172402011086493</v>
      </c>
      <c r="H172" s="105">
        <f>IF(Body2Actif=TRUE,((((($B172*$H$4)+'Calculs 3D'!$C$7-OffsetX)/Ecran)*'Calculs 3D'!$C$31)+(((($C172*$H$4)+'Calculs 3D'!$D$7-OffsetY)/Ecran)*'Calculs 3D'!$D$31)+(((($D172*$H$4)+'Calculs 3D'!$E$7-OffsetZ)/Ecran)*'Calculs 3D'!$E$31)),0)</f>
        <v>1.553186823901807E-2</v>
      </c>
      <c r="I172" s="105">
        <f>IF(Body2Actif=TRUE,((((($B172*$H$4)+'Calculs 3D'!$C$7-OffsetX)/Ecran)*'Calculs 3D'!$C$32)+(((($C172*$H$4)+'Calculs 3D'!$D$7-OffsetY)/Ecran)*'Calculs 3D'!$D$32)+(((($D172*$H$4)+'Calculs 3D'!$E$7-OffsetZ)/Ecran)*'Calculs 3D'!$E$32)),0)</f>
        <v>2.1982249981942269E-2</v>
      </c>
      <c r="J172" s="105">
        <f>IF(Body3Actif=TRUE,((((($B172*$J$4)+'Calculs 3D'!$C$8-OffsetX)/Ecran)*'Calculs 3D'!$C$31)+(((($C172*$J$4)+'Calculs 3D'!$D$8-OffsetY)/Ecran)*'Calculs 3D'!$D$31)+(((($D172*$J$4)+'Calculs 3D'!$E$8-OffsetZ)/Ecran)*'Calculs 3D'!$E$31)),0)</f>
        <v>0.21434188716008126</v>
      </c>
      <c r="K172" s="105">
        <f>IF(Body3Actif=TRUE,((((($B172*$J$4)+'Calculs 3D'!$C$8-OffsetX)/Ecran)*'Calculs 3D'!$C$32)+(((($C172*$J$4)+'Calculs 3D'!$D$8-OffsetY)/Ecran)*'Calculs 3D'!$D$32)+(((($D172*$J$4)+'Calculs 3D'!$E$8-OffsetZ)/Ecran)*'Calculs 3D'!$E$32)),0)</f>
        <v>-8.4572701196683364E-2</v>
      </c>
      <c r="L172" s="105">
        <f>IF(Body4Actif=TRUE,((((($B172*$L$4)+'Calculs 3D'!$C$9-OffsetX)/Ecran)*'Calculs 3D'!$C$31)+(((($C172*$L$4)+'Calculs 3D'!$D$9-OffsetY)/Ecran)*'Calculs 3D'!$D$31)+(((($D172*$L$4)+'Calculs 3D'!$E$9-OffsetZ)/Ecran)*'Calculs 3D'!$E$31)),0)</f>
        <v>-0.10014084699007908</v>
      </c>
      <c r="M172" s="105">
        <f>IF(Body4Actif=TRUE,((((($B172*$L$4)+'Calculs 3D'!$C$9-OffsetX)/Ecran)*'Calculs 3D'!$C$32)+(((($C172*$L$4)+'Calculs 3D'!$D$9-OffsetY)/Ecran)*'Calculs 3D'!$D$32)+(((($D172*$L$4)+'Calculs 3D'!$E$9-OffsetZ)/Ecran)*'Calculs 3D'!$E$32)),0)</f>
        <v>-0.17692800064420208</v>
      </c>
      <c r="N172" s="105">
        <f>IF(Body5Actif=TRUE,((((($B172*$N$4)+'Calculs 3D'!$C$10-OffsetX)/Ecran)*'Calculs 3D'!$C$31)+(((($C172*$N$4)+'Calculs 3D'!$D$10-OffsetY)/Ecran)*'Calculs 3D'!$D$31)+(((($D172*$N$4)+'Calculs 3D'!$E$10-OffsetZ)/Ecran)*'Calculs 3D'!$E$31)),0)</f>
        <v>-5.554137434714921E-3</v>
      </c>
      <c r="O172" s="105">
        <f>IF(Body5Actif=TRUE,((((($B172*$N$4)+'Calculs 3D'!$C$10-OffsetX)/Ecran)*'Calculs 3D'!$C$32)+(((($C172*$N$4)+'Calculs 3D'!$D$10-OffsetY)/Ecran)*'Calculs 3D'!$D$32)+(((($D172*$N$4)+'Calculs 3D'!$E$10-OffsetZ)/Ecran)*'Calculs 3D'!$E$32)),0)</f>
        <v>-1.0696050650458682E-2</v>
      </c>
      <c r="P172" s="105">
        <f>IF(Body6Actif=TRUE,((((($B172*$P$4)+'Calculs 3D'!$C$11-OffsetX)/Ecran)*'Calculs 3D'!$C$31)+(((($C172*$P$4)+'Calculs 3D'!$D$11-OffsetY)/Ecran)*'Calculs 3D'!$D$31)+(((($D172*$P$4)+'Calculs 3D'!$E$11-OffsetZ)/Ecran)*'Calculs 3D'!$E$31)),0)</f>
        <v>0.1613877344972087</v>
      </c>
      <c r="Q172" s="105">
        <f>IF(Body6Actif=TRUE,((((($B172*$P$4)+'Calculs 3D'!$C$11-OffsetX)/Ecran)*'Calculs 3D'!$C$32)+(((($C172*$P$4)+'Calculs 3D'!$D$11-OffsetY)/Ecran)*'Calculs 3D'!$D$32)+(((($D172*$P$4)+'Calculs 3D'!$E$11-OffsetZ)/Ecran)*'Calculs 3D'!$E$32)),0)</f>
        <v>0.12477184729328825</v>
      </c>
      <c r="R172" s="105">
        <f>IF(Body7Actif=TRUE,((((($B172*$R$4)+'Calculs 3D'!$C$12-OffsetX)/Ecran)*'Calculs 3D'!$C$31)+(((($C172*$R$4)+'Calculs 3D'!$D$12-OffsetY)/Ecran)*'Calculs 3D'!$D$31)+(((($D172*$R$4)+'Calculs 3D'!$E$12-OffsetZ)/Ecran)*'Calculs 3D'!$E$31)),0)</f>
        <v>-0.29006696930530929</v>
      </c>
      <c r="S172" s="105">
        <f>IF(Body7Actif=TRUE,((((($B172*$R$4)+'Calculs 3D'!$C$12-OffsetX)/Ecran)*'Calculs 3D'!$C$32)+(((($C172*$R$4)+'Calculs 3D'!$D$12-OffsetY)/Ecran)*'Calculs 3D'!$D$32)+(((($D172*$R$4)+'Calculs 3D'!$E$12-OffsetZ)/Ecran)*'Calculs 3D'!$E$32)),0)</f>
        <v>5.402526138935429E-2</v>
      </c>
      <c r="T172" s="105">
        <f>IF(Body8Actif=TRUE,((((($B172*$T$4)+'Calculs 3D'!$C$13-OffsetX)/Ecran)*'Calculs 3D'!$C$31)+(((($C172*$T$4)+'Calculs 3D'!$D$13-OffsetY)/Ecran)*'Calculs 3D'!$D$31)+(((($D172*$T$4)+'Calculs 3D'!$E$13-OffsetZ)/Ecran)*'Calculs 3D'!$E$31)),0)</f>
        <v>0.16480635276490288</v>
      </c>
      <c r="U172" s="105">
        <f>IF(Body8Actif=TRUE,((((($B172*$T$4)+'Calculs 3D'!$C$13-OffsetX)/Ecran)*'Calculs 3D'!$C$32)+(((($C172*$T$4)+'Calculs 3D'!$D$13-OffsetY)/Ecran)*'Calculs 3D'!$D$32)+(((($D172*$T$4)+'Calculs 3D'!$E$13-OffsetZ)/Ecran)*'Calculs 3D'!$E$32)),0)</f>
        <v>-0.13357126858820212</v>
      </c>
      <c r="V172" s="105">
        <f>IF(Body9Actif=TRUE,((((($B172*$V$4)+'Calculs 3D'!$C$14-OffsetX)/Ecran)*'Calculs 3D'!$C$31)+(((($C172*$V$4)+'Calculs 3D'!$D$14-OffsetY)/Ecran)*'Calculs 3D'!$D$31)+(((($D172*$V$4)+'Calculs 3D'!$E$14-OffsetZ)/Ecran)*'Calculs 3D'!$E$31)),0)</f>
        <v>-0.18232713890949517</v>
      </c>
      <c r="W172" s="105">
        <f>IF(Body9Actif=TRUE,((((($B172*$V$4)+'Calculs 3D'!$C$14-OffsetX)/Ecran)*'Calculs 3D'!$C$32)+(((($C172*$V$4)+'Calculs 3D'!$D$14-OffsetY)/Ecran)*'Calculs 3D'!$D$32)+(((($D172*$V$4)+'Calculs 3D'!$E$14-OffsetZ)/Ecran)*'Calculs 3D'!$E$32)),0)</f>
        <v>0.28451008121309296</v>
      </c>
      <c r="X172" s="105">
        <f>IF(Body10Actif=TRUE,((((($B172*$X$4)+'Calculs 3D'!$C$15-OffsetX)/Ecran)*'Calculs 3D'!$C$31)+(((($C172*$X$4)+'Calculs 3D'!$D$15-OffsetY)/Ecran)*'Calculs 3D'!$D$31)+(((($D172*$X$4)+'Calculs 3D'!$E$15-OffsetZ)/Ecran)*'Calculs 3D'!$E$31)),0)</f>
        <v>-2.2488949784994633E-2</v>
      </c>
      <c r="Y172" s="105">
        <f>IF(Body10Actif=TRUE,((((($B172*$X$4)+'Calculs 3D'!$C$15-OffsetX)/Ecran)*'Calculs 3D'!$C$32)+(((($C172*$X$4)+'Calculs 3D'!$D$15-OffsetY)/Ecran)*'Calculs 3D'!$D$32)+(((($D172*$X$4)+'Calculs 3D'!$E$15-OffsetZ)/Ecran)*'Calculs 3D'!$E$32)),0)</f>
        <v>0.28625995597109744</v>
      </c>
    </row>
    <row r="173" spans="2:25" x14ac:dyDescent="0.3">
      <c r="B173" s="102">
        <v>-0.38793826651303231</v>
      </c>
      <c r="C173" s="102">
        <v>-0.53395121628746522</v>
      </c>
      <c r="D173" s="102">
        <v>-0.75</v>
      </c>
      <c r="F173" s="105">
        <f>IF(Body1Actif=TRUE,((((($B173*$F$4)+'Calculs 3D'!$C$6-OffsetX)/Ecran)*'Calculs 3D'!$C$31)+(((($C173*$F$4)+'Calculs 3D'!$D$6-OffsetY)/Ecran)*'Calculs 3D'!$D$31)+(((($D173*$F$4)+'Calculs 3D'!$E$6-OffsetZ)/Ecran)*'Calculs 3D'!$E$31)),0)</f>
        <v>4.8208457272268163E-2</v>
      </c>
      <c r="G173" s="105">
        <f>IF(Body1Actif=TRUE,((((($B173*$F$4)+'Calculs 3D'!$C$6-OffsetX)/Ecran)*'Calculs 3D'!$C$32)+(((($C173*$F$4)+'Calculs 3D'!$D$6-OffsetY)/Ecran)*'Calculs 3D'!$D$32)+(((($D173*$F$4)+'Calculs 3D'!$E$6-OffsetZ)/Ecran)*'Calculs 3D'!$E$32)),0)</f>
        <v>0.26124978040791824</v>
      </c>
      <c r="H173" s="105">
        <f>IF(Body2Actif=TRUE,((((($B173*$H$4)+'Calculs 3D'!$C$7-OffsetX)/Ecran)*'Calculs 3D'!$C$31)+(((($C173*$H$4)+'Calculs 3D'!$D$7-OffsetY)/Ecran)*'Calculs 3D'!$D$31)+(((($D173*$H$4)+'Calculs 3D'!$E$7-OffsetZ)/Ecran)*'Calculs 3D'!$E$31)),0)</f>
        <v>1.600741859801634E-2</v>
      </c>
      <c r="I173" s="105">
        <f>IF(Body2Actif=TRUE,((((($B173*$H$4)+'Calculs 3D'!$C$7-OffsetX)/Ecran)*'Calculs 3D'!$C$32)+(((($C173*$H$4)+'Calculs 3D'!$D$7-OffsetY)/Ecran)*'Calculs 3D'!$D$32)+(((($D173*$H$4)+'Calculs 3D'!$E$7-OffsetZ)/Ecran)*'Calculs 3D'!$E$32)),0)</f>
        <v>2.013372221613012E-2</v>
      </c>
      <c r="J173" s="105">
        <f>IF(Body3Actif=TRUE,((((($B173*$J$4)+'Calculs 3D'!$C$8-OffsetX)/Ecran)*'Calculs 3D'!$C$31)+(((($C173*$J$4)+'Calculs 3D'!$D$8-OffsetY)/Ecran)*'Calculs 3D'!$D$31)+(((($D173*$J$4)+'Calculs 3D'!$E$8-OffsetZ)/Ecran)*'Calculs 3D'!$E$31)),0)</f>
        <v>0.21455323230332143</v>
      </c>
      <c r="K173" s="105">
        <f>IF(Body3Actif=TRUE,((((($B173*$J$4)+'Calculs 3D'!$C$8-OffsetX)/Ecran)*'Calculs 3D'!$C$32)+(((($C173*$J$4)+'Calculs 3D'!$D$8-OffsetY)/Ecran)*'Calculs 3D'!$D$32)+(((($D173*$J$4)+'Calculs 3D'!$E$8-OffsetZ)/Ecran)*'Calculs 3D'!$E$32)),0)</f>
        <v>-8.5394227998328354E-2</v>
      </c>
      <c r="L173" s="105">
        <f>IF(Body4Actif=TRUE,((((($B173*$L$4)+'Calculs 3D'!$C$9-OffsetX)/Ecran)*'Calculs 3D'!$C$31)+(((($C173*$L$4)+'Calculs 3D'!$D$9-OffsetY)/Ecran)*'Calculs 3D'!$D$31)+(((($D173*$L$4)+'Calculs 3D'!$E$9-OffsetZ)/Ecran)*'Calculs 3D'!$E$31)),0)</f>
        <v>-9.98660364659303E-2</v>
      </c>
      <c r="M173" s="105">
        <f>IF(Body4Actif=TRUE,((((($B173*$L$4)+'Calculs 3D'!$C$9-OffsetX)/Ecran)*'Calculs 3D'!$C$32)+(((($C173*$L$4)+'Calculs 3D'!$D$9-OffsetY)/Ecran)*'Calculs 3D'!$D$32)+(((($D173*$L$4)+'Calculs 3D'!$E$9-OffsetZ)/Ecran)*'Calculs 3D'!$E$32)),0)</f>
        <v>-0.17799622585865985</v>
      </c>
      <c r="N173" s="105">
        <f>IF(Body5Actif=TRUE,((((($B173*$N$4)+'Calculs 3D'!$C$10-OffsetX)/Ecran)*'Calculs 3D'!$C$31)+(((($C173*$N$4)+'Calculs 3D'!$D$10-OffsetY)/Ecran)*'Calculs 3D'!$D$31)+(((($D173*$N$4)+'Calculs 3D'!$E$10-OffsetZ)/Ecran)*'Calculs 3D'!$E$31)),0)</f>
        <v>-5.2404159930535474E-3</v>
      </c>
      <c r="O173" s="105">
        <f>IF(Body5Actif=TRUE,((((($B173*$N$4)+'Calculs 3D'!$C$10-OffsetX)/Ecran)*'Calculs 3D'!$C$32)+(((($C173*$N$4)+'Calculs 3D'!$D$10-OffsetY)/Ecran)*'Calculs 3D'!$D$32)+(((($D173*$N$4)+'Calculs 3D'!$E$10-OffsetZ)/Ecran)*'Calculs 3D'!$E$32)),0)</f>
        <v>-1.1915527798711176E-2</v>
      </c>
      <c r="P173" s="105">
        <f>IF(Body6Actif=TRUE,((((($B173*$P$4)+'Calculs 3D'!$C$11-OffsetX)/Ecran)*'Calculs 3D'!$C$31)+(((($C173*$P$4)+'Calculs 3D'!$D$11-OffsetY)/Ecran)*'Calculs 3D'!$D$31)+(((($D173*$P$4)+'Calculs 3D'!$E$11-OffsetZ)/Ecran)*'Calculs 3D'!$E$31)),0)</f>
        <v>0.16184237042440303</v>
      </c>
      <c r="Q173" s="105">
        <f>IF(Body6Actif=TRUE,((((($B173*$P$4)+'Calculs 3D'!$C$11-OffsetX)/Ecran)*'Calculs 3D'!$C$32)+(((($C173*$P$4)+'Calculs 3D'!$D$11-OffsetY)/Ecran)*'Calculs 3D'!$D$32)+(((($D173*$P$4)+'Calculs 3D'!$E$11-OffsetZ)/Ecran)*'Calculs 3D'!$E$32)),0)</f>
        <v>0.12300461671748811</v>
      </c>
      <c r="R173" s="105">
        <f>IF(Body7Actif=TRUE,((((($B173*$R$4)+'Calculs 3D'!$C$12-OffsetX)/Ecran)*'Calculs 3D'!$C$31)+(((($C173*$R$4)+'Calculs 3D'!$D$12-OffsetY)/Ecran)*'Calculs 3D'!$D$31)+(((($D173*$R$4)+'Calculs 3D'!$E$12-OffsetZ)/Ecran)*'Calculs 3D'!$E$31)),0)</f>
        <v>-0.28961039503554042</v>
      </c>
      <c r="S173" s="105">
        <f>IF(Body7Actif=TRUE,((((($B173*$R$4)+'Calculs 3D'!$C$12-OffsetX)/Ecran)*'Calculs 3D'!$C$32)+(((($C173*$R$4)+'Calculs 3D'!$D$12-OffsetY)/Ecran)*'Calculs 3D'!$D$32)+(((($D173*$R$4)+'Calculs 3D'!$E$12-OffsetZ)/Ecran)*'Calculs 3D'!$E$32)),0)</f>
        <v>5.2250496217057657E-2</v>
      </c>
      <c r="T173" s="105">
        <f>IF(Body8Actif=TRUE,((((($B173*$T$4)+'Calculs 3D'!$C$13-OffsetX)/Ecran)*'Calculs 3D'!$C$31)+(((($C173*$T$4)+'Calculs 3D'!$D$13-OffsetY)/Ecran)*'Calculs 3D'!$D$31)+(((($D173*$T$4)+'Calculs 3D'!$E$13-OffsetZ)/Ecran)*'Calculs 3D'!$E$31)),0)</f>
        <v>0.16497102106246331</v>
      </c>
      <c r="U173" s="105">
        <f>IF(Body8Actif=TRUE,((((($B173*$T$4)+'Calculs 3D'!$C$13-OffsetX)/Ecran)*'Calculs 3D'!$C$32)+(((($C173*$T$4)+'Calculs 3D'!$D$13-OffsetY)/Ecran)*'Calculs 3D'!$D$32)+(((($D173*$T$4)+'Calculs 3D'!$E$13-OffsetZ)/Ecran)*'Calculs 3D'!$E$32)),0)</f>
        <v>-0.13421135625595348</v>
      </c>
      <c r="V173" s="105">
        <f>IF(Body9Actif=TRUE,((((($B173*$V$4)+'Calculs 3D'!$C$14-OffsetX)/Ecran)*'Calculs 3D'!$C$31)+(((($C173*$V$4)+'Calculs 3D'!$D$14-OffsetY)/Ecran)*'Calculs 3D'!$D$31)+(((($D173*$V$4)+'Calculs 3D'!$E$14-OffsetZ)/Ecran)*'Calculs 3D'!$E$31)),0)</f>
        <v>-0.18209865902165437</v>
      </c>
      <c r="W173" s="105">
        <f>IF(Body9Actif=TRUE,((((($B173*$V$4)+'Calculs 3D'!$C$14-OffsetX)/Ecran)*'Calculs 3D'!$C$32)+(((($C173*$V$4)+'Calculs 3D'!$D$14-OffsetY)/Ecran)*'Calculs 3D'!$D$32)+(((($D173*$V$4)+'Calculs 3D'!$E$14-OffsetZ)/Ecran)*'Calculs 3D'!$E$32)),0)</f>
        <v>0.28362194937045704</v>
      </c>
      <c r="X173" s="105">
        <f>IF(Body10Actif=TRUE,((((($B173*$X$4)+'Calculs 3D'!$C$15-OffsetX)/Ecran)*'Calculs 3D'!$C$31)+(((($C173*$X$4)+'Calculs 3D'!$D$15-OffsetY)/Ecran)*'Calculs 3D'!$D$31)+(((($D173*$X$4)+'Calculs 3D'!$E$15-OffsetZ)/Ecran)*'Calculs 3D'!$E$31)),0)</f>
        <v>-2.2144069882386458E-2</v>
      </c>
      <c r="Y173" s="105">
        <f>IF(Body10Actif=TRUE,((((($B173*$X$4)+'Calculs 3D'!$C$15-OffsetX)/Ecran)*'Calculs 3D'!$C$32)+(((($C173*$X$4)+'Calculs 3D'!$D$15-OffsetY)/Ecran)*'Calculs 3D'!$D$32)+(((($D173*$X$4)+'Calculs 3D'!$E$15-OffsetZ)/Ecran)*'Calculs 3D'!$E$32)),0)</f>
        <v>0.28491936172323556</v>
      </c>
    </row>
    <row r="174" spans="2:25" x14ac:dyDescent="0.3">
      <c r="B174" s="102">
        <v>-0.20395121628746538</v>
      </c>
      <c r="C174" s="102">
        <v>-0.62769730075480124</v>
      </c>
      <c r="D174" s="102">
        <v>-0.75</v>
      </c>
      <c r="F174" s="105">
        <f>IF(Body1Actif=TRUE,((((($B174*$F$4)+'Calculs 3D'!$C$6-OffsetX)/Ecran)*'Calculs 3D'!$C$31)+(((($C174*$F$4)+'Calculs 3D'!$D$6-OffsetY)/Ecran)*'Calculs 3D'!$D$31)+(((($D174*$F$4)+'Calculs 3D'!$E$6-OffsetZ)/Ecran)*'Calculs 3D'!$E$31)),0)</f>
        <v>4.8562522085548128E-2</v>
      </c>
      <c r="G174" s="105">
        <f>IF(Body1Actif=TRUE,((((($B174*$F$4)+'Calculs 3D'!$C$6-OffsetX)/Ecran)*'Calculs 3D'!$C$32)+(((($C174*$F$4)+'Calculs 3D'!$D$6-OffsetY)/Ecran)*'Calculs 3D'!$D$32)+(((($D174*$F$4)+'Calculs 3D'!$E$6-OffsetZ)/Ecran)*'Calculs 3D'!$E$32)),0)</f>
        <v>0.26082196259131818</v>
      </c>
      <c r="H174" s="105">
        <f>IF(Body2Actif=TRUE,((((($B174*$H$4)+'Calculs 3D'!$C$7-OffsetX)/Ecran)*'Calculs 3D'!$C$31)+(((($C174*$H$4)+'Calculs 3D'!$D$7-OffsetY)/Ecran)*'Calculs 3D'!$D$31)+(((($D174*$H$4)+'Calculs 3D'!$E$7-OffsetZ)/Ecran)*'Calculs 3D'!$E$31)),0)</f>
        <v>1.7387519492518225E-2</v>
      </c>
      <c r="I174" s="105">
        <f>IF(Body2Actif=TRUE,((((($B174*$H$4)+'Calculs 3D'!$C$7-OffsetX)/Ecran)*'Calculs 3D'!$C$32)+(((($C174*$H$4)+'Calculs 3D'!$D$7-OffsetY)/Ecran)*'Calculs 3D'!$D$32)+(((($D174*$H$4)+'Calculs 3D'!$E$7-OffsetZ)/Ecran)*'Calculs 3D'!$E$32)),0)</f>
        <v>1.8466141227485938E-2</v>
      </c>
      <c r="J174" s="105">
        <f>IF(Body3Actif=TRUE,((((($B174*$J$4)+'Calculs 3D'!$C$8-OffsetX)/Ecran)*'Calculs 3D'!$C$31)+(((($C174*$J$4)+'Calculs 3D'!$D$8-OffsetY)/Ecran)*'Calculs 3D'!$D$31)+(((($D174*$J$4)+'Calculs 3D'!$E$8-OffsetZ)/Ecran)*'Calculs 3D'!$E$31)),0)</f>
        <v>0.21516657979789339</v>
      </c>
      <c r="K174" s="105">
        <f>IF(Body3Actif=TRUE,((((($B174*$J$4)+'Calculs 3D'!$C$8-OffsetX)/Ecran)*'Calculs 3D'!$C$32)+(((($C174*$J$4)+'Calculs 3D'!$D$8-OffsetY)/Ecran)*'Calculs 3D'!$D$32)+(((($D174*$J$4)+'Calculs 3D'!$E$8-OffsetZ)/Ecran)*'Calculs 3D'!$E$32)),0)</f>
        <v>-8.6135338032714531E-2</v>
      </c>
      <c r="L174" s="105">
        <f>IF(Body4Actif=TRUE,((((($B174*$L$4)+'Calculs 3D'!$C$9-OffsetX)/Ecran)*'Calculs 3D'!$C$31)+(((($C174*$L$4)+'Calculs 3D'!$D$9-OffsetY)/Ecran)*'Calculs 3D'!$D$31)+(((($D174*$L$4)+'Calculs 3D'!$E$9-OffsetZ)/Ecran)*'Calculs 3D'!$E$31)),0)</f>
        <v>-9.9068505262305179E-2</v>
      </c>
      <c r="M174" s="105">
        <f>IF(Body4Actif=TRUE,((((($B174*$L$4)+'Calculs 3D'!$C$9-OffsetX)/Ecran)*'Calculs 3D'!$C$32)+(((($C174*$L$4)+'Calculs 3D'!$D$9-OffsetY)/Ecran)*'Calculs 3D'!$D$32)+(((($D174*$L$4)+'Calculs 3D'!$E$9-OffsetZ)/Ecran)*'Calculs 3D'!$E$32)),0)</f>
        <v>-0.17895988574636379</v>
      </c>
      <c r="N174" s="105">
        <f>IF(Body5Actif=TRUE,((((($B174*$N$4)+'Calculs 3D'!$C$10-OffsetX)/Ecran)*'Calculs 3D'!$C$31)+(((($C174*$N$4)+'Calculs 3D'!$D$10-OffsetY)/Ecran)*'Calculs 3D'!$D$31)+(((($D174*$N$4)+'Calculs 3D'!$E$10-OffsetZ)/Ecran)*'Calculs 3D'!$E$31)),0)</f>
        <v>-4.32996090860506E-3</v>
      </c>
      <c r="O174" s="105">
        <f>IF(Body5Actif=TRUE,((((($B174*$N$4)+'Calculs 3D'!$C$10-OffsetX)/Ecran)*'Calculs 3D'!$C$32)+(((($C174*$N$4)+'Calculs 3D'!$D$10-OffsetY)/Ecran)*'Calculs 3D'!$D$32)+(((($D174*$N$4)+'Calculs 3D'!$E$10-OffsetZ)/Ecran)*'Calculs 3D'!$E$32)),0)</f>
        <v>-1.3015634027095813E-2</v>
      </c>
      <c r="P174" s="105">
        <f>IF(Body6Actif=TRUE,((((($B174*$P$4)+'Calculs 3D'!$C$11-OffsetX)/Ecran)*'Calculs 3D'!$C$31)+(((($C174*$P$4)+'Calculs 3D'!$D$11-OffsetY)/Ecran)*'Calculs 3D'!$D$31)+(((($D174*$P$4)+'Calculs 3D'!$E$11-OffsetZ)/Ecran)*'Calculs 3D'!$E$31)),0)</f>
        <v>0.16316177527379749</v>
      </c>
      <c r="Q174" s="105">
        <f>IF(Body6Actif=TRUE,((((($B174*$P$4)+'Calculs 3D'!$C$11-OffsetX)/Ecran)*'Calculs 3D'!$C$32)+(((($C174*$P$4)+'Calculs 3D'!$D$11-OffsetY)/Ecran)*'Calculs 3D'!$D$32)+(((($D174*$P$4)+'Calculs 3D'!$E$11-OffsetZ)/Ecran)*'Calculs 3D'!$E$32)),0)</f>
        <v>0.12141037498346671</v>
      </c>
      <c r="R174" s="105">
        <f>IF(Body7Actif=TRUE,((((($B174*$R$4)+'Calculs 3D'!$C$12-OffsetX)/Ecran)*'Calculs 3D'!$C$31)+(((($C174*$R$4)+'Calculs 3D'!$D$12-OffsetY)/Ecran)*'Calculs 3D'!$D$31)+(((($D174*$R$4)+'Calculs 3D'!$E$12-OffsetZ)/Ecran)*'Calculs 3D'!$E$31)),0)</f>
        <v>-0.28828536489689854</v>
      </c>
      <c r="S174" s="105">
        <f>IF(Body7Actif=TRUE,((((($B174*$R$4)+'Calculs 3D'!$C$12-OffsetX)/Ecran)*'Calculs 3D'!$C$32)+(((($C174*$R$4)+'Calculs 3D'!$D$12-OffsetY)/Ecran)*'Calculs 3D'!$D$32)+(((($D174*$R$4)+'Calculs 3D'!$E$12-OffsetZ)/Ecran)*'Calculs 3D'!$E$32)),0)</f>
        <v>5.0649457425341465E-2</v>
      </c>
      <c r="T174" s="105">
        <f>IF(Body8Actif=TRUE,((((($B174*$T$4)+'Calculs 3D'!$C$13-OffsetX)/Ecran)*'Calculs 3D'!$C$31)+(((($C174*$T$4)+'Calculs 3D'!$D$13-OffsetY)/Ecran)*'Calculs 3D'!$D$31)+(((($D174*$T$4)+'Calculs 3D'!$E$13-OffsetZ)/Ecran)*'Calculs 3D'!$E$31)),0)</f>
        <v>0.16544890707486801</v>
      </c>
      <c r="U174" s="105">
        <f>IF(Body8Actif=TRUE,((((($B174*$T$4)+'Calculs 3D'!$C$13-OffsetX)/Ecran)*'Calculs 3D'!$C$32)+(((($C174*$T$4)+'Calculs 3D'!$D$13-OffsetY)/Ecran)*'Calculs 3D'!$D$32)+(((($D174*$T$4)+'Calculs 3D'!$E$13-OffsetZ)/Ecran)*'Calculs 3D'!$E$32)),0)</f>
        <v>-0.13478878768303235</v>
      </c>
      <c r="V174" s="105">
        <f>IF(Body9Actif=TRUE,((((($B174*$V$4)+'Calculs 3D'!$C$14-OffsetX)/Ecran)*'Calculs 3D'!$C$31)+(((($C174*$V$4)+'Calculs 3D'!$D$14-OffsetY)/Ecran)*'Calculs 3D'!$D$31)+(((($D174*$V$4)+'Calculs 3D'!$E$14-OffsetZ)/Ecran)*'Calculs 3D'!$E$31)),0)</f>
        <v>-0.18143558456146691</v>
      </c>
      <c r="W174" s="105">
        <f>IF(Body9Actif=TRUE,((((($B174*$V$4)+'Calculs 3D'!$C$14-OffsetX)/Ecran)*'Calculs 3D'!$C$32)+(((($C174*$V$4)+'Calculs 3D'!$D$14-OffsetY)/Ecran)*'Calculs 3D'!$D$32)+(((($D174*$V$4)+'Calculs 3D'!$E$14-OffsetZ)/Ecran)*'Calculs 3D'!$E$32)),0)</f>
        <v>0.28282075406055668</v>
      </c>
      <c r="X174" s="105">
        <f>IF(Body10Actif=TRUE,((((($B174*$X$4)+'Calculs 3D'!$C$15-OffsetX)/Ecran)*'Calculs 3D'!$C$31)+(((($C174*$X$4)+'Calculs 3D'!$D$15-OffsetY)/Ecran)*'Calculs 3D'!$D$31)+(((($D174*$X$4)+'Calculs 3D'!$E$15-OffsetZ)/Ecran)*'Calculs 3D'!$E$31)),0)</f>
        <v>-2.1143189422348954E-2</v>
      </c>
      <c r="Y174" s="105">
        <f>IF(Body10Actif=TRUE,((((($B174*$X$4)+'Calculs 3D'!$C$15-OffsetX)/Ecran)*'Calculs 3D'!$C$32)+(((($C174*$X$4)+'Calculs 3D'!$D$15-OffsetY)/Ecran)*'Calculs 3D'!$D$32)+(((($D174*$X$4)+'Calculs 3D'!$E$15-OffsetZ)/Ecran)*'Calculs 3D'!$E$32)),0)</f>
        <v>0.28370999418082371</v>
      </c>
    </row>
    <row r="175" spans="2:25" x14ac:dyDescent="0.3">
      <c r="B175" s="102">
        <v>-1.2128969703595336E-16</v>
      </c>
      <c r="C175" s="102">
        <v>-0.65999999999999992</v>
      </c>
      <c r="D175" s="102">
        <v>-0.75</v>
      </c>
      <c r="F175" s="105">
        <f>IF(Body1Actif=TRUE,((((($B175*$F$4)+'Calculs 3D'!$C$6-OffsetX)/Ecran)*'Calculs 3D'!$C$31)+(((($C175*$F$4)+'Calculs 3D'!$D$6-OffsetY)/Ecran)*'Calculs 3D'!$D$31)+(((($D175*$F$4)+'Calculs 3D'!$E$6-OffsetZ)/Ecran)*'Calculs 3D'!$E$31)),0)</f>
        <v>4.9113990961204008E-2</v>
      </c>
      <c r="G175" s="105">
        <f>IF(Body1Actif=TRUE,((((($B175*$F$4)+'Calculs 3D'!$C$6-OffsetX)/Ecran)*'Calculs 3D'!$C$32)+(((($C175*$F$4)+'Calculs 3D'!$D$6-OffsetY)/Ecran)*'Calculs 3D'!$D$32)+(((($D175*$F$4)+'Calculs 3D'!$E$6-OffsetZ)/Ecran)*'Calculs 3D'!$E$32)),0)</f>
        <v>0.26048244444973573</v>
      </c>
      <c r="H175" s="105">
        <f>IF(Body2Actif=TRUE,((((($B175*$H$4)+'Calculs 3D'!$C$7-OffsetX)/Ecran)*'Calculs 3D'!$C$31)+(((($C175*$H$4)+'Calculs 3D'!$D$7-OffsetY)/Ecran)*'Calculs 3D'!$D$31)+(((($D175*$H$4)+'Calculs 3D'!$E$7-OffsetZ)/Ecran)*'Calculs 3D'!$E$31)),0)</f>
        <v>1.953707703124153E-2</v>
      </c>
      <c r="I175" s="105">
        <f>IF(Body2Actif=TRUE,((((($B175*$H$4)+'Calculs 3D'!$C$7-OffsetX)/Ecran)*'Calculs 3D'!$C$32)+(((($C175*$H$4)+'Calculs 3D'!$D$7-OffsetY)/Ecran)*'Calculs 3D'!$D$32)+(((($D175*$H$4)+'Calculs 3D'!$E$7-OffsetZ)/Ecran)*'Calculs 3D'!$E$32)),0)</f>
        <v>1.7142741461898155E-2</v>
      </c>
      <c r="J175" s="105">
        <f>IF(Body3Actif=TRUE,((((($B175*$J$4)+'Calculs 3D'!$C$8-OffsetX)/Ecran)*'Calculs 3D'!$C$31)+(((($C175*$J$4)+'Calculs 3D'!$D$8-OffsetY)/Ecran)*'Calculs 3D'!$D$31)+(((($D175*$J$4)+'Calculs 3D'!$E$8-OffsetZ)/Ecran)*'Calculs 3D'!$E$31)),0)</f>
        <v>0.21612189091758507</v>
      </c>
      <c r="K175" s="105">
        <f>IF(Body3Actif=TRUE,((((($B175*$J$4)+'Calculs 3D'!$C$8-OffsetX)/Ecran)*'Calculs 3D'!$C$32)+(((($C175*$J$4)+'Calculs 3D'!$D$8-OffsetY)/Ecran)*'Calculs 3D'!$D$32)+(((($D175*$J$4)+'Calculs 3D'!$E$8-OffsetZ)/Ecran)*'Calculs 3D'!$E$32)),0)</f>
        <v>-8.6723486286058943E-2</v>
      </c>
      <c r="L175" s="105">
        <f>IF(Body4Actif=TRUE,((((($B175*$L$4)+'Calculs 3D'!$C$9-OffsetX)/Ecran)*'Calculs 3D'!$C$31)+(((($C175*$L$4)+'Calculs 3D'!$D$9-OffsetY)/Ecran)*'Calculs 3D'!$D$31)+(((($D175*$L$4)+'Calculs 3D'!$E$9-OffsetZ)/Ecran)*'Calculs 3D'!$E$31)),0)</f>
        <v>-9.7826321290141155E-2</v>
      </c>
      <c r="M175" s="105">
        <f>IF(Body4Actif=TRUE,((((($B175*$L$4)+'Calculs 3D'!$C$9-OffsetX)/Ecran)*'Calculs 3D'!$C$32)+(((($C175*$L$4)+'Calculs 3D'!$D$9-OffsetY)/Ecran)*'Calculs 3D'!$D$32)+(((($D175*$L$4)+'Calculs 3D'!$E$9-OffsetZ)/Ecran)*'Calculs 3D'!$E$32)),0)</f>
        <v>-0.17972465056329218</v>
      </c>
      <c r="N175" s="105">
        <f>IF(Body5Actif=TRUE,((((($B175*$N$4)+'Calculs 3D'!$C$10-OffsetX)/Ecran)*'Calculs 3D'!$C$31)+(((($C175*$N$4)+'Calculs 3D'!$D$10-OffsetY)/Ecran)*'Calculs 3D'!$D$31)+(((($D175*$N$4)+'Calculs 3D'!$E$10-OffsetZ)/Ecran)*'Calculs 3D'!$E$31)),0)</f>
        <v>-2.9118938685488553E-3</v>
      </c>
      <c r="O175" s="105">
        <f>IF(Body5Actif=TRUE,((((($B175*$N$4)+'Calculs 3D'!$C$10-OffsetX)/Ecran)*'Calculs 3D'!$C$32)+(((($C175*$N$4)+'Calculs 3D'!$D$10-OffsetY)/Ecran)*'Calculs 3D'!$D$32)+(((($D175*$N$4)+'Calculs 3D'!$E$10-OffsetZ)/Ecran)*'Calculs 3D'!$E$32)),0)</f>
        <v>-1.3888683273087506E-2</v>
      </c>
      <c r="P175" s="105">
        <f>IF(Body6Actif=TRUE,((((($B175*$P$4)+'Calculs 3D'!$C$11-OffsetX)/Ecran)*'Calculs 3D'!$C$31)+(((($C175*$P$4)+'Calculs 3D'!$D$11-OffsetY)/Ecran)*'Calculs 3D'!$D$31)+(((($D175*$P$4)+'Calculs 3D'!$E$11-OffsetZ)/Ecran)*'Calculs 3D'!$E$31)),0)</f>
        <v>0.16521679650589921</v>
      </c>
      <c r="Q175" s="105">
        <f>IF(Body6Actif=TRUE,((((($B175*$P$4)+'Calculs 3D'!$C$11-OffsetX)/Ecran)*'Calculs 3D'!$C$32)+(((($C175*$P$4)+'Calculs 3D'!$D$11-OffsetY)/Ecran)*'Calculs 3D'!$D$32)+(((($D175*$P$4)+'Calculs 3D'!$E$11-OffsetZ)/Ecran)*'Calculs 3D'!$E$32)),0)</f>
        <v>0.12014517757988541</v>
      </c>
      <c r="R175" s="105">
        <f>IF(Body7Actif=TRUE,((((($B175*$R$4)+'Calculs 3D'!$C$12-OffsetX)/Ecran)*'Calculs 3D'!$C$31)+(((($C175*$R$4)+'Calculs 3D'!$D$12-OffsetY)/Ecran)*'Calculs 3D'!$D$31)+(((($D175*$R$4)+'Calculs 3D'!$E$12-OffsetZ)/Ecran)*'Calculs 3D'!$E$31)),0)</f>
        <v>-0.28622158207138187</v>
      </c>
      <c r="S175" s="105">
        <f>IF(Body7Actif=TRUE,((((($B175*$R$4)+'Calculs 3D'!$C$12-OffsetX)/Ecran)*'Calculs 3D'!$C$32)+(((($C175*$R$4)+'Calculs 3D'!$D$12-OffsetY)/Ecran)*'Calculs 3D'!$D$32)+(((($D175*$R$4)+'Calculs 3D'!$E$12-OffsetZ)/Ecran)*'Calculs 3D'!$E$32)),0)</f>
        <v>4.9378865846232148E-2</v>
      </c>
      <c r="T175" s="105">
        <f>IF(Body8Actif=TRUE,((((($B175*$T$4)+'Calculs 3D'!$C$13-OffsetX)/Ecran)*'Calculs 3D'!$C$31)+(((($C175*$T$4)+'Calculs 3D'!$D$13-OffsetY)/Ecran)*'Calculs 3D'!$D$31)+(((($D175*$T$4)+'Calculs 3D'!$E$13-OffsetZ)/Ecran)*'Calculs 3D'!$E$31)),0)</f>
        <v>0.16619323198959507</v>
      </c>
      <c r="U175" s="105">
        <f>IF(Body8Actif=TRUE,((((($B175*$T$4)+'Calculs 3D'!$C$13-OffsetX)/Ecran)*'Calculs 3D'!$C$32)+(((($C175*$T$4)+'Calculs 3D'!$D$13-OffsetY)/Ecran)*'Calculs 3D'!$D$32)+(((($D175*$T$4)+'Calculs 3D'!$E$13-OffsetZ)/Ecran)*'Calculs 3D'!$E$32)),0)</f>
        <v>-0.13524703985815487</v>
      </c>
      <c r="V175" s="105">
        <f>IF(Body9Actif=TRUE,((((($B175*$V$4)+'Calculs 3D'!$C$14-OffsetX)/Ecran)*'Calculs 3D'!$C$31)+(((($C175*$V$4)+'Calculs 3D'!$D$14-OffsetY)/Ecran)*'Calculs 3D'!$D$31)+(((($D175*$V$4)+'Calculs 3D'!$E$14-OffsetZ)/Ecran)*'Calculs 3D'!$E$31)),0)</f>
        <v>-0.18040282187700726</v>
      </c>
      <c r="W175" s="105">
        <f>IF(Body9Actif=TRUE,((((($B175*$V$4)+'Calculs 3D'!$C$14-OffsetX)/Ecran)*'Calculs 3D'!$C$32)+(((($C175*$V$4)+'Calculs 3D'!$D$14-OffsetY)/Ecran)*'Calculs 3D'!$D$32)+(((($D175*$V$4)+'Calculs 3D'!$E$14-OffsetZ)/Ecran)*'Calculs 3D'!$E$32)),0)</f>
        <v>0.28218492186258098</v>
      </c>
      <c r="X175" s="105">
        <f>IF(Body10Actif=TRUE,((((($B175*$X$4)+'Calculs 3D'!$C$15-OffsetX)/Ecran)*'Calculs 3D'!$C$31)+(((($C175*$X$4)+'Calculs 3D'!$D$15-OffsetY)/Ecran)*'Calculs 3D'!$D$31)+(((($D175*$X$4)+'Calculs 3D'!$E$15-OffsetZ)/Ecran)*'Calculs 3D'!$E$31)),0)</f>
        <v>-1.9584281557854633E-2</v>
      </c>
      <c r="Y175" s="105">
        <f>IF(Body10Actif=TRUE,((((($B175*$X$4)+'Calculs 3D'!$C$15-OffsetX)/Ecran)*'Calculs 3D'!$C$32)+(((($C175*$X$4)+'Calculs 3D'!$D$15-OffsetY)/Ecran)*'Calculs 3D'!$D$32)+(((($D175*$X$4)+'Calculs 3D'!$E$15-OffsetZ)/Ecran)*'Calculs 3D'!$E$32)),0)</f>
        <v>0.28275023466507238</v>
      </c>
    </row>
    <row r="176" spans="2:25" x14ac:dyDescent="0.3">
      <c r="B176" s="102">
        <v>0.20395121628746515</v>
      </c>
      <c r="C176" s="102">
        <v>-0.62769730075480135</v>
      </c>
      <c r="D176" s="102">
        <v>-0.75</v>
      </c>
      <c r="F176" s="105">
        <f>IF(Body1Actif=TRUE,((((($B176*$F$4)+'Calculs 3D'!$C$6-OffsetX)/Ecran)*'Calculs 3D'!$C$31)+(((($C176*$F$4)+'Calculs 3D'!$D$6-OffsetY)/Ecran)*'Calculs 3D'!$D$31)+(((($D176*$F$4)+'Calculs 3D'!$E$6-OffsetZ)/Ecran)*'Calculs 3D'!$E$31)),0)</f>
        <v>4.9808882283376994E-2</v>
      </c>
      <c r="G176" s="105">
        <f>IF(Body1Actif=TRUE,((((($B176*$F$4)+'Calculs 3D'!$C$6-OffsetX)/Ecran)*'Calculs 3D'!$C$32)+(((($C176*$F$4)+'Calculs 3D'!$D$6-OffsetY)/Ecran)*'Calculs 3D'!$D$32)+(((($D176*$F$4)+'Calculs 3D'!$E$6-OffsetZ)/Ecran)*'Calculs 3D'!$E$32)),0)</f>
        <v>0.26026446038443085</v>
      </c>
      <c r="H176" s="105">
        <f>IF(Body2Actif=TRUE,((((($B176*$H$4)+'Calculs 3D'!$C$7-OffsetX)/Ecran)*'Calculs 3D'!$C$31)+(((($C176*$H$4)+'Calculs 3D'!$D$7-OffsetY)/Ecran)*'Calculs 3D'!$D$31)+(((($D176*$H$4)+'Calculs 3D'!$E$7-OffsetZ)/Ecran)*'Calculs 3D'!$E$31)),0)</f>
        <v>2.2245677545447987E-2</v>
      </c>
      <c r="I176" s="105">
        <f>IF(Body2Actif=TRUE,((((($B176*$H$4)+'Calculs 3D'!$C$7-OffsetX)/Ecran)*'Calculs 3D'!$C$32)+(((($C176*$H$4)+'Calculs 3D'!$D$7-OffsetY)/Ecran)*'Calculs 3D'!$D$32)+(((($D176*$H$4)+'Calculs 3D'!$E$7-OffsetZ)/Ecran)*'Calculs 3D'!$E$32)),0)</f>
        <v>1.6293066509090862E-2</v>
      </c>
      <c r="J176" s="105">
        <f>IF(Body3Actif=TRUE,((((($B176*$J$4)+'Calculs 3D'!$C$8-OffsetX)/Ecran)*'Calculs 3D'!$C$31)+(((($C176*$J$4)+'Calculs 3D'!$D$8-OffsetY)/Ecran)*'Calculs 3D'!$D$31)+(((($D176*$J$4)+'Calculs 3D'!$E$8-OffsetZ)/Ecran)*'Calculs 3D'!$E$31)),0)</f>
        <v>0.21732565315395722</v>
      </c>
      <c r="K176" s="105">
        <f>IF(Body3Actif=TRUE,((((($B176*$J$4)+'Calculs 3D'!$C$8-OffsetX)/Ecran)*'Calculs 3D'!$C$32)+(((($C176*$J$4)+'Calculs 3D'!$D$8-OffsetY)/Ecran)*'Calculs 3D'!$D$32)+(((($D176*$J$4)+'Calculs 3D'!$E$8-OffsetZ)/Ecran)*'Calculs 3D'!$E$32)),0)</f>
        <v>-8.7101100709454399E-2</v>
      </c>
      <c r="L176" s="105">
        <f>IF(Body4Actif=TRUE,((((($B176*$L$4)+'Calculs 3D'!$C$9-OffsetX)/Ecran)*'Calculs 3D'!$C$31)+(((($C176*$L$4)+'Calculs 3D'!$D$9-OffsetY)/Ecran)*'Calculs 3D'!$D$31)+(((($D176*$L$4)+'Calculs 3D'!$E$9-OffsetZ)/Ecran)*'Calculs 3D'!$E$31)),0)</f>
        <v>-9.6261078171438308E-2</v>
      </c>
      <c r="M176" s="105">
        <f>IF(Body4Actif=TRUE,((((($B176*$L$4)+'Calculs 3D'!$C$9-OffsetX)/Ecran)*'Calculs 3D'!$C$32)+(((($C176*$L$4)+'Calculs 3D'!$D$9-OffsetY)/Ecran)*'Calculs 3D'!$D$32)+(((($D176*$L$4)+'Calculs 3D'!$E$9-OffsetZ)/Ecran)*'Calculs 3D'!$E$32)),0)</f>
        <v>-0.18021565980073426</v>
      </c>
      <c r="N176" s="105">
        <f>IF(Body5Actif=TRUE,((((($B176*$N$4)+'Calculs 3D'!$C$10-OffsetX)/Ecran)*'Calculs 3D'!$C$31)+(((($C176*$N$4)+'Calculs 3D'!$D$10-OffsetY)/Ecran)*'Calculs 3D'!$D$31)+(((($D176*$N$4)+'Calculs 3D'!$E$10-OffsetZ)/Ecran)*'Calculs 3D'!$E$31)),0)</f>
        <v>-1.1250251550196737E-3</v>
      </c>
      <c r="O176" s="105">
        <f>IF(Body5Actif=TRUE,((((($B176*$N$4)+'Calculs 3D'!$C$10-OffsetX)/Ecran)*'Calculs 3D'!$C$32)+(((($C176*$N$4)+'Calculs 3D'!$D$10-OffsetY)/Ecran)*'Calculs 3D'!$D$32)+(((($D176*$N$4)+'Calculs 3D'!$E$10-OffsetZ)/Ecran)*'Calculs 3D'!$E$32)),0)</f>
        <v>-1.4449215393596809E-2</v>
      </c>
      <c r="P176" s="105">
        <f>IF(Body6Actif=TRUE,((((($B176*$P$4)+'Calculs 3D'!$C$11-OffsetX)/Ecran)*'Calculs 3D'!$C$31)+(((($C176*$P$4)+'Calculs 3D'!$D$11-OffsetY)/Ecran)*'Calculs 3D'!$D$31)+(((($D176*$P$4)+'Calculs 3D'!$E$11-OffsetZ)/Ecran)*'Calculs 3D'!$E$31)),0)</f>
        <v>0.16780627432433526</v>
      </c>
      <c r="Q176" s="105">
        <f>IF(Body6Actif=TRUE,((((($B176*$P$4)+'Calculs 3D'!$C$11-OffsetX)/Ecran)*'Calculs 3D'!$C$32)+(((($C176*$P$4)+'Calculs 3D'!$D$11-OffsetY)/Ecran)*'Calculs 3D'!$D$32)+(((($D176*$P$4)+'Calculs 3D'!$E$11-OffsetZ)/Ecran)*'Calculs 3D'!$E$32)),0)</f>
        <v>0.11933287084375539</v>
      </c>
      <c r="R176" s="105">
        <f>IF(Body7Actif=TRUE,((((($B176*$R$4)+'Calculs 3D'!$C$12-OffsetX)/Ecran)*'Calculs 3D'!$C$31)+(((($C176*$R$4)+'Calculs 3D'!$D$12-OffsetY)/Ecran)*'Calculs 3D'!$D$31)+(((($D176*$R$4)+'Calculs 3D'!$E$12-OffsetZ)/Ecran)*'Calculs 3D'!$E$31)),0)</f>
        <v>-0.28362106400117248</v>
      </c>
      <c r="S176" s="105">
        <f>IF(Body7Actif=TRUE,((((($B176*$R$4)+'Calculs 3D'!$C$12-OffsetX)/Ecran)*'Calculs 3D'!$C$32)+(((($C176*$R$4)+'Calculs 3D'!$D$12-OffsetY)/Ecran)*'Calculs 3D'!$D$32)+(((($D176*$R$4)+'Calculs 3D'!$E$12-OffsetZ)/Ecran)*'Calculs 3D'!$E$32)),0)</f>
        <v>4.8563095836224937E-2</v>
      </c>
      <c r="T176" s="105">
        <f>IF(Body8Actif=TRUE,((((($B176*$T$4)+'Calculs 3D'!$C$13-OffsetX)/Ecran)*'Calculs 3D'!$C$31)+(((($C176*$T$4)+'Calculs 3D'!$D$13-OffsetY)/Ecran)*'Calculs 3D'!$D$31)+(((($D176*$T$4)+'Calculs 3D'!$E$13-OffsetZ)/Ecran)*'Calculs 3D'!$E$31)),0)</f>
        <v>0.16713113609797445</v>
      </c>
      <c r="U176" s="105">
        <f>IF(Body8Actif=TRUE,((((($B176*$T$4)+'Calculs 3D'!$C$13-OffsetX)/Ecran)*'Calculs 3D'!$C$32)+(((($C176*$T$4)+'Calculs 3D'!$D$13-OffsetY)/Ecran)*'Calculs 3D'!$D$32)+(((($D176*$T$4)+'Calculs 3D'!$E$13-OffsetZ)/Ecran)*'Calculs 3D'!$E$32)),0)</f>
        <v>-0.13554125586558941</v>
      </c>
      <c r="V176" s="105">
        <f>IF(Body9Actif=TRUE,((((($B176*$V$4)+'Calculs 3D'!$C$14-OffsetX)/Ecran)*'Calculs 3D'!$C$31)+(((($C176*$V$4)+'Calculs 3D'!$D$14-OffsetY)/Ecran)*'Calculs 3D'!$D$31)+(((($D176*$V$4)+'Calculs 3D'!$E$14-OffsetZ)/Ecran)*'Calculs 3D'!$E$31)),0)</f>
        <v>-0.17910146497551116</v>
      </c>
      <c r="W176" s="105">
        <f>IF(Body9Actif=TRUE,((((($B176*$V$4)+'Calculs 3D'!$C$14-OffsetX)/Ecran)*'Calculs 3D'!$C$32)+(((($C176*$V$4)+'Calculs 3D'!$D$14-OffsetY)/Ecran)*'Calculs 3D'!$D$32)+(((($D176*$V$4)+'Calculs 3D'!$E$14-OffsetZ)/Ecran)*'Calculs 3D'!$E$32)),0)</f>
        <v>0.28177669246217119</v>
      </c>
      <c r="X176" s="105">
        <f>IF(Body10Actif=TRUE,((((($B176*$X$4)+'Calculs 3D'!$C$15-OffsetX)/Ecran)*'Calculs 3D'!$C$31)+(((($C176*$X$4)+'Calculs 3D'!$D$15-OffsetY)/Ecran)*'Calculs 3D'!$D$31)+(((($D176*$X$4)+'Calculs 3D'!$E$15-OffsetZ)/Ecran)*'Calculs 3D'!$E$31)),0)</f>
        <v>-1.7619943052230039E-2</v>
      </c>
      <c r="Y176" s="105">
        <f>IF(Body10Actif=TRUE,((((($B176*$X$4)+'Calculs 3D'!$C$15-OffsetX)/Ecran)*'Calculs 3D'!$C$32)+(((($C176*$X$4)+'Calculs 3D'!$D$15-OffsetY)/Ecran)*'Calculs 3D'!$D$32)+(((($D176*$X$4)+'Calculs 3D'!$E$15-OffsetZ)/Ecran)*'Calculs 3D'!$E$32)),0)</f>
        <v>0.28213403112442104</v>
      </c>
    </row>
    <row r="177" spans="2:25" x14ac:dyDescent="0.3">
      <c r="B177" s="102">
        <v>0.38793826651303209</v>
      </c>
      <c r="C177" s="102">
        <v>-0.53395121628746534</v>
      </c>
      <c r="D177" s="102">
        <v>-0.75</v>
      </c>
      <c r="F177" s="105">
        <f>IF(Body1Actif=TRUE,((((($B177*$F$4)+'Calculs 3D'!$C$6-OffsetX)/Ecran)*'Calculs 3D'!$C$31)+(((($C177*$F$4)+'Calculs 3D'!$D$6-OffsetY)/Ecran)*'Calculs 3D'!$D$31)+(((($D177*$F$4)+'Calculs 3D'!$E$6-OffsetZ)/Ecran)*'Calculs 3D'!$E$31)),0)</f>
        <v>5.0579175247860285E-2</v>
      </c>
      <c r="G177" s="105">
        <f>IF(Body1Actif=TRUE,((((($B177*$F$4)+'Calculs 3D'!$C$6-OffsetX)/Ecran)*'Calculs 3D'!$C$32)+(((($C177*$F$4)+'Calculs 3D'!$D$6-OffsetY)/Ecran)*'Calculs 3D'!$D$32)+(((($D177*$F$4)+'Calculs 3D'!$E$6-OffsetZ)/Ecran)*'Calculs 3D'!$E$32)),0)</f>
        <v>0.26018934819449996</v>
      </c>
      <c r="H177" s="105">
        <f>IF(Body2Actif=TRUE,((((($B177*$H$4)+'Calculs 3D'!$C$7-OffsetX)/Ecran)*'Calculs 3D'!$C$31)+(((($C177*$H$4)+'Calculs 3D'!$D$7-OffsetY)/Ecran)*'Calculs 3D'!$D$31)+(((($D177*$H$4)+'Calculs 3D'!$E$7-OffsetZ)/Ecran)*'Calculs 3D'!$E$31)),0)</f>
        <v>2.5248184344877588E-2</v>
      </c>
      <c r="I177" s="105">
        <f>IF(Body2Actif=TRUE,((((($B177*$H$4)+'Calculs 3D'!$C$7-OffsetX)/Ecran)*'Calculs 3D'!$C$32)+(((($C177*$H$4)+'Calculs 3D'!$D$7-OffsetY)/Ecran)*'Calculs 3D'!$D$32)+(((($D177*$H$4)+'Calculs 3D'!$E$7-OffsetZ)/Ecran)*'Calculs 3D'!$E$32)),0)</f>
        <v>1.6000288473478341E-2</v>
      </c>
      <c r="J177" s="105">
        <f>IF(Body3Actif=TRUE,((((($B177*$J$4)+'Calculs 3D'!$C$8-OffsetX)/Ecran)*'Calculs 3D'!$C$31)+(((($C177*$J$4)+'Calculs 3D'!$D$8-OffsetY)/Ecran)*'Calculs 3D'!$D$31)+(((($D177*$J$4)+'Calculs 3D'!$E$8-OffsetZ)/Ecran)*'Calculs 3D'!$E$31)),0)</f>
        <v>0.21866003387220898</v>
      </c>
      <c r="K177" s="105">
        <f>IF(Body3Actif=TRUE,((((($B177*$J$4)+'Calculs 3D'!$C$8-OffsetX)/Ecran)*'Calculs 3D'!$C$32)+(((($C177*$J$4)+'Calculs 3D'!$D$8-OffsetY)/Ecran)*'Calculs 3D'!$D$32)+(((($D177*$J$4)+'Calculs 3D'!$E$8-OffsetZ)/Ecran)*'Calculs 3D'!$E$32)),0)</f>
        <v>-8.7231217772144543E-2</v>
      </c>
      <c r="L177" s="105">
        <f>IF(Body4Actif=TRUE,((((($B177*$L$4)+'Calculs 3D'!$C$9-OffsetX)/Ecran)*'Calculs 3D'!$C$31)+(((($C177*$L$4)+'Calculs 3D'!$D$9-OffsetY)/Ecran)*'Calculs 3D'!$D$31)+(((($D177*$L$4)+'Calculs 3D'!$E$9-OffsetZ)/Ecran)*'Calculs 3D'!$E$31)),0)</f>
        <v>-9.4525992808345366E-2</v>
      </c>
      <c r="M177" s="105">
        <f>IF(Body4Actif=TRUE,((((($B177*$L$4)+'Calculs 3D'!$C$9-OffsetX)/Ecran)*'Calculs 3D'!$C$32)+(((($C177*$L$4)+'Calculs 3D'!$D$9-OffsetY)/Ecran)*'Calculs 3D'!$D$32)+(((($D177*$L$4)+'Calculs 3D'!$E$9-OffsetZ)/Ecran)*'Calculs 3D'!$E$32)),0)</f>
        <v>-0.18038485005346672</v>
      </c>
      <c r="N177" s="105">
        <f>IF(Body5Actif=TRUE,((((($B177*$N$4)+'Calculs 3D'!$C$10-OffsetX)/Ecran)*'Calculs 3D'!$C$31)+(((($C177*$N$4)+'Calculs 3D'!$D$10-OffsetY)/Ecran)*'Calculs 3D'!$D$31)+(((($D177*$N$4)+'Calculs 3D'!$E$10-OffsetZ)/Ecran)*'Calculs 3D'!$E$31)),0)</f>
        <v>8.5573407245585114E-4</v>
      </c>
      <c r="O177" s="105">
        <f>IF(Body5Actif=TRUE,((((($B177*$N$4)+'Calculs 3D'!$C$10-OffsetX)/Ecran)*'Calculs 3D'!$C$32)+(((($C177*$N$4)+'Calculs 3D'!$D$10-OffsetY)/Ecran)*'Calculs 3D'!$D$32)+(((($D177*$N$4)+'Calculs 3D'!$E$10-OffsetZ)/Ecran)*'Calculs 3D'!$E$32)),0)</f>
        <v>-1.4642361599211342E-2</v>
      </c>
      <c r="P177" s="105">
        <f>IF(Body6Actif=TRUE,((((($B177*$P$4)+'Calculs 3D'!$C$11-OffsetX)/Ecran)*'Calculs 3D'!$C$31)+(((($C177*$P$4)+'Calculs 3D'!$D$11-OffsetY)/Ecran)*'Calculs 3D'!$D$31)+(((($D177*$P$4)+'Calculs 3D'!$E$11-OffsetZ)/Ecran)*'Calculs 3D'!$E$31)),0)</f>
        <v>0.1706767325982842</v>
      </c>
      <c r="Q177" s="105">
        <f>IF(Body6Actif=TRUE,((((($B177*$P$4)+'Calculs 3D'!$C$11-OffsetX)/Ecran)*'Calculs 3D'!$C$32)+(((($C177*$P$4)+'Calculs 3D'!$D$11-OffsetY)/Ecran)*'Calculs 3D'!$D$32)+(((($D177*$P$4)+'Calculs 3D'!$E$11-OffsetZ)/Ecran)*'Calculs 3D'!$E$32)),0)</f>
        <v>0.11905296901808288</v>
      </c>
      <c r="R177" s="105">
        <f>IF(Body7Actif=TRUE,((((($B177*$R$4)+'Calculs 3D'!$C$12-OffsetX)/Ecran)*'Calculs 3D'!$C$31)+(((($C177*$R$4)+'Calculs 3D'!$D$12-OffsetY)/Ecran)*'Calculs 3D'!$D$31)+(((($D177*$R$4)+'Calculs 3D'!$E$12-OffsetZ)/Ecran)*'Calculs 3D'!$E$31)),0)</f>
        <v>-0.28073836751385717</v>
      </c>
      <c r="S177" s="105">
        <f>IF(Body7Actif=TRUE,((((($B177*$R$4)+'Calculs 3D'!$C$12-OffsetX)/Ecran)*'Calculs 3D'!$C$32)+(((($C177*$R$4)+'Calculs 3D'!$D$12-OffsetY)/Ecran)*'Calculs 3D'!$D$32)+(((($D177*$R$4)+'Calculs 3D'!$E$12-OffsetZ)/Ecran)*'Calculs 3D'!$E$32)),0)</f>
        <v>4.8282000647703258E-2</v>
      </c>
      <c r="T177" s="105">
        <f>IF(Body8Actif=TRUE,((((($B177*$T$4)+'Calculs 3D'!$C$13-OffsetX)/Ecran)*'Calculs 3D'!$C$31)+(((($C177*$T$4)+'Calculs 3D'!$D$13-OffsetY)/Ecran)*'Calculs 3D'!$D$31)+(((($D177*$T$4)+'Calculs 3D'!$E$13-OffsetZ)/Ecran)*'Calculs 3D'!$E$31)),0)</f>
        <v>0.16817081081111576</v>
      </c>
      <c r="U177" s="105">
        <f>IF(Body8Actif=TRUE,((((($B177*$T$4)+'Calculs 3D'!$C$13-OffsetX)/Ecran)*'Calculs 3D'!$C$32)+(((($C177*$T$4)+'Calculs 3D'!$D$13-OffsetY)/Ecran)*'Calculs 3D'!$D$32)+(((($D177*$T$4)+'Calculs 3D'!$E$13-OffsetZ)/Ecran)*'Calculs 3D'!$E$32)),0)</f>
        <v>-0.13564263579260485</v>
      </c>
      <c r="V177" s="105">
        <f>IF(Body9Actif=TRUE,((((($B177*$V$4)+'Calculs 3D'!$C$14-OffsetX)/Ecran)*'Calculs 3D'!$C$31)+(((($C177*$V$4)+'Calculs 3D'!$D$14-OffsetY)/Ecran)*'Calculs 3D'!$D$31)+(((($D177*$V$4)+'Calculs 3D'!$E$14-OffsetZ)/Ecran)*'Calculs 3D'!$E$31)),0)</f>
        <v>-0.17765889973758367</v>
      </c>
      <c r="W177" s="105">
        <f>IF(Body9Actif=TRUE,((((($B177*$V$4)+'Calculs 3D'!$C$14-OffsetX)/Ecran)*'Calculs 3D'!$C$32)+(((($C177*$V$4)+'Calculs 3D'!$D$14-OffsetY)/Ecran)*'Calculs 3D'!$D$32)+(((($D177*$V$4)+'Calculs 3D'!$E$14-OffsetZ)/Ecran)*'Calculs 3D'!$E$32)),0)</f>
        <v>0.28163602619734091</v>
      </c>
      <c r="X177" s="105">
        <f>IF(Body10Actif=TRUE,((((($B177*$X$4)+'Calculs 3D'!$C$15-OffsetX)/Ecran)*'Calculs 3D'!$C$31)+(((($C177*$X$4)+'Calculs 3D'!$D$15-OffsetY)/Ecran)*'Calculs 3D'!$D$31)+(((($D177*$X$4)+'Calculs 3D'!$E$15-OffsetZ)/Ecran)*'Calculs 3D'!$E$31)),0)</f>
        <v>-1.5442457044756885E-2</v>
      </c>
      <c r="Y177" s="105">
        <f>IF(Body10Actif=TRUE,((((($B177*$X$4)+'Calculs 3D'!$C$15-OffsetX)/Ecran)*'Calculs 3D'!$C$32)+(((($C177*$X$4)+'Calculs 3D'!$D$15-OffsetY)/Ecran)*'Calculs 3D'!$D$32)+(((($D177*$X$4)+'Calculs 3D'!$E$15-OffsetZ)/Ecran)*'Calculs 3D'!$E$32)),0)</f>
        <v>0.28192170185477117</v>
      </c>
    </row>
    <row r="178" spans="2:25" x14ac:dyDescent="0.3">
      <c r="B178" s="102">
        <v>0.53395121628746522</v>
      </c>
      <c r="C178" s="102">
        <v>-0.38793826651303237</v>
      </c>
      <c r="D178" s="102">
        <v>-0.75</v>
      </c>
      <c r="F178" s="105">
        <f>IF(Body1Actif=TRUE,((((($B178*$F$4)+'Calculs 3D'!$C$6-OffsetX)/Ecran)*'Calculs 3D'!$C$31)+(((($C178*$F$4)+'Calculs 3D'!$D$6-OffsetY)/Ecran)*'Calculs 3D'!$D$31)+(((($D178*$F$4)+'Calculs 3D'!$E$6-OffsetZ)/Ecran)*'Calculs 3D'!$E$31)),0)</f>
        <v>5.1349468212343555E-2</v>
      </c>
      <c r="G178" s="105">
        <f>IF(Body1Actif=TRUE,((((($B178*$F$4)+'Calculs 3D'!$C$6-OffsetX)/Ecran)*'Calculs 3D'!$C$32)+(((($C178*$F$4)+'Calculs 3D'!$D$6-OffsetY)/Ecran)*'Calculs 3D'!$D$32)+(((($D178*$F$4)+'Calculs 3D'!$E$6-OffsetZ)/Ecran)*'Calculs 3D'!$E$32)),0)</f>
        <v>0.26026446038443085</v>
      </c>
      <c r="H178" s="105">
        <f>IF(Body2Actif=TRUE,((((($B178*$H$4)+'Calculs 3D'!$C$7-OffsetX)/Ecran)*'Calculs 3D'!$C$31)+(((($C178*$H$4)+'Calculs 3D'!$D$7-OffsetY)/Ecran)*'Calculs 3D'!$D$31)+(((($D178*$H$4)+'Calculs 3D'!$E$7-OffsetZ)/Ecran)*'Calculs 3D'!$E$31)),0)</f>
        <v>2.8250691144307186E-2</v>
      </c>
      <c r="I178" s="105">
        <f>IF(Body2Actif=TRUE,((((($B178*$H$4)+'Calculs 3D'!$C$7-OffsetX)/Ecran)*'Calculs 3D'!$C$32)+(((($C178*$H$4)+'Calculs 3D'!$D$7-OffsetY)/Ecran)*'Calculs 3D'!$D$32)+(((($D178*$H$4)+'Calculs 3D'!$E$7-OffsetZ)/Ecran)*'Calculs 3D'!$E$32)),0)</f>
        <v>1.6293066509090865E-2</v>
      </c>
      <c r="J178" s="105">
        <f>IF(Body3Actif=TRUE,((((($B178*$J$4)+'Calculs 3D'!$C$8-OffsetX)/Ecran)*'Calculs 3D'!$C$31)+(((($C178*$J$4)+'Calculs 3D'!$D$8-OffsetY)/Ecran)*'Calculs 3D'!$D$31)+(((($D178*$J$4)+'Calculs 3D'!$E$8-OffsetZ)/Ecran)*'Calculs 3D'!$E$31)),0)</f>
        <v>0.21999441459046071</v>
      </c>
      <c r="K178" s="105">
        <f>IF(Body3Actif=TRUE,((((($B178*$J$4)+'Calculs 3D'!$C$8-OffsetX)/Ecran)*'Calculs 3D'!$C$32)+(((($C178*$J$4)+'Calculs 3D'!$D$8-OffsetY)/Ecran)*'Calculs 3D'!$D$32)+(((($D178*$J$4)+'Calculs 3D'!$E$8-OffsetZ)/Ecran)*'Calculs 3D'!$E$32)),0)</f>
        <v>-8.7101100709454413E-2</v>
      </c>
      <c r="L178" s="105">
        <f>IF(Body4Actif=TRUE,((((($B178*$L$4)+'Calculs 3D'!$C$9-OffsetX)/Ecran)*'Calculs 3D'!$C$31)+(((($C178*$L$4)+'Calculs 3D'!$D$9-OffsetY)/Ecran)*'Calculs 3D'!$D$31)+(((($D178*$L$4)+'Calculs 3D'!$E$9-OffsetZ)/Ecran)*'Calculs 3D'!$E$31)),0)</f>
        <v>-9.2790907445252396E-2</v>
      </c>
      <c r="M178" s="105">
        <f>IF(Body4Actif=TRUE,((((($B178*$L$4)+'Calculs 3D'!$C$9-OffsetX)/Ecran)*'Calculs 3D'!$C$32)+(((($C178*$L$4)+'Calculs 3D'!$D$9-OffsetY)/Ecran)*'Calculs 3D'!$D$32)+(((($D178*$L$4)+'Calculs 3D'!$E$9-OffsetZ)/Ecran)*'Calculs 3D'!$E$32)),0)</f>
        <v>-0.18021565980073426</v>
      </c>
      <c r="N178" s="105">
        <f>IF(Body5Actif=TRUE,((((($B178*$N$4)+'Calculs 3D'!$C$10-OffsetX)/Ecran)*'Calculs 3D'!$C$31)+(((($C178*$N$4)+'Calculs 3D'!$D$10-OffsetY)/Ecran)*'Calculs 3D'!$D$31)+(((($D178*$N$4)+'Calculs 3D'!$E$10-OffsetZ)/Ecran)*'Calculs 3D'!$E$31)),0)</f>
        <v>2.8364932999313786E-3</v>
      </c>
      <c r="O178" s="105">
        <f>IF(Body5Actif=TRUE,((((($B178*$N$4)+'Calculs 3D'!$C$10-OffsetX)/Ecran)*'Calculs 3D'!$C$32)+(((($C178*$N$4)+'Calculs 3D'!$D$10-OffsetY)/Ecran)*'Calculs 3D'!$D$32)+(((($D178*$N$4)+'Calculs 3D'!$E$10-OffsetZ)/Ecran)*'Calculs 3D'!$E$32)),0)</f>
        <v>-1.4449215393596809E-2</v>
      </c>
      <c r="P178" s="105">
        <f>IF(Body6Actif=TRUE,((((($B178*$P$4)+'Calculs 3D'!$C$11-OffsetX)/Ecran)*'Calculs 3D'!$C$31)+(((($C178*$P$4)+'Calculs 3D'!$D$11-OffsetY)/Ecran)*'Calculs 3D'!$D$31)+(((($D178*$P$4)+'Calculs 3D'!$E$11-OffsetZ)/Ecran)*'Calculs 3D'!$E$31)),0)</f>
        <v>0.17354719087223311</v>
      </c>
      <c r="Q178" s="105">
        <f>IF(Body6Actif=TRUE,((((($B178*$P$4)+'Calculs 3D'!$C$11-OffsetX)/Ecran)*'Calculs 3D'!$C$32)+(((($C178*$P$4)+'Calculs 3D'!$D$11-OffsetY)/Ecran)*'Calculs 3D'!$D$32)+(((($D178*$P$4)+'Calculs 3D'!$E$11-OffsetZ)/Ecran)*'Calculs 3D'!$E$32)),0)</f>
        <v>0.11933287084375538</v>
      </c>
      <c r="R178" s="105">
        <f>IF(Body7Actif=TRUE,((((($B178*$R$4)+'Calculs 3D'!$C$12-OffsetX)/Ecran)*'Calculs 3D'!$C$31)+(((($C178*$R$4)+'Calculs 3D'!$D$12-OffsetY)/Ecran)*'Calculs 3D'!$D$31)+(((($D178*$R$4)+'Calculs 3D'!$E$12-OffsetZ)/Ecran)*'Calculs 3D'!$E$31)),0)</f>
        <v>-0.27785567102654185</v>
      </c>
      <c r="S178" s="105">
        <f>IF(Body7Actif=TRUE,((((($B178*$R$4)+'Calculs 3D'!$C$12-OffsetX)/Ecran)*'Calculs 3D'!$C$32)+(((($C178*$R$4)+'Calculs 3D'!$D$12-OffsetY)/Ecran)*'Calculs 3D'!$D$32)+(((($D178*$R$4)+'Calculs 3D'!$E$12-OffsetZ)/Ecran)*'Calculs 3D'!$E$32)),0)</f>
        <v>4.8563095836224951E-2</v>
      </c>
      <c r="T178" s="105">
        <f>IF(Body8Actif=TRUE,((((($B178*$T$4)+'Calculs 3D'!$C$13-OffsetX)/Ecran)*'Calculs 3D'!$C$31)+(((($C178*$T$4)+'Calculs 3D'!$D$13-OffsetY)/Ecran)*'Calculs 3D'!$D$31)+(((($D178*$T$4)+'Calculs 3D'!$E$13-OffsetZ)/Ecran)*'Calculs 3D'!$E$31)),0)</f>
        <v>0.16921048552425708</v>
      </c>
      <c r="U178" s="105">
        <f>IF(Body8Actif=TRUE,((((($B178*$T$4)+'Calculs 3D'!$C$13-OffsetX)/Ecran)*'Calculs 3D'!$C$32)+(((($C178*$T$4)+'Calculs 3D'!$D$13-OffsetY)/Ecran)*'Calculs 3D'!$D$32)+(((($D178*$T$4)+'Calculs 3D'!$E$13-OffsetZ)/Ecran)*'Calculs 3D'!$E$32)),0)</f>
        <v>-0.13554125586558941</v>
      </c>
      <c r="V178" s="105">
        <f>IF(Body9Actif=TRUE,((((($B178*$V$4)+'Calculs 3D'!$C$14-OffsetX)/Ecran)*'Calculs 3D'!$C$31)+(((($C178*$V$4)+'Calculs 3D'!$D$14-OffsetY)/Ecran)*'Calculs 3D'!$D$31)+(((($D178*$V$4)+'Calculs 3D'!$E$14-OffsetZ)/Ecran)*'Calculs 3D'!$E$31)),0)</f>
        <v>-0.17621633449965621</v>
      </c>
      <c r="W178" s="105">
        <f>IF(Body9Actif=TRUE,((((($B178*$V$4)+'Calculs 3D'!$C$14-OffsetX)/Ecran)*'Calculs 3D'!$C$32)+(((($C178*$V$4)+'Calculs 3D'!$D$14-OffsetY)/Ecran)*'Calculs 3D'!$D$32)+(((($D178*$V$4)+'Calculs 3D'!$E$14-OffsetZ)/Ecran)*'Calculs 3D'!$E$32)),0)</f>
        <v>0.28177669246217119</v>
      </c>
      <c r="X178" s="105">
        <f>IF(Body10Actif=TRUE,((((($B178*$X$4)+'Calculs 3D'!$C$15-OffsetX)/Ecran)*'Calculs 3D'!$C$31)+(((($C178*$X$4)+'Calculs 3D'!$D$15-OffsetY)/Ecran)*'Calculs 3D'!$D$31)+(((($D178*$X$4)+'Calculs 3D'!$E$15-OffsetZ)/Ecran)*'Calculs 3D'!$E$31)),0)</f>
        <v>-1.3264971037283774E-2</v>
      </c>
      <c r="Y178" s="105">
        <f>IF(Body10Actif=TRUE,((((($B178*$X$4)+'Calculs 3D'!$C$15-OffsetX)/Ecran)*'Calculs 3D'!$C$32)+(((($C178*$X$4)+'Calculs 3D'!$D$15-OffsetY)/Ecran)*'Calculs 3D'!$D$32)+(((($D178*$X$4)+'Calculs 3D'!$E$15-OffsetZ)/Ecran)*'Calculs 3D'!$E$32)),0)</f>
        <v>0.28213403112442104</v>
      </c>
    </row>
    <row r="179" spans="2:25" x14ac:dyDescent="0.3">
      <c r="B179" s="102">
        <v>0.62769730075480124</v>
      </c>
      <c r="C179" s="102">
        <v>-0.2039512162874654</v>
      </c>
      <c r="D179" s="102">
        <v>-0.75</v>
      </c>
      <c r="F179" s="105">
        <f>IF(Body1Actif=TRUE,((((($B179*$F$4)+'Calculs 3D'!$C$6-OffsetX)/Ecran)*'Calculs 3D'!$C$31)+(((($C179*$F$4)+'Calculs 3D'!$D$6-OffsetY)/Ecran)*'Calculs 3D'!$D$31)+(((($D179*$F$4)+'Calculs 3D'!$E$6-OffsetZ)/Ecran)*'Calculs 3D'!$E$31)),0)</f>
        <v>5.2044359534516554E-2</v>
      </c>
      <c r="G179" s="105">
        <f>IF(Body1Actif=TRUE,((((($B179*$F$4)+'Calculs 3D'!$C$6-OffsetX)/Ecran)*'Calculs 3D'!$C$32)+(((($C179*$F$4)+'Calculs 3D'!$D$6-OffsetY)/Ecran)*'Calculs 3D'!$D$32)+(((($D179*$F$4)+'Calculs 3D'!$E$6-OffsetZ)/Ecran)*'Calculs 3D'!$E$32)),0)</f>
        <v>0.26048244444973573</v>
      </c>
      <c r="H179" s="105">
        <f>IF(Body2Actif=TRUE,((((($B179*$H$4)+'Calculs 3D'!$C$7-OffsetX)/Ecran)*'Calculs 3D'!$C$31)+(((($C179*$H$4)+'Calculs 3D'!$D$7-OffsetY)/Ecran)*'Calculs 3D'!$D$31)+(((($D179*$H$4)+'Calculs 3D'!$E$7-OffsetZ)/Ecran)*'Calculs 3D'!$E$31)),0)</f>
        <v>3.0959291658513643E-2</v>
      </c>
      <c r="I179" s="105">
        <f>IF(Body2Actif=TRUE,((((($B179*$H$4)+'Calculs 3D'!$C$7-OffsetX)/Ecran)*'Calculs 3D'!$C$32)+(((($C179*$H$4)+'Calculs 3D'!$D$7-OffsetY)/Ecran)*'Calculs 3D'!$D$32)+(((($D179*$H$4)+'Calculs 3D'!$E$7-OffsetZ)/Ecran)*'Calculs 3D'!$E$32)),0)</f>
        <v>1.7142741461898155E-2</v>
      </c>
      <c r="J179" s="105">
        <f>IF(Body3Actif=TRUE,((((($B179*$J$4)+'Calculs 3D'!$C$8-OffsetX)/Ecran)*'Calculs 3D'!$C$31)+(((($C179*$J$4)+'Calculs 3D'!$D$8-OffsetY)/Ecran)*'Calculs 3D'!$D$31)+(((($D179*$J$4)+'Calculs 3D'!$E$8-OffsetZ)/Ecran)*'Calculs 3D'!$E$31)),0)</f>
        <v>0.22119817682683285</v>
      </c>
      <c r="K179" s="105">
        <f>IF(Body3Actif=TRUE,((((($B179*$J$4)+'Calculs 3D'!$C$8-OffsetX)/Ecran)*'Calculs 3D'!$C$32)+(((($C179*$J$4)+'Calculs 3D'!$D$8-OffsetY)/Ecran)*'Calculs 3D'!$D$32)+(((($D179*$J$4)+'Calculs 3D'!$E$8-OffsetZ)/Ecran)*'Calculs 3D'!$E$32)),0)</f>
        <v>-8.6723486286058957E-2</v>
      </c>
      <c r="L179" s="105">
        <f>IF(Body4Actif=TRUE,((((($B179*$L$4)+'Calculs 3D'!$C$9-OffsetX)/Ecran)*'Calculs 3D'!$C$31)+(((($C179*$L$4)+'Calculs 3D'!$D$9-OffsetY)/Ecran)*'Calculs 3D'!$D$31)+(((($D179*$L$4)+'Calculs 3D'!$E$9-OffsetZ)/Ecran)*'Calculs 3D'!$E$31)),0)</f>
        <v>-9.1225664326549563E-2</v>
      </c>
      <c r="M179" s="105">
        <f>IF(Body4Actif=TRUE,((((($B179*$L$4)+'Calculs 3D'!$C$9-OffsetX)/Ecran)*'Calculs 3D'!$C$32)+(((($C179*$L$4)+'Calculs 3D'!$D$9-OffsetY)/Ecran)*'Calculs 3D'!$D$32)+(((($D179*$L$4)+'Calculs 3D'!$E$9-OffsetZ)/Ecran)*'Calculs 3D'!$E$32)),0)</f>
        <v>-0.17972465056329218</v>
      </c>
      <c r="N179" s="105">
        <f>IF(Body5Actif=TRUE,((((($B179*$N$4)+'Calculs 3D'!$C$10-OffsetX)/Ecran)*'Calculs 3D'!$C$31)+(((($C179*$N$4)+'Calculs 3D'!$D$10-OffsetY)/Ecran)*'Calculs 3D'!$D$31)+(((($D179*$N$4)+'Calculs 3D'!$E$10-OffsetZ)/Ecran)*'Calculs 3D'!$E$31)),0)</f>
        <v>4.623362013460558E-3</v>
      </c>
      <c r="O179" s="105">
        <f>IF(Body5Actif=TRUE,((((($B179*$N$4)+'Calculs 3D'!$C$10-OffsetX)/Ecran)*'Calculs 3D'!$C$32)+(((($C179*$N$4)+'Calculs 3D'!$D$10-OffsetY)/Ecran)*'Calculs 3D'!$D$32)+(((($D179*$N$4)+'Calculs 3D'!$E$10-OffsetZ)/Ecran)*'Calculs 3D'!$E$32)),0)</f>
        <v>-1.3888683273087506E-2</v>
      </c>
      <c r="P179" s="105">
        <f>IF(Body6Actif=TRUE,((((($B179*$P$4)+'Calculs 3D'!$C$11-OffsetX)/Ecran)*'Calculs 3D'!$C$31)+(((($C179*$P$4)+'Calculs 3D'!$D$11-OffsetY)/Ecran)*'Calculs 3D'!$D$31)+(((($D179*$P$4)+'Calculs 3D'!$E$11-OffsetZ)/Ecran)*'Calculs 3D'!$E$31)),0)</f>
        <v>0.17613666869066913</v>
      </c>
      <c r="Q179" s="105">
        <f>IF(Body6Actif=TRUE,((((($B179*$P$4)+'Calculs 3D'!$C$11-OffsetX)/Ecran)*'Calculs 3D'!$C$32)+(((($C179*$P$4)+'Calculs 3D'!$D$11-OffsetY)/Ecran)*'Calculs 3D'!$D$32)+(((($D179*$P$4)+'Calculs 3D'!$E$11-OffsetZ)/Ecran)*'Calculs 3D'!$E$32)),0)</f>
        <v>0.12014517757988541</v>
      </c>
      <c r="R179" s="105">
        <f>IF(Body7Actif=TRUE,((((($B179*$R$4)+'Calculs 3D'!$C$12-OffsetX)/Ecran)*'Calculs 3D'!$C$31)+(((($C179*$R$4)+'Calculs 3D'!$D$12-OffsetY)/Ecran)*'Calculs 3D'!$D$31)+(((($D179*$R$4)+'Calculs 3D'!$E$12-OffsetZ)/Ecran)*'Calculs 3D'!$E$31)),0)</f>
        <v>-0.27525515295633246</v>
      </c>
      <c r="S179" s="105">
        <f>IF(Body7Actif=TRUE,((((($B179*$R$4)+'Calculs 3D'!$C$12-OffsetX)/Ecran)*'Calculs 3D'!$C$32)+(((($C179*$R$4)+'Calculs 3D'!$D$12-OffsetY)/Ecran)*'Calculs 3D'!$D$32)+(((($D179*$R$4)+'Calculs 3D'!$E$12-OffsetZ)/Ecran)*'Calculs 3D'!$E$32)),0)</f>
        <v>4.9378865846232134E-2</v>
      </c>
      <c r="T179" s="105">
        <f>IF(Body8Actif=TRUE,((((($B179*$T$4)+'Calculs 3D'!$C$13-OffsetX)/Ecran)*'Calculs 3D'!$C$31)+(((($C179*$T$4)+'Calculs 3D'!$D$13-OffsetY)/Ecran)*'Calculs 3D'!$D$31)+(((($D179*$T$4)+'Calculs 3D'!$E$13-OffsetZ)/Ecran)*'Calculs 3D'!$E$31)),0)</f>
        <v>0.17014838963263645</v>
      </c>
      <c r="U179" s="105">
        <f>IF(Body8Actif=TRUE,((((($B179*$T$4)+'Calculs 3D'!$C$13-OffsetX)/Ecran)*'Calculs 3D'!$C$32)+(((($C179*$T$4)+'Calculs 3D'!$D$13-OffsetY)/Ecran)*'Calculs 3D'!$D$32)+(((($D179*$T$4)+'Calculs 3D'!$E$13-OffsetZ)/Ecran)*'Calculs 3D'!$E$32)),0)</f>
        <v>-0.13524703985815484</v>
      </c>
      <c r="V179" s="105">
        <f>IF(Body9Actif=TRUE,((((($B179*$V$4)+'Calculs 3D'!$C$14-OffsetX)/Ecran)*'Calculs 3D'!$C$31)+(((($C179*$V$4)+'Calculs 3D'!$D$14-OffsetY)/Ecran)*'Calculs 3D'!$D$31)+(((($D179*$V$4)+'Calculs 3D'!$E$14-OffsetZ)/Ecran)*'Calculs 3D'!$E$31)),0)</f>
        <v>-0.17491497759816008</v>
      </c>
      <c r="W179" s="105">
        <f>IF(Body9Actif=TRUE,((((($B179*$V$4)+'Calculs 3D'!$C$14-OffsetX)/Ecran)*'Calculs 3D'!$C$32)+(((($C179*$V$4)+'Calculs 3D'!$D$14-OffsetY)/Ecran)*'Calculs 3D'!$D$32)+(((($D179*$V$4)+'Calculs 3D'!$E$14-OffsetZ)/Ecran)*'Calculs 3D'!$E$32)),0)</f>
        <v>0.28218492186258098</v>
      </c>
      <c r="X179" s="105">
        <f>IF(Body10Actif=TRUE,((((($B179*$X$4)+'Calculs 3D'!$C$15-OffsetX)/Ecran)*'Calculs 3D'!$C$31)+(((($C179*$X$4)+'Calculs 3D'!$D$15-OffsetY)/Ecran)*'Calculs 3D'!$D$31)+(((($D179*$X$4)+'Calculs 3D'!$E$15-OffsetZ)/Ecran)*'Calculs 3D'!$E$31)),0)</f>
        <v>-1.130063253165918E-2</v>
      </c>
      <c r="Y179" s="105">
        <f>IF(Body10Actif=TRUE,((((($B179*$X$4)+'Calculs 3D'!$C$15-OffsetX)/Ecran)*'Calculs 3D'!$C$32)+(((($C179*$X$4)+'Calculs 3D'!$D$15-OffsetY)/Ecran)*'Calculs 3D'!$D$32)+(((($D179*$X$4)+'Calculs 3D'!$E$15-OffsetZ)/Ecran)*'Calculs 3D'!$E$32)),0)</f>
        <v>0.28275023466507238</v>
      </c>
    </row>
    <row r="180" spans="2:25" x14ac:dyDescent="0.3">
      <c r="B180" s="103">
        <v>0.65999999999999992</v>
      </c>
      <c r="C180" s="103">
        <v>-1.6171959604793783E-16</v>
      </c>
      <c r="D180" s="103">
        <v>-0.75</v>
      </c>
      <c r="F180" s="105">
        <f>IF(Body1Actif=TRUE,((((($B180*$F$4)+'Calculs 3D'!$C$6-OffsetX)/Ecran)*'Calculs 3D'!$C$31)+(((($C180*$F$4)+'Calculs 3D'!$D$6-OffsetY)/Ecran)*'Calculs 3D'!$D$31)+(((($D180*$F$4)+'Calculs 3D'!$E$6-OffsetZ)/Ecran)*'Calculs 3D'!$E$31)),0)</f>
        <v>5.2595828410172435E-2</v>
      </c>
      <c r="G180" s="105">
        <f>IF(Body1Actif=TRUE,((((($B180*$F$4)+'Calculs 3D'!$C$6-OffsetX)/Ecran)*'Calculs 3D'!$C$32)+(((($C180*$F$4)+'Calculs 3D'!$D$6-OffsetY)/Ecran)*'Calculs 3D'!$D$32)+(((($D180*$F$4)+'Calculs 3D'!$E$6-OffsetZ)/Ecran)*'Calculs 3D'!$E$32)),0)</f>
        <v>0.26082196259131818</v>
      </c>
      <c r="H180" s="105">
        <f>IF(Body2Actif=TRUE,((((($B180*$H$4)+'Calculs 3D'!$C$7-OffsetX)/Ecran)*'Calculs 3D'!$C$31)+(((($C180*$H$4)+'Calculs 3D'!$D$7-OffsetY)/Ecran)*'Calculs 3D'!$D$31)+(((($D180*$H$4)+'Calculs 3D'!$E$7-OffsetZ)/Ecran)*'Calculs 3D'!$E$31)),0)</f>
        <v>3.3108849197236952E-2</v>
      </c>
      <c r="I180" s="105">
        <f>IF(Body2Actif=TRUE,((((($B180*$H$4)+'Calculs 3D'!$C$7-OffsetX)/Ecran)*'Calculs 3D'!$C$32)+(((($C180*$H$4)+'Calculs 3D'!$D$7-OffsetY)/Ecran)*'Calculs 3D'!$D$32)+(((($D180*$H$4)+'Calculs 3D'!$E$7-OffsetZ)/Ecran)*'Calculs 3D'!$E$32)),0)</f>
        <v>1.8466141227485935E-2</v>
      </c>
      <c r="J180" s="105">
        <f>IF(Body3Actif=TRUE,((((($B180*$J$4)+'Calculs 3D'!$C$8-OffsetX)/Ecran)*'Calculs 3D'!$C$31)+(((($C180*$J$4)+'Calculs 3D'!$D$8-OffsetY)/Ecran)*'Calculs 3D'!$D$31)+(((($D180*$J$4)+'Calculs 3D'!$E$8-OffsetZ)/Ecran)*'Calculs 3D'!$E$31)),0)</f>
        <v>0.22215348794652456</v>
      </c>
      <c r="K180" s="105">
        <f>IF(Body3Actif=TRUE,((((($B180*$J$4)+'Calculs 3D'!$C$8-OffsetX)/Ecran)*'Calculs 3D'!$C$32)+(((($C180*$J$4)+'Calculs 3D'!$D$8-OffsetY)/Ecran)*'Calculs 3D'!$D$32)+(((($D180*$J$4)+'Calculs 3D'!$E$8-OffsetZ)/Ecran)*'Calculs 3D'!$E$32)),0)</f>
        <v>-8.6135338032714545E-2</v>
      </c>
      <c r="L180" s="105">
        <f>IF(Body4Actif=TRUE,((((($B180*$L$4)+'Calculs 3D'!$C$9-OffsetX)/Ecran)*'Calculs 3D'!$C$31)+(((($C180*$L$4)+'Calculs 3D'!$D$9-OffsetY)/Ecran)*'Calculs 3D'!$D$31)+(((($D180*$L$4)+'Calculs 3D'!$E$9-OffsetZ)/Ecran)*'Calculs 3D'!$E$31)),0)</f>
        <v>-8.9983480354385539E-2</v>
      </c>
      <c r="M180" s="105">
        <f>IF(Body4Actif=TRUE,((((($B180*$L$4)+'Calculs 3D'!$C$9-OffsetX)/Ecran)*'Calculs 3D'!$C$32)+(((($C180*$L$4)+'Calculs 3D'!$D$9-OffsetY)/Ecran)*'Calculs 3D'!$D$32)+(((($D180*$L$4)+'Calculs 3D'!$E$9-OffsetZ)/Ecran)*'Calculs 3D'!$E$32)),0)</f>
        <v>-0.17895988574636379</v>
      </c>
      <c r="N180" s="105">
        <f>IF(Body5Actif=TRUE,((((($B180*$N$4)+'Calculs 3D'!$C$10-OffsetX)/Ecran)*'Calculs 3D'!$C$31)+(((($C180*$N$4)+'Calculs 3D'!$D$10-OffsetY)/Ecran)*'Calculs 3D'!$D$31)+(((($D180*$N$4)+'Calculs 3D'!$E$10-OffsetZ)/Ecran)*'Calculs 3D'!$E$31)),0)</f>
        <v>6.0414290535167649E-3</v>
      </c>
      <c r="O180" s="105">
        <f>IF(Body5Actif=TRUE,((((($B180*$N$4)+'Calculs 3D'!$C$10-OffsetX)/Ecran)*'Calculs 3D'!$C$32)+(((($C180*$N$4)+'Calculs 3D'!$D$10-OffsetY)/Ecran)*'Calculs 3D'!$D$32)+(((($D180*$N$4)+'Calculs 3D'!$E$10-OffsetZ)/Ecran)*'Calculs 3D'!$E$32)),0)</f>
        <v>-1.3015634027095813E-2</v>
      </c>
      <c r="P180" s="105">
        <f>IF(Body6Actif=TRUE,((((($B180*$P$4)+'Calculs 3D'!$C$11-OffsetX)/Ecran)*'Calculs 3D'!$C$31)+(((($C180*$P$4)+'Calculs 3D'!$D$11-OffsetY)/Ecran)*'Calculs 3D'!$D$31)+(((($D180*$P$4)+'Calculs 3D'!$E$11-OffsetZ)/Ecran)*'Calculs 3D'!$E$31)),0)</f>
        <v>0.17819168992277087</v>
      </c>
      <c r="Q180" s="105">
        <f>IF(Body6Actif=TRUE,((((($B180*$P$4)+'Calculs 3D'!$C$11-OffsetX)/Ecran)*'Calculs 3D'!$C$32)+(((($C180*$P$4)+'Calculs 3D'!$D$11-OffsetY)/Ecran)*'Calculs 3D'!$D$32)+(((($D180*$P$4)+'Calculs 3D'!$E$11-OffsetZ)/Ecran)*'Calculs 3D'!$E$32)),0)</f>
        <v>0.12141037498346671</v>
      </c>
      <c r="R180" s="105">
        <f>IF(Body7Actif=TRUE,((((($B180*$R$4)+'Calculs 3D'!$C$12-OffsetX)/Ecran)*'Calculs 3D'!$C$31)+(((($C180*$R$4)+'Calculs 3D'!$D$12-OffsetY)/Ecran)*'Calculs 3D'!$D$31)+(((($D180*$R$4)+'Calculs 3D'!$E$12-OffsetZ)/Ecran)*'Calculs 3D'!$E$31)),0)</f>
        <v>-0.27319137013081574</v>
      </c>
      <c r="S180" s="105">
        <f>IF(Body7Actif=TRUE,((((($B180*$R$4)+'Calculs 3D'!$C$12-OffsetX)/Ecran)*'Calculs 3D'!$C$32)+(((($C180*$R$4)+'Calculs 3D'!$D$12-OffsetY)/Ecran)*'Calculs 3D'!$D$32)+(((($D180*$R$4)+'Calculs 3D'!$E$12-OffsetZ)/Ecran)*'Calculs 3D'!$E$32)),0)</f>
        <v>5.0649457425341479E-2</v>
      </c>
      <c r="T180" s="105">
        <f>IF(Body8Actif=TRUE,((((($B180*$T$4)+'Calculs 3D'!$C$13-OffsetX)/Ecran)*'Calculs 3D'!$C$31)+(((($C180*$T$4)+'Calculs 3D'!$D$13-OffsetY)/Ecran)*'Calculs 3D'!$D$31)+(((($D180*$T$4)+'Calculs 3D'!$E$13-OffsetZ)/Ecran)*'Calculs 3D'!$E$31)),0)</f>
        <v>0.17089271454736357</v>
      </c>
      <c r="U180" s="105">
        <f>IF(Body8Actif=TRUE,((((($B180*$T$4)+'Calculs 3D'!$C$13-OffsetX)/Ecran)*'Calculs 3D'!$C$32)+(((($C180*$T$4)+'Calculs 3D'!$D$13-OffsetY)/Ecran)*'Calculs 3D'!$D$32)+(((($D180*$T$4)+'Calculs 3D'!$E$13-OffsetZ)/Ecran)*'Calculs 3D'!$E$32)),0)</f>
        <v>-0.13478878768303235</v>
      </c>
      <c r="V180" s="105">
        <f>IF(Body9Actif=TRUE,((((($B180*$V$4)+'Calculs 3D'!$C$14-OffsetX)/Ecran)*'Calculs 3D'!$C$31)+(((($C180*$V$4)+'Calculs 3D'!$D$14-OffsetY)/Ecran)*'Calculs 3D'!$D$31)+(((($D180*$V$4)+'Calculs 3D'!$E$14-OffsetZ)/Ecran)*'Calculs 3D'!$E$31)),0)</f>
        <v>-0.17388221491370046</v>
      </c>
      <c r="W180" s="105">
        <f>IF(Body9Actif=TRUE,((((($B180*$V$4)+'Calculs 3D'!$C$14-OffsetX)/Ecran)*'Calculs 3D'!$C$32)+(((($C180*$V$4)+'Calculs 3D'!$D$14-OffsetY)/Ecran)*'Calculs 3D'!$D$32)+(((($D180*$V$4)+'Calculs 3D'!$E$14-OffsetZ)/Ecran)*'Calculs 3D'!$E$32)),0)</f>
        <v>0.28282075406055668</v>
      </c>
      <c r="X180" s="105">
        <f>IF(Body10Actif=TRUE,((((($B180*$X$4)+'Calculs 3D'!$C$15-OffsetX)/Ecran)*'Calculs 3D'!$C$31)+(((($C180*$X$4)+'Calculs 3D'!$D$15-OffsetY)/Ecran)*'Calculs 3D'!$D$31)+(((($D180*$X$4)+'Calculs 3D'!$E$15-OffsetZ)/Ecran)*'Calculs 3D'!$E$31)),0)</f>
        <v>-9.7417246671648861E-3</v>
      </c>
      <c r="Y180" s="105">
        <f>IF(Body10Actif=TRUE,((((($B180*$X$4)+'Calculs 3D'!$C$15-OffsetX)/Ecran)*'Calculs 3D'!$C$32)+(((($C180*$X$4)+'Calculs 3D'!$D$15-OffsetY)/Ecran)*'Calculs 3D'!$D$32)+(((($D180*$X$4)+'Calculs 3D'!$E$15-OffsetZ)/Ecran)*'Calculs 3D'!$E$32)),0)</f>
        <v>0.28370999418082371</v>
      </c>
    </row>
    <row r="181" spans="2:25" x14ac:dyDescent="0.3">
      <c r="B181" s="19"/>
      <c r="C181" s="19"/>
      <c r="D181" s="19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2:25" x14ac:dyDescent="0.3">
      <c r="B182" s="101">
        <v>0.30000000000000004</v>
      </c>
      <c r="C182" s="101">
        <v>0</v>
      </c>
      <c r="D182" s="101">
        <v>-0.95</v>
      </c>
      <c r="F182" s="105">
        <f>IF(Body1Actif=TRUE,((((($B182*$F$4)+'Calculs 3D'!$C$6-OffsetX)/Ecran)*'Calculs 3D'!$C$31)+(((($C182*$F$4)+'Calculs 3D'!$D$6-OffsetY)/Ecran)*'Calculs 3D'!$D$31)+(((($D182*$F$4)+'Calculs 3D'!$E$6-OffsetZ)/Ecran)*'Calculs 3D'!$E$31)),0)</f>
        <v>5.1495835776183989E-2</v>
      </c>
      <c r="G182" s="105">
        <f>IF(Body1Actif=TRUE,((((($B182*$F$4)+'Calculs 3D'!$C$6-OffsetX)/Ecran)*'Calculs 3D'!$C$32)+(((($C182*$F$4)+'Calculs 3D'!$D$6-OffsetY)/Ecran)*'Calculs 3D'!$D$32)+(((($D182*$F$4)+'Calculs 3D'!$E$6-OffsetZ)/Ecran)*'Calculs 3D'!$E$32)),0)</f>
        <v>0.26071875442697606</v>
      </c>
      <c r="H182" s="105">
        <f>IF(Body2Actif=TRUE,((((($B182*$H$4)+'Calculs 3D'!$C$7-OffsetX)/Ecran)*'Calculs 3D'!$C$31)+(((($C182*$H$4)+'Calculs 3D'!$D$7-OffsetY)/Ecran)*'Calculs 3D'!$D$31)+(((($D182*$H$4)+'Calculs 3D'!$E$7-OffsetZ)/Ecran)*'Calculs 3D'!$E$31)),0)</f>
        <v>2.8821213823222752E-2</v>
      </c>
      <c r="I182" s="105">
        <f>IF(Body2Actif=TRUE,((((($B182*$H$4)+'Calculs 3D'!$C$7-OffsetX)/Ecran)*'Calculs 3D'!$C$32)+(((($C182*$H$4)+'Calculs 3D'!$D$7-OffsetY)/Ecran)*'Calculs 3D'!$D$32)+(((($D182*$H$4)+'Calculs 3D'!$E$7-OffsetZ)/Ecran)*'Calculs 3D'!$E$32)),0)</f>
        <v>1.8063848555110756E-2</v>
      </c>
      <c r="J182" s="105">
        <f>IF(Body3Actif=TRUE,((((($B182*$J$4)+'Calculs 3D'!$C$8-OffsetX)/Ecran)*'Calculs 3D'!$C$31)+(((($C182*$J$4)+'Calculs 3D'!$D$8-OffsetY)/Ecran)*'Calculs 3D'!$D$31)+(((($D182*$J$4)+'Calculs 3D'!$E$8-OffsetZ)/Ecran)*'Calculs 3D'!$E$31)),0)</f>
        <v>0.22024796754235243</v>
      </c>
      <c r="K182" s="105">
        <f>IF(Body3Actif=TRUE,((((($B182*$J$4)+'Calculs 3D'!$C$8-OffsetX)/Ecran)*'Calculs 3D'!$C$32)+(((($C182*$J$4)+'Calculs 3D'!$D$8-OffsetY)/Ecran)*'Calculs 3D'!$D$32)+(((($D182*$J$4)+'Calculs 3D'!$E$8-OffsetZ)/Ecran)*'Calculs 3D'!$E$32)),0)</f>
        <v>-8.6314125832700012E-2</v>
      </c>
      <c r="L182" s="105">
        <f>IF(Body4Actif=TRUE,((((($B182*$L$4)+'Calculs 3D'!$C$9-OffsetX)/Ecran)*'Calculs 3D'!$C$31)+(((($C182*$L$4)+'Calculs 3D'!$D$9-OffsetY)/Ecran)*'Calculs 3D'!$D$31)+(((($D182*$L$4)+'Calculs 3D'!$E$9-OffsetZ)/Ecran)*'Calculs 3D'!$E$31)),0)</f>
        <v>-9.2461214420181806E-2</v>
      </c>
      <c r="M182" s="105">
        <f>IF(Body4Actif=TRUE,((((($B182*$L$4)+'Calculs 3D'!$C$9-OffsetX)/Ecran)*'Calculs 3D'!$C$32)+(((($C182*$L$4)+'Calculs 3D'!$D$9-OffsetY)/Ecran)*'Calculs 3D'!$D$32)+(((($D182*$L$4)+'Calculs 3D'!$E$9-OffsetZ)/Ecran)*'Calculs 3D'!$E$32)),0)</f>
        <v>-0.17919236219825738</v>
      </c>
      <c r="N182" s="105">
        <f>IF(Body5Actif=TRUE,((((($B182*$N$4)+'Calculs 3D'!$C$10-OffsetX)/Ecran)*'Calculs 3D'!$C$31)+(((($C182*$N$4)+'Calculs 3D'!$D$10-OffsetY)/Ecran)*'Calculs 3D'!$D$31)+(((($D182*$N$4)+'Calculs 3D'!$E$10-OffsetZ)/Ecran)*'Calculs 3D'!$E$31)),0)</f>
        <v>3.2128681547562684E-3</v>
      </c>
      <c r="O182" s="105">
        <f>IF(Body5Actif=TRUE,((((($B182*$N$4)+'Calculs 3D'!$C$10-OffsetX)/Ecran)*'Calculs 3D'!$C$32)+(((($C182*$N$4)+'Calculs 3D'!$D$10-OffsetY)/Ecran)*'Calculs 3D'!$D$32)+(((($D182*$N$4)+'Calculs 3D'!$E$10-OffsetZ)/Ecran)*'Calculs 3D'!$E$32)),0)</f>
        <v>-1.3281027238896135E-2</v>
      </c>
      <c r="P182" s="105">
        <f>IF(Body6Actif=TRUE,((((($B182*$P$4)+'Calculs 3D'!$C$11-OffsetX)/Ecran)*'Calculs 3D'!$C$31)+(((($C182*$P$4)+'Calculs 3D'!$D$11-OffsetY)/Ecran)*'Calculs 3D'!$D$31)+(((($D182*$P$4)+'Calculs 3D'!$E$11-OffsetZ)/Ecran)*'Calculs 3D'!$E$31)),0)</f>
        <v>0.17409262229123268</v>
      </c>
      <c r="Q182" s="105">
        <f>IF(Body6Actif=TRUE,((((($B182*$P$4)+'Calculs 3D'!$C$11-OffsetX)/Ecran)*'Calculs 3D'!$C$32)+(((($C182*$P$4)+'Calculs 3D'!$D$11-OffsetY)/Ecran)*'Calculs 3D'!$D$32)+(((($D182*$P$4)+'Calculs 3D'!$E$11-OffsetZ)/Ecran)*'Calculs 3D'!$E$32)),0)</f>
        <v>0.12102577491189062</v>
      </c>
      <c r="R182" s="105">
        <f>IF(Body7Actif=TRUE,((((($B182*$R$4)+'Calculs 3D'!$C$12-OffsetX)/Ecran)*'Calculs 3D'!$C$31)+(((($C182*$R$4)+'Calculs 3D'!$D$12-OffsetY)/Ecran)*'Calculs 3D'!$D$31)+(((($D182*$R$4)+'Calculs 3D'!$E$12-OffsetZ)/Ecran)*'Calculs 3D'!$E$31)),0)</f>
        <v>-0.27730791415792921</v>
      </c>
      <c r="S182" s="105">
        <f>IF(Body7Actif=TRUE,((((($B182*$R$4)+'Calculs 3D'!$C$12-OffsetX)/Ecran)*'Calculs 3D'!$C$32)+(((($C182*$R$4)+'Calculs 3D'!$D$12-OffsetY)/Ecran)*'Calculs 3D'!$D$32)+(((($D182*$R$4)+'Calculs 3D'!$E$12-OffsetZ)/Ecran)*'Calculs 3D'!$E$32)),0)</f>
        <v>5.026321760941535E-2</v>
      </c>
      <c r="T182" s="105">
        <f>IF(Body8Actif=TRUE,((((($B182*$T$4)+'Calculs 3D'!$C$13-OffsetX)/Ecran)*'Calculs 3D'!$C$31)+(((($C182*$T$4)+'Calculs 3D'!$D$13-OffsetY)/Ecran)*'Calculs 3D'!$D$31)+(((($D182*$T$4)+'Calculs 3D'!$E$13-OffsetZ)/Ecran)*'Calculs 3D'!$E$31)),0)</f>
        <v>0.1694080397821375</v>
      </c>
      <c r="U182" s="105">
        <f>IF(Body8Actif=TRUE,((((($B182*$T$4)+'Calculs 3D'!$C$13-OffsetX)/Ecran)*'Calculs 3D'!$C$32)+(((($C182*$T$4)+'Calculs 3D'!$D$13-OffsetY)/Ecran)*'Calculs 3D'!$D$32)+(((($D182*$T$4)+'Calculs 3D'!$E$13-OffsetZ)/Ecran)*'Calculs 3D'!$E$32)),0)</f>
        <v>-0.13492808912235965</v>
      </c>
      <c r="V182" s="105">
        <f>IF(Body9Actif=TRUE,((((($B182*$V$4)+'Calculs 3D'!$C$14-OffsetX)/Ecran)*'Calculs 3D'!$C$31)+(((($C182*$V$4)+'Calculs 3D'!$D$14-OffsetY)/Ecran)*'Calculs 3D'!$D$31)+(((($D182*$V$4)+'Calculs 3D'!$E$14-OffsetZ)/Ecran)*'Calculs 3D'!$E$31)),0)</f>
        <v>-0.17594222481763677</v>
      </c>
      <c r="W182" s="105">
        <f>IF(Body9Actif=TRUE,((((($B182*$V$4)+'Calculs 3D'!$C$14-OffsetX)/Ecran)*'Calculs 3D'!$C$32)+(((($C182*$V$4)+'Calculs 3D'!$D$14-OffsetY)/Ecran)*'Calculs 3D'!$D$32)+(((($D182*$V$4)+'Calculs 3D'!$E$14-OffsetZ)/Ecran)*'Calculs 3D'!$E$32)),0)</f>
        <v>0.28262747109288727</v>
      </c>
      <c r="X182" s="105">
        <f>IF(Body10Actif=TRUE,((((($B182*$X$4)+'Calculs 3D'!$C$15-OffsetX)/Ecran)*'Calculs 3D'!$C$31)+(((($C182*$X$4)+'Calculs 3D'!$D$15-OffsetY)/Ecran)*'Calculs 3D'!$D$31)+(((($D182*$X$4)+'Calculs 3D'!$E$15-OffsetZ)/Ecran)*'Calculs 3D'!$E$31)),0)</f>
        <v>-1.2851215054942328E-2</v>
      </c>
      <c r="Y182" s="105">
        <f>IF(Body10Actif=TRUE,((((($B182*$X$4)+'Calculs 3D'!$C$15-OffsetX)/Ecran)*'Calculs 3D'!$C$32)+(((($C182*$X$4)+'Calculs 3D'!$D$15-OffsetY)/Ecran)*'Calculs 3D'!$D$32)+(((($D182*$X$4)+'Calculs 3D'!$E$15-OffsetZ)/Ecran)*'Calculs 3D'!$E$32)),0)</f>
        <v>0.28341824241354302</v>
      </c>
    </row>
    <row r="183" spans="2:25" x14ac:dyDescent="0.3">
      <c r="B183" s="102">
        <v>0.28531695488854608</v>
      </c>
      <c r="C183" s="102">
        <v>9.2705098312484233E-2</v>
      </c>
      <c r="D183" s="102">
        <v>-0.95</v>
      </c>
      <c r="F183" s="105">
        <f>IF(Body1Actif=TRUE,((((($B183*$F$4)+'Calculs 3D'!$C$6-OffsetX)/Ecran)*'Calculs 3D'!$C$31)+(((($C183*$F$4)+'Calculs 3D'!$D$6-OffsetY)/Ecran)*'Calculs 3D'!$D$31)+(((($D183*$F$4)+'Calculs 3D'!$E$6-OffsetZ)/Ecran)*'Calculs 3D'!$E$31)),0)</f>
        <v>5.1656774327674883E-2</v>
      </c>
      <c r="G183" s="105">
        <f>IF(Body1Actif=TRUE,((((($B183*$F$4)+'Calculs 3D'!$C$6-OffsetX)/Ecran)*'Calculs 3D'!$C$32)+(((($C183*$F$4)+'Calculs 3D'!$D$6-OffsetY)/Ecran)*'Calculs 3D'!$D$32)+(((($D183*$F$4)+'Calculs 3D'!$E$6-OffsetZ)/Ecran)*'Calculs 3D'!$E$32)),0)</f>
        <v>0.26091321707088522</v>
      </c>
      <c r="H183" s="105">
        <f>IF(Body2Actif=TRUE,((((($B183*$H$4)+'Calculs 3D'!$C$7-OffsetX)/Ecran)*'Calculs 3D'!$C$31)+(((($C183*$H$4)+'Calculs 3D'!$D$7-OffsetY)/Ecran)*'Calculs 3D'!$D$31)+(((($D183*$H$4)+'Calculs 3D'!$E$7-OffsetZ)/Ecran)*'Calculs 3D'!$E$31)),0)</f>
        <v>2.9448532411632703E-2</v>
      </c>
      <c r="I183" s="105">
        <f>IF(Body2Actif=TRUE,((((($B183*$H$4)+'Calculs 3D'!$C$7-OffsetX)/Ecran)*'Calculs 3D'!$C$32)+(((($C183*$H$4)+'Calculs 3D'!$D$7-OffsetY)/Ecran)*'Calculs 3D'!$D$32)+(((($D183*$H$4)+'Calculs 3D'!$E$7-OffsetZ)/Ecran)*'Calculs 3D'!$E$32)),0)</f>
        <v>1.8821839913585388E-2</v>
      </c>
      <c r="J183" s="105">
        <f>IF(Body3Actif=TRUE,((((($B183*$J$4)+'Calculs 3D'!$C$8-OffsetX)/Ecran)*'Calculs 3D'!$C$31)+(((($C183*$J$4)+'Calculs 3D'!$D$8-OffsetY)/Ecran)*'Calculs 3D'!$D$31)+(((($D183*$J$4)+'Calculs 3D'!$E$8-OffsetZ)/Ecran)*'Calculs 3D'!$E$31)),0)</f>
        <v>0.22052676185806697</v>
      </c>
      <c r="K183" s="105">
        <f>IF(Body3Actif=TRUE,((((($B183*$J$4)+'Calculs 3D'!$C$8-OffsetX)/Ecran)*'Calculs 3D'!$C$32)+(((($C183*$J$4)+'Calculs 3D'!$D$8-OffsetY)/Ecran)*'Calculs 3D'!$D$32)+(((($D183*$J$4)+'Calculs 3D'!$E$8-OffsetZ)/Ecran)*'Calculs 3D'!$E$32)),0)</f>
        <v>-8.5977257635251741E-2</v>
      </c>
      <c r="L183" s="105">
        <f>IF(Body4Actif=TRUE,((((($B183*$L$4)+'Calculs 3D'!$C$9-OffsetX)/Ecran)*'Calculs 3D'!$C$31)+(((($C183*$L$4)+'Calculs 3D'!$D$9-OffsetY)/Ecran)*'Calculs 3D'!$D$31)+(((($D183*$L$4)+'Calculs 3D'!$E$9-OffsetZ)/Ecran)*'Calculs 3D'!$E$31)),0)</f>
        <v>-9.2098700236715847E-2</v>
      </c>
      <c r="M183" s="105">
        <f>IF(Body4Actif=TRUE,((((($B183*$L$4)+'Calculs 3D'!$C$9-OffsetX)/Ecran)*'Calculs 3D'!$C$32)+(((($C183*$L$4)+'Calculs 3D'!$D$9-OffsetY)/Ecran)*'Calculs 3D'!$D$32)+(((($D183*$L$4)+'Calculs 3D'!$E$9-OffsetZ)/Ecran)*'Calculs 3D'!$E$32)),0)</f>
        <v>-0.17875433497657378</v>
      </c>
      <c r="N183" s="105">
        <f>IF(Body5Actif=TRUE,((((($B183*$N$4)+'Calculs 3D'!$C$10-OffsetX)/Ecran)*'Calculs 3D'!$C$31)+(((($C183*$N$4)+'Calculs 3D'!$D$10-OffsetY)/Ecran)*'Calculs 3D'!$D$31)+(((($D183*$N$4)+'Calculs 3D'!$E$10-OffsetZ)/Ecran)*'Calculs 3D'!$E$31)),0)</f>
        <v>3.6267113749601271E-3</v>
      </c>
      <c r="O183" s="105">
        <f>IF(Body5Actif=TRUE,((((($B183*$N$4)+'Calculs 3D'!$C$10-OffsetX)/Ecran)*'Calculs 3D'!$C$32)+(((($C183*$N$4)+'Calculs 3D'!$D$10-OffsetY)/Ecran)*'Calculs 3D'!$D$32)+(((($D183*$N$4)+'Calculs 3D'!$E$10-OffsetZ)/Ecran)*'Calculs 3D'!$E$32)),0)</f>
        <v>-1.2780978953266752E-2</v>
      </c>
      <c r="P183" s="105">
        <f>IF(Body6Actif=TRUE,((((($B183*$P$4)+'Calculs 3D'!$C$11-OffsetX)/Ecran)*'Calculs 3D'!$C$31)+(((($C183*$P$4)+'Calculs 3D'!$D$11-OffsetY)/Ecran)*'Calculs 3D'!$D$31)+(((($D183*$P$4)+'Calculs 3D'!$E$11-OffsetZ)/Ecran)*'Calculs 3D'!$E$31)),0)</f>
        <v>0.17469235176823017</v>
      </c>
      <c r="Q183" s="105">
        <f>IF(Body6Actif=TRUE,((((($B183*$P$4)+'Calculs 3D'!$C$11-OffsetX)/Ecran)*'Calculs 3D'!$C$32)+(((($C183*$P$4)+'Calculs 3D'!$D$11-OffsetY)/Ecran)*'Calculs 3D'!$D$32)+(((($D183*$P$4)+'Calculs 3D'!$E$11-OffsetZ)/Ecran)*'Calculs 3D'!$E$32)),0)</f>
        <v>0.12175043024553669</v>
      </c>
      <c r="R183" s="105">
        <f>IF(Body7Actif=TRUE,((((($B183*$R$4)+'Calculs 3D'!$C$12-OffsetX)/Ecran)*'Calculs 3D'!$C$31)+(((($C183*$R$4)+'Calculs 3D'!$D$12-OffsetY)/Ecran)*'Calculs 3D'!$D$31)+(((($D183*$R$4)+'Calculs 3D'!$E$12-OffsetZ)/Ecran)*'Calculs 3D'!$E$31)),0)</f>
        <v>-0.27670562773127383</v>
      </c>
      <c r="S183" s="105">
        <f>IF(Body7Actif=TRUE,((((($B183*$R$4)+'Calculs 3D'!$C$12-OffsetX)/Ecran)*'Calculs 3D'!$C$32)+(((($C183*$R$4)+'Calculs 3D'!$D$12-OffsetY)/Ecran)*'Calculs 3D'!$D$32)+(((($D183*$R$4)+'Calculs 3D'!$E$12-OffsetZ)/Ecran)*'Calculs 3D'!$E$32)),0)</f>
        <v>5.0990962514740903E-2</v>
      </c>
      <c r="T183" s="105">
        <f>IF(Body8Actif=TRUE,((((($B183*$T$4)+'Calculs 3D'!$C$13-OffsetX)/Ecran)*'Calculs 3D'!$C$31)+(((($C183*$T$4)+'Calculs 3D'!$D$13-OffsetY)/Ecran)*'Calculs 3D'!$D$31)+(((($D183*$T$4)+'Calculs 3D'!$E$13-OffsetZ)/Ecran)*'Calculs 3D'!$E$31)),0)</f>
        <v>0.16962526069686693</v>
      </c>
      <c r="U183" s="105">
        <f>IF(Body8Actif=TRUE,((((($B183*$T$4)+'Calculs 3D'!$C$13-OffsetX)/Ecran)*'Calculs 3D'!$C$32)+(((($C183*$T$4)+'Calculs 3D'!$D$13-OffsetY)/Ecran)*'Calculs 3D'!$D$32)+(((($D183*$T$4)+'Calculs 3D'!$E$13-OffsetZ)/Ecran)*'Calculs 3D'!$E$32)),0)</f>
        <v>-0.13466562029186926</v>
      </c>
      <c r="V183" s="105">
        <f>IF(Body9Actif=TRUE,((((($B183*$V$4)+'Calculs 3D'!$C$14-OffsetX)/Ecran)*'Calculs 3D'!$C$31)+(((($C183*$V$4)+'Calculs 3D'!$D$14-OffsetY)/Ecran)*'Calculs 3D'!$D$31)+(((($D183*$V$4)+'Calculs 3D'!$E$14-OffsetZ)/Ecran)*'Calculs 3D'!$E$31)),0)</f>
        <v>-0.17564082733573336</v>
      </c>
      <c r="W183" s="105">
        <f>IF(Body9Actif=TRUE,((((($B183*$V$4)+'Calculs 3D'!$C$14-OffsetX)/Ecran)*'Calculs 3D'!$C$32)+(((($C183*$V$4)+'Calculs 3D'!$D$14-OffsetY)/Ecran)*'Calculs 3D'!$D$32)+(((($D183*$V$4)+'Calculs 3D'!$E$14-OffsetZ)/Ecran)*'Calculs 3D'!$E$32)),0)</f>
        <v>0.28299165077920563</v>
      </c>
      <c r="X183" s="105">
        <f>IF(Body10Actif=TRUE,((((($B183*$X$4)+'Calculs 3D'!$C$15-OffsetX)/Ecran)*'Calculs 3D'!$C$31)+(((($C183*$X$4)+'Calculs 3D'!$D$15-OffsetY)/Ecran)*'Calculs 3D'!$D$31)+(((($D183*$X$4)+'Calculs 3D'!$E$15-OffsetZ)/Ecran)*'Calculs 3D'!$E$31)),0)</f>
        <v>-1.2396269391288933E-2</v>
      </c>
      <c r="Y183" s="105">
        <f>IF(Body10Actif=TRUE,((((($B183*$X$4)+'Calculs 3D'!$C$15-OffsetX)/Ecran)*'Calculs 3D'!$C$32)+(((($C183*$X$4)+'Calculs 3D'!$D$15-OffsetY)/Ecran)*'Calculs 3D'!$D$32)+(((($D183*$X$4)+'Calculs 3D'!$E$15-OffsetZ)/Ecran)*'Calculs 3D'!$E$32)),0)</f>
        <v>0.28396795493282112</v>
      </c>
    </row>
    <row r="184" spans="2:25" x14ac:dyDescent="0.3">
      <c r="B184" s="102">
        <v>0.24270509831248427</v>
      </c>
      <c r="C184" s="102">
        <v>0.17633557568774197</v>
      </c>
      <c r="D184" s="102">
        <v>-0.95</v>
      </c>
      <c r="F184" s="105">
        <f>IF(Body1Actif=TRUE,((((($B184*$F$4)+'Calculs 3D'!$C$6-OffsetX)/Ecran)*'Calculs 3D'!$C$31)+(((($C184*$F$4)+'Calculs 3D'!$D$6-OffsetY)/Ecran)*'Calculs 3D'!$D$31)+(((($D184*$F$4)+'Calculs 3D'!$E$6-OffsetZ)/Ecran)*'Calculs 3D'!$E$31)),0)</f>
        <v>5.1712229973159253E-2</v>
      </c>
      <c r="G184" s="105">
        <f>IF(Body1Actif=TRUE,((((($B184*$F$4)+'Calculs 3D'!$C$6-OffsetX)/Ecran)*'Calculs 3D'!$C$32)+(((($C184*$F$4)+'Calculs 3D'!$D$6-OffsetY)/Ecran)*'Calculs 3D'!$D$32)+(((($D184*$F$4)+'Calculs 3D'!$E$6-OffsetZ)/Ecran)*'Calculs 3D'!$E$32)),0)</f>
        <v>0.26112878057222461</v>
      </c>
      <c r="H184" s="105">
        <f>IF(Body2Actif=TRUE,((((($B184*$H$4)+'Calculs 3D'!$C$7-OffsetX)/Ecran)*'Calculs 3D'!$C$31)+(((($C184*$H$4)+'Calculs 3D'!$D$7-OffsetY)/Ecran)*'Calculs 3D'!$D$31)+(((($D184*$H$4)+'Calculs 3D'!$E$7-OffsetZ)/Ecran)*'Calculs 3D'!$E$31)),0)</f>
        <v>2.9664691665722824E-2</v>
      </c>
      <c r="I184" s="105">
        <f>IF(Body2Actif=TRUE,((((($B184*$H$4)+'Calculs 3D'!$C$7-OffsetX)/Ecran)*'Calculs 3D'!$C$32)+(((($C184*$H$4)+'Calculs 3D'!$D$7-OffsetY)/Ecran)*'Calculs 3D'!$D$32)+(((($D184*$H$4)+'Calculs 3D'!$E$7-OffsetZ)/Ecran)*'Calculs 3D'!$E$32)),0)</f>
        <v>1.9662079807136364E-2</v>
      </c>
      <c r="J184" s="105">
        <f>IF(Body3Actif=TRUE,((((($B184*$J$4)+'Calculs 3D'!$C$8-OffsetX)/Ecran)*'Calculs 3D'!$C$31)+(((($C184*$J$4)+'Calculs 3D'!$D$8-OffsetY)/Ecran)*'Calculs 3D'!$D$31)+(((($D184*$J$4)+'Calculs 3D'!$E$8-OffsetZ)/Ecran)*'Calculs 3D'!$E$31)),0)</f>
        <v>0.220622827832267</v>
      </c>
      <c r="K184" s="105">
        <f>IF(Body3Actif=TRUE,((((($B184*$J$4)+'Calculs 3D'!$C$8-OffsetX)/Ecran)*'Calculs 3D'!$C$32)+(((($C184*$J$4)+'Calculs 3D'!$D$8-OffsetY)/Ecran)*'Calculs 3D'!$D$32)+(((($D184*$J$4)+'Calculs 3D'!$E$8-OffsetZ)/Ecran)*'Calculs 3D'!$E$32)),0)</f>
        <v>-8.5603836361776736E-2</v>
      </c>
      <c r="L184" s="105">
        <f>IF(Body4Actif=TRUE,((((($B184*$L$4)+'Calculs 3D'!$C$9-OffsetX)/Ecran)*'Calculs 3D'!$C$31)+(((($C184*$L$4)+'Calculs 3D'!$D$9-OffsetY)/Ecran)*'Calculs 3D'!$D$31)+(((($D184*$L$4)+'Calculs 3D'!$E$9-OffsetZ)/Ecran)*'Calculs 3D'!$E$31)),0)</f>
        <v>-9.1973786362102766E-2</v>
      </c>
      <c r="M184" s="105">
        <f>IF(Body4Actif=TRUE,((((($B184*$L$4)+'Calculs 3D'!$C$9-OffsetX)/Ecran)*'Calculs 3D'!$C$32)+(((($C184*$L$4)+'Calculs 3D'!$D$9-OffsetY)/Ecran)*'Calculs 3D'!$D$32)+(((($D184*$L$4)+'Calculs 3D'!$E$9-OffsetZ)/Ecran)*'Calculs 3D'!$E$32)),0)</f>
        <v>-0.17826877806091115</v>
      </c>
      <c r="N184" s="105">
        <f>IF(Body5Actif=TRUE,((((($B184*$N$4)+'Calculs 3D'!$C$10-OffsetX)/Ecran)*'Calculs 3D'!$C$31)+(((($C184*$N$4)+'Calculs 3D'!$D$10-OffsetY)/Ecran)*'Calculs 3D'!$D$31)+(((($D184*$N$4)+'Calculs 3D'!$E$10-OffsetZ)/Ecran)*'Calculs 3D'!$E$31)),0)</f>
        <v>3.7693120302607509E-3</v>
      </c>
      <c r="O184" s="105">
        <f>IF(Body5Actif=TRUE,((((($B184*$N$4)+'Calculs 3D'!$C$10-OffsetX)/Ecran)*'Calculs 3D'!$C$32)+(((($C184*$N$4)+'Calculs 3D'!$D$10-OffsetY)/Ecran)*'Calculs 3D'!$D$32)+(((($D184*$N$4)+'Calculs 3D'!$E$10-OffsetZ)/Ecran)*'Calculs 3D'!$E$32)),0)</f>
        <v>-1.2226671158606529E-2</v>
      </c>
      <c r="P184" s="105">
        <f>IF(Body6Actif=TRUE,((((($B184*$P$4)+'Calculs 3D'!$C$11-OffsetX)/Ecran)*'Calculs 3D'!$C$31)+(((($C184*$P$4)+'Calculs 3D'!$D$11-OffsetY)/Ecran)*'Calculs 3D'!$D$31)+(((($D184*$P$4)+'Calculs 3D'!$E$11-OffsetZ)/Ecran)*'Calculs 3D'!$E$31)),0)</f>
        <v>0.17489900446240941</v>
      </c>
      <c r="Q184" s="105">
        <f>IF(Body6Actif=TRUE,((((($B184*$P$4)+'Calculs 3D'!$C$11-OffsetX)/Ecran)*'Calculs 3D'!$C$32)+(((($C184*$P$4)+'Calculs 3D'!$D$11-OffsetY)/Ecran)*'Calculs 3D'!$D$32)+(((($D184*$P$4)+'Calculs 3D'!$E$11-OffsetZ)/Ecran)*'Calculs 3D'!$E$32)),0)</f>
        <v>0.12255371687090039</v>
      </c>
      <c r="R184" s="105">
        <f>IF(Body7Actif=TRUE,((((($B184*$R$4)+'Calculs 3D'!$C$12-OffsetX)/Ecran)*'Calculs 3D'!$C$31)+(((($C184*$R$4)+'Calculs 3D'!$D$12-OffsetY)/Ecran)*'Calculs 3D'!$D$31)+(((($D184*$R$4)+'Calculs 3D'!$E$12-OffsetZ)/Ecran)*'Calculs 3D'!$E$31)),0)</f>
        <v>-0.27649809397228797</v>
      </c>
      <c r="S184" s="105">
        <f>IF(Body7Actif=TRUE,((((($B184*$R$4)+'Calculs 3D'!$C$12-OffsetX)/Ecran)*'Calculs 3D'!$C$32)+(((($C184*$R$4)+'Calculs 3D'!$D$12-OffsetY)/Ecran)*'Calculs 3D'!$D$32)+(((($D184*$R$4)+'Calculs 3D'!$E$12-OffsetZ)/Ecran)*'Calculs 3D'!$E$32)),0)</f>
        <v>5.1797673956693907E-2</v>
      </c>
      <c r="T184" s="105">
        <f>IF(Body8Actif=TRUE,((((($B184*$T$4)+'Calculs 3D'!$C$13-OffsetX)/Ecran)*'Calculs 3D'!$C$31)+(((($C184*$T$4)+'Calculs 3D'!$D$13-OffsetY)/Ecran)*'Calculs 3D'!$D$31)+(((($D184*$T$4)+'Calculs 3D'!$E$13-OffsetZ)/Ecran)*'Calculs 3D'!$E$31)),0)</f>
        <v>0.16970010992303075</v>
      </c>
      <c r="U184" s="105">
        <f>IF(Body8Actif=TRUE,((((($B184*$T$4)+'Calculs 3D'!$C$13-OffsetX)/Ecran)*'Calculs 3D'!$C$32)+(((($C184*$T$4)+'Calculs 3D'!$D$13-OffsetY)/Ecran)*'Calculs 3D'!$D$32)+(((($D184*$T$4)+'Calculs 3D'!$E$13-OffsetZ)/Ecran)*'Calculs 3D'!$E$32)),0)</f>
        <v>-0.13437467135198228</v>
      </c>
      <c r="V184" s="105">
        <f>IF(Body9Actif=TRUE,((((($B184*$V$4)+'Calculs 3D'!$C$14-OffsetX)/Ecran)*'Calculs 3D'!$C$31)+(((($C184*$V$4)+'Calculs 3D'!$D$14-OffsetY)/Ecran)*'Calculs 3D'!$D$31)+(((($D184*$V$4)+'Calculs 3D'!$E$14-OffsetZ)/Ecran)*'Calculs 3D'!$E$31)),0)</f>
        <v>-0.17553697284126024</v>
      </c>
      <c r="W184" s="105">
        <f>IF(Body9Actif=TRUE,((((($B184*$V$4)+'Calculs 3D'!$C$14-OffsetX)/Ecran)*'Calculs 3D'!$C$32)+(((($C184*$V$4)+'Calculs 3D'!$D$14-OffsetY)/Ecran)*'Calculs 3D'!$D$32)+(((($D184*$V$4)+'Calculs 3D'!$E$14-OffsetZ)/Ecran)*'Calculs 3D'!$E$32)),0)</f>
        <v>0.28339534707131286</v>
      </c>
      <c r="X184" s="105">
        <f>IF(Body10Actif=TRUE,((((($B184*$X$4)+'Calculs 3D'!$C$15-OffsetX)/Ecran)*'Calculs 3D'!$C$31)+(((($C184*$X$4)+'Calculs 3D'!$D$15-OffsetY)/Ecran)*'Calculs 3D'!$D$31)+(((($D184*$X$4)+'Calculs 3D'!$E$15-OffsetZ)/Ecran)*'Calculs 3D'!$E$31)),0)</f>
        <v>-1.2239505799194306E-2</v>
      </c>
      <c r="Y184" s="105">
        <f>IF(Body10Actif=TRUE,((((($B184*$X$4)+'Calculs 3D'!$C$15-OffsetX)/Ecran)*'Calculs 3D'!$C$32)+(((($C184*$X$4)+'Calculs 3D'!$D$15-OffsetY)/Ecran)*'Calculs 3D'!$D$32)+(((($D184*$X$4)+'Calculs 3D'!$E$15-OffsetZ)/Ecran)*'Calculs 3D'!$E$32)),0)</f>
        <v>0.28457731595457653</v>
      </c>
    </row>
    <row r="185" spans="2:25" x14ac:dyDescent="0.3">
      <c r="B185" s="102">
        <v>0.17633557568774197</v>
      </c>
      <c r="C185" s="102">
        <v>0.24270509831248427</v>
      </c>
      <c r="D185" s="102">
        <v>-0.95</v>
      </c>
      <c r="F185" s="105">
        <f>IF(Body1Actif=TRUE,((((($B185*$F$4)+'Calculs 3D'!$C$6-OffsetX)/Ecran)*'Calculs 3D'!$C$31)+(((($C185*$F$4)+'Calculs 3D'!$D$6-OffsetY)/Ecran)*'Calculs 3D'!$D$31)+(((($D185*$F$4)+'Calculs 3D'!$E$6-OffsetZ)/Ecran)*'Calculs 3D'!$E$31)),0)</f>
        <v>5.1656774327674876E-2</v>
      </c>
      <c r="G185" s="105">
        <f>IF(Body1Actif=TRUE,((((($B185*$F$4)+'Calculs 3D'!$C$6-OffsetX)/Ecran)*'Calculs 3D'!$C$32)+(((($C185*$F$4)+'Calculs 3D'!$D$6-OffsetY)/Ecran)*'Calculs 3D'!$D$32)+(((($D185*$F$4)+'Calculs 3D'!$E$6-OffsetZ)/Ecran)*'Calculs 3D'!$E$32)),0)</f>
        <v>0.26134434407356405</v>
      </c>
      <c r="H185" s="105">
        <f>IF(Body2Actif=TRUE,((((($B185*$H$4)+'Calculs 3D'!$C$7-OffsetX)/Ecran)*'Calculs 3D'!$C$31)+(((($C185*$H$4)+'Calculs 3D'!$D$7-OffsetY)/Ecran)*'Calculs 3D'!$D$31)+(((($D185*$H$4)+'Calculs 3D'!$E$7-OffsetZ)/Ecran)*'Calculs 3D'!$E$31)),0)</f>
        <v>2.9448532411632707E-2</v>
      </c>
      <c r="I185" s="105">
        <f>IF(Body2Actif=TRUE,((((($B185*$H$4)+'Calculs 3D'!$C$7-OffsetX)/Ecran)*'Calculs 3D'!$C$32)+(((($C185*$H$4)+'Calculs 3D'!$D$7-OffsetY)/Ecran)*'Calculs 3D'!$D$32)+(((($D185*$H$4)+'Calculs 3D'!$E$7-OffsetZ)/Ecran)*'Calculs 3D'!$E$32)),0)</f>
        <v>2.0502319700687343E-2</v>
      </c>
      <c r="J185" s="105">
        <f>IF(Body3Actif=TRUE,((((($B185*$J$4)+'Calculs 3D'!$C$8-OffsetX)/Ecran)*'Calculs 3D'!$C$31)+(((($C185*$J$4)+'Calculs 3D'!$D$8-OffsetY)/Ecran)*'Calculs 3D'!$D$31)+(((($D185*$J$4)+'Calculs 3D'!$E$8-OffsetZ)/Ecran)*'Calculs 3D'!$E$31)),0)</f>
        <v>0.22052676185806694</v>
      </c>
      <c r="K185" s="105">
        <f>IF(Body3Actif=TRUE,((((($B185*$J$4)+'Calculs 3D'!$C$8-OffsetX)/Ecran)*'Calculs 3D'!$C$32)+(((($C185*$J$4)+'Calculs 3D'!$D$8-OffsetY)/Ecran)*'Calculs 3D'!$D$32)+(((($D185*$J$4)+'Calculs 3D'!$E$8-OffsetZ)/Ecran)*'Calculs 3D'!$E$32)),0)</f>
        <v>-8.5230415088301731E-2</v>
      </c>
      <c r="L185" s="105">
        <f>IF(Body4Actif=TRUE,((((($B185*$L$4)+'Calculs 3D'!$C$9-OffsetX)/Ecran)*'Calculs 3D'!$C$31)+(((($C185*$L$4)+'Calculs 3D'!$D$9-OffsetY)/Ecran)*'Calculs 3D'!$D$31)+(((($D185*$L$4)+'Calculs 3D'!$E$9-OffsetZ)/Ecran)*'Calculs 3D'!$E$31)),0)</f>
        <v>-9.2098700236715833E-2</v>
      </c>
      <c r="M185" s="105">
        <f>IF(Body4Actif=TRUE,((((($B185*$L$4)+'Calculs 3D'!$C$9-OffsetX)/Ecran)*'Calculs 3D'!$C$32)+(((($C185*$L$4)+'Calculs 3D'!$D$9-OffsetY)/Ecran)*'Calculs 3D'!$D$32)+(((($D185*$L$4)+'Calculs 3D'!$E$9-OffsetZ)/Ecran)*'Calculs 3D'!$E$32)),0)</f>
        <v>-0.17778322114524855</v>
      </c>
      <c r="N185" s="105">
        <f>IF(Body5Actif=TRUE,((((($B185*$N$4)+'Calculs 3D'!$C$10-OffsetX)/Ecran)*'Calculs 3D'!$C$31)+(((($C185*$N$4)+'Calculs 3D'!$D$10-OffsetY)/Ecran)*'Calculs 3D'!$D$31)+(((($D185*$N$4)+'Calculs 3D'!$E$10-OffsetZ)/Ecran)*'Calculs 3D'!$E$31)),0)</f>
        <v>3.6267113749601275E-3</v>
      </c>
      <c r="O185" s="105">
        <f>IF(Body5Actif=TRUE,((((($B185*$N$4)+'Calculs 3D'!$C$10-OffsetX)/Ecran)*'Calculs 3D'!$C$32)+(((($C185*$N$4)+'Calculs 3D'!$D$10-OffsetY)/Ecran)*'Calculs 3D'!$D$32)+(((($D185*$N$4)+'Calculs 3D'!$E$10-OffsetZ)/Ecran)*'Calculs 3D'!$E$32)),0)</f>
        <v>-1.1672363363946305E-2</v>
      </c>
      <c r="P185" s="105">
        <f>IF(Body6Actif=TRUE,((((($B185*$P$4)+'Calculs 3D'!$C$11-OffsetX)/Ecran)*'Calculs 3D'!$C$31)+(((($C185*$P$4)+'Calculs 3D'!$D$11-OffsetY)/Ecran)*'Calculs 3D'!$D$31)+(((($D185*$P$4)+'Calculs 3D'!$E$11-OffsetZ)/Ecran)*'Calculs 3D'!$E$31)),0)</f>
        <v>0.17469235176823017</v>
      </c>
      <c r="Q185" s="105">
        <f>IF(Body6Actif=TRUE,((((($B185*$P$4)+'Calculs 3D'!$C$11-OffsetX)/Ecran)*'Calculs 3D'!$C$32)+(((($C185*$P$4)+'Calculs 3D'!$D$11-OffsetY)/Ecran)*'Calculs 3D'!$D$32)+(((($D185*$P$4)+'Calculs 3D'!$E$11-OffsetZ)/Ecran)*'Calculs 3D'!$E$32)),0)</f>
        <v>0.12335700349626411</v>
      </c>
      <c r="R185" s="105">
        <f>IF(Body7Actif=TRUE,((((($B185*$R$4)+'Calculs 3D'!$C$12-OffsetX)/Ecran)*'Calculs 3D'!$C$31)+(((($C185*$R$4)+'Calculs 3D'!$D$12-OffsetY)/Ecran)*'Calculs 3D'!$D$31)+(((($D185*$R$4)+'Calculs 3D'!$E$12-OffsetZ)/Ecran)*'Calculs 3D'!$E$31)),0)</f>
        <v>-0.27670562773127388</v>
      </c>
      <c r="S185" s="105">
        <f>IF(Body7Actif=TRUE,((((($B185*$R$4)+'Calculs 3D'!$C$12-OffsetX)/Ecran)*'Calculs 3D'!$C$32)+(((($C185*$R$4)+'Calculs 3D'!$D$12-OffsetY)/Ecran)*'Calculs 3D'!$D$32)+(((($D185*$R$4)+'Calculs 3D'!$E$12-OffsetZ)/Ecran)*'Calculs 3D'!$E$32)),0)</f>
        <v>5.2604385398646911E-2</v>
      </c>
      <c r="T185" s="105">
        <f>IF(Body8Actif=TRUE,((((($B185*$T$4)+'Calculs 3D'!$C$13-OffsetX)/Ecran)*'Calculs 3D'!$C$31)+(((($C185*$T$4)+'Calculs 3D'!$D$13-OffsetY)/Ecran)*'Calculs 3D'!$D$31)+(((($D185*$T$4)+'Calculs 3D'!$E$13-OffsetZ)/Ecran)*'Calculs 3D'!$E$31)),0)</f>
        <v>0.1696252606968669</v>
      </c>
      <c r="U185" s="105">
        <f>IF(Body8Actif=TRUE,((((($B185*$T$4)+'Calculs 3D'!$C$13-OffsetX)/Ecran)*'Calculs 3D'!$C$32)+(((($C185*$T$4)+'Calculs 3D'!$D$13-OffsetY)/Ecran)*'Calculs 3D'!$D$32)+(((($D185*$T$4)+'Calculs 3D'!$E$13-OffsetZ)/Ecran)*'Calculs 3D'!$E$32)),0)</f>
        <v>-0.13408372241209529</v>
      </c>
      <c r="V185" s="105">
        <f>IF(Body9Actif=TRUE,((((($B185*$V$4)+'Calculs 3D'!$C$14-OffsetX)/Ecran)*'Calculs 3D'!$C$31)+(((($C185*$V$4)+'Calculs 3D'!$D$14-OffsetY)/Ecran)*'Calculs 3D'!$D$31)+(((($D185*$V$4)+'Calculs 3D'!$E$14-OffsetZ)/Ecran)*'Calculs 3D'!$E$31)),0)</f>
        <v>-0.17564082733573333</v>
      </c>
      <c r="W185" s="105">
        <f>IF(Body9Actif=TRUE,((((($B185*$V$4)+'Calculs 3D'!$C$14-OffsetX)/Ecran)*'Calculs 3D'!$C$32)+(((($C185*$V$4)+'Calculs 3D'!$D$14-OffsetY)/Ecran)*'Calculs 3D'!$D$32)+(((($D185*$V$4)+'Calculs 3D'!$E$14-OffsetZ)/Ecran)*'Calculs 3D'!$E$32)),0)</f>
        <v>0.2837990433634201</v>
      </c>
      <c r="X185" s="105">
        <f>IF(Body10Actif=TRUE,((((($B185*$X$4)+'Calculs 3D'!$C$15-OffsetX)/Ecran)*'Calculs 3D'!$C$31)+(((($C185*$X$4)+'Calculs 3D'!$D$15-OffsetY)/Ecran)*'Calculs 3D'!$D$31)+(((($D185*$X$4)+'Calculs 3D'!$E$15-OffsetZ)/Ecran)*'Calculs 3D'!$E$31)),0)</f>
        <v>-1.2396269391288905E-2</v>
      </c>
      <c r="Y185" s="105">
        <f>IF(Body10Actif=TRUE,((((($B185*$X$4)+'Calculs 3D'!$C$15-OffsetX)/Ecran)*'Calculs 3D'!$C$32)+(((($C185*$X$4)+'Calculs 3D'!$D$15-OffsetY)/Ecran)*'Calculs 3D'!$D$32)+(((($D185*$X$4)+'Calculs 3D'!$E$15-OffsetZ)/Ecran)*'Calculs 3D'!$E$32)),0)</f>
        <v>0.28518667697633193</v>
      </c>
    </row>
    <row r="186" spans="2:25" x14ac:dyDescent="0.3">
      <c r="B186" s="102">
        <v>9.2705098312484246E-2</v>
      </c>
      <c r="C186" s="102">
        <v>0.28531695488854608</v>
      </c>
      <c r="D186" s="102">
        <v>-0.95</v>
      </c>
      <c r="F186" s="105">
        <f>IF(Body1Actif=TRUE,((((($B186*$F$4)+'Calculs 3D'!$C$6-OffsetX)/Ecran)*'Calculs 3D'!$C$31)+(((($C186*$F$4)+'Calculs 3D'!$D$6-OffsetY)/Ecran)*'Calculs 3D'!$D$31)+(((($D186*$F$4)+'Calculs 3D'!$E$6-OffsetZ)/Ecran)*'Calculs 3D'!$E$31)),0)</f>
        <v>5.1495835776183989E-2</v>
      </c>
      <c r="G186" s="105">
        <f>IF(Body1Actif=TRUE,((((($B186*$F$4)+'Calculs 3D'!$C$6-OffsetX)/Ecran)*'Calculs 3D'!$C$32)+(((($C186*$F$4)+'Calculs 3D'!$D$6-OffsetY)/Ecran)*'Calculs 3D'!$D$32)+(((($D186*$F$4)+'Calculs 3D'!$E$6-OffsetZ)/Ecran)*'Calculs 3D'!$E$32)),0)</f>
        <v>0.26153880671747315</v>
      </c>
      <c r="H186" s="105">
        <f>IF(Body2Actif=TRUE,((((($B186*$H$4)+'Calculs 3D'!$C$7-OffsetX)/Ecran)*'Calculs 3D'!$C$31)+(((($C186*$H$4)+'Calculs 3D'!$D$7-OffsetY)/Ecran)*'Calculs 3D'!$D$31)+(((($D186*$H$4)+'Calculs 3D'!$E$7-OffsetZ)/Ecran)*'Calculs 3D'!$E$31)),0)</f>
        <v>2.8821213823222752E-2</v>
      </c>
      <c r="I186" s="105">
        <f>IF(Body2Actif=TRUE,((((($B186*$H$4)+'Calculs 3D'!$C$7-OffsetX)/Ecran)*'Calculs 3D'!$C$32)+(((($C186*$H$4)+'Calculs 3D'!$D$7-OffsetY)/Ecran)*'Calculs 3D'!$D$32)+(((($D186*$H$4)+'Calculs 3D'!$E$7-OffsetZ)/Ecran)*'Calculs 3D'!$E$32)),0)</f>
        <v>2.1260311059161971E-2</v>
      </c>
      <c r="J186" s="105">
        <f>IF(Body3Actif=TRUE,((((($B186*$J$4)+'Calculs 3D'!$C$8-OffsetX)/Ecran)*'Calculs 3D'!$C$31)+(((($C186*$J$4)+'Calculs 3D'!$D$8-OffsetY)/Ecran)*'Calculs 3D'!$D$31)+(((($D186*$J$4)+'Calculs 3D'!$E$8-OffsetZ)/Ecran)*'Calculs 3D'!$E$31)),0)</f>
        <v>0.22024796754235243</v>
      </c>
      <c r="K186" s="105">
        <f>IF(Body3Actif=TRUE,((((($B186*$J$4)+'Calculs 3D'!$C$8-OffsetX)/Ecran)*'Calculs 3D'!$C$32)+(((($C186*$J$4)+'Calculs 3D'!$D$8-OffsetY)/Ecran)*'Calculs 3D'!$D$32)+(((($D186*$J$4)+'Calculs 3D'!$E$8-OffsetZ)/Ecran)*'Calculs 3D'!$E$32)),0)</f>
        <v>-8.4893546890853488E-2</v>
      </c>
      <c r="L186" s="105">
        <f>IF(Body4Actif=TRUE,((((($B186*$L$4)+'Calculs 3D'!$C$9-OffsetX)/Ecran)*'Calculs 3D'!$C$31)+(((($C186*$L$4)+'Calculs 3D'!$D$9-OffsetY)/Ecran)*'Calculs 3D'!$D$31)+(((($D186*$L$4)+'Calculs 3D'!$E$9-OffsetZ)/Ecran)*'Calculs 3D'!$E$31)),0)</f>
        <v>-9.246121442018182E-2</v>
      </c>
      <c r="M186" s="105">
        <f>IF(Body4Actif=TRUE,((((($B186*$L$4)+'Calculs 3D'!$C$9-OffsetX)/Ecran)*'Calculs 3D'!$C$32)+(((($C186*$L$4)+'Calculs 3D'!$D$9-OffsetY)/Ecran)*'Calculs 3D'!$D$32)+(((($D186*$L$4)+'Calculs 3D'!$E$9-OffsetZ)/Ecran)*'Calculs 3D'!$E$32)),0)</f>
        <v>-0.17734519392356493</v>
      </c>
      <c r="N186" s="105">
        <f>IF(Body5Actif=TRUE,((((($B186*$N$4)+'Calculs 3D'!$C$10-OffsetX)/Ecran)*'Calculs 3D'!$C$31)+(((($C186*$N$4)+'Calculs 3D'!$D$10-OffsetY)/Ecran)*'Calculs 3D'!$D$31)+(((($D186*$N$4)+'Calculs 3D'!$E$10-OffsetZ)/Ecran)*'Calculs 3D'!$E$31)),0)</f>
        <v>3.2128681547562675E-3</v>
      </c>
      <c r="O186" s="105">
        <f>IF(Body5Actif=TRUE,((((($B186*$N$4)+'Calculs 3D'!$C$10-OffsetX)/Ecran)*'Calculs 3D'!$C$32)+(((($C186*$N$4)+'Calculs 3D'!$D$10-OffsetY)/Ecran)*'Calculs 3D'!$D$32)+(((($D186*$N$4)+'Calculs 3D'!$E$10-OffsetZ)/Ecran)*'Calculs 3D'!$E$32)),0)</f>
        <v>-1.1172315078316924E-2</v>
      </c>
      <c r="P186" s="105">
        <f>IF(Body6Actif=TRUE,((((($B186*$P$4)+'Calculs 3D'!$C$11-OffsetX)/Ecran)*'Calculs 3D'!$C$31)+(((($C186*$P$4)+'Calculs 3D'!$D$11-OffsetY)/Ecran)*'Calculs 3D'!$D$31)+(((($D186*$P$4)+'Calculs 3D'!$E$11-OffsetZ)/Ecran)*'Calculs 3D'!$E$31)),0)</f>
        <v>0.17409262229123268</v>
      </c>
      <c r="Q186" s="105">
        <f>IF(Body6Actif=TRUE,((((($B186*$P$4)+'Calculs 3D'!$C$11-OffsetX)/Ecran)*'Calculs 3D'!$C$32)+(((($C186*$P$4)+'Calculs 3D'!$D$11-OffsetY)/Ecran)*'Calculs 3D'!$D$32)+(((($D186*$P$4)+'Calculs 3D'!$E$11-OffsetZ)/Ecran)*'Calculs 3D'!$E$32)),0)</f>
        <v>0.12408165882991019</v>
      </c>
      <c r="R186" s="105">
        <f>IF(Body7Actif=TRUE,((((($B186*$R$4)+'Calculs 3D'!$C$12-OffsetX)/Ecran)*'Calculs 3D'!$C$31)+(((($C186*$R$4)+'Calculs 3D'!$D$12-OffsetY)/Ecran)*'Calculs 3D'!$D$31)+(((($D186*$R$4)+'Calculs 3D'!$E$12-OffsetZ)/Ecran)*'Calculs 3D'!$E$31)),0)</f>
        <v>-0.27730791415792921</v>
      </c>
      <c r="S186" s="105">
        <f>IF(Body7Actif=TRUE,((((($B186*$R$4)+'Calculs 3D'!$C$12-OffsetX)/Ecran)*'Calculs 3D'!$C$32)+(((($C186*$R$4)+'Calculs 3D'!$D$12-OffsetY)/Ecran)*'Calculs 3D'!$D$32)+(((($D186*$R$4)+'Calculs 3D'!$E$12-OffsetZ)/Ecran)*'Calculs 3D'!$E$32)),0)</f>
        <v>5.333213030397245E-2</v>
      </c>
      <c r="T186" s="105">
        <f>IF(Body8Actif=TRUE,((((($B186*$T$4)+'Calculs 3D'!$C$13-OffsetX)/Ecran)*'Calculs 3D'!$C$31)+(((($C186*$T$4)+'Calculs 3D'!$D$13-OffsetY)/Ecran)*'Calculs 3D'!$D$31)+(((($D186*$T$4)+'Calculs 3D'!$E$13-OffsetZ)/Ecran)*'Calculs 3D'!$E$31)),0)</f>
        <v>0.16940803978213748</v>
      </c>
      <c r="U186" s="105">
        <f>IF(Body8Actif=TRUE,((((($B186*$T$4)+'Calculs 3D'!$C$13-OffsetX)/Ecran)*'Calculs 3D'!$C$32)+(((($C186*$T$4)+'Calculs 3D'!$D$13-OffsetY)/Ecran)*'Calculs 3D'!$D$32)+(((($D186*$T$4)+'Calculs 3D'!$E$13-OffsetZ)/Ecran)*'Calculs 3D'!$E$32)),0)</f>
        <v>-0.1338212535816049</v>
      </c>
      <c r="V186" s="105">
        <f>IF(Body9Actif=TRUE,((((($B186*$V$4)+'Calculs 3D'!$C$14-OffsetX)/Ecran)*'Calculs 3D'!$C$31)+(((($C186*$V$4)+'Calculs 3D'!$D$14-OffsetY)/Ecran)*'Calculs 3D'!$D$31)+(((($D186*$V$4)+'Calculs 3D'!$E$14-OffsetZ)/Ecran)*'Calculs 3D'!$E$31)),0)</f>
        <v>-0.17594222481763677</v>
      </c>
      <c r="W186" s="105">
        <f>IF(Body9Actif=TRUE,((((($B186*$V$4)+'Calculs 3D'!$C$14-OffsetX)/Ecran)*'Calculs 3D'!$C$32)+(((($C186*$V$4)+'Calculs 3D'!$D$14-OffsetY)/Ecran)*'Calculs 3D'!$D$32)+(((($D186*$V$4)+'Calculs 3D'!$E$14-OffsetZ)/Ecran)*'Calculs 3D'!$E$32)),0)</f>
        <v>0.2841632230497384</v>
      </c>
      <c r="X186" s="105">
        <f>IF(Body10Actif=TRUE,((((($B186*$X$4)+'Calculs 3D'!$C$15-OffsetX)/Ecran)*'Calculs 3D'!$C$31)+(((($C186*$X$4)+'Calculs 3D'!$D$15-OffsetY)/Ecran)*'Calculs 3D'!$D$31)+(((($D186*$X$4)+'Calculs 3D'!$E$15-OffsetZ)/Ecran)*'Calculs 3D'!$E$31)),0)</f>
        <v>-1.2851215054942328E-2</v>
      </c>
      <c r="Y186" s="105">
        <f>IF(Body10Actif=TRUE,((((($B186*$X$4)+'Calculs 3D'!$C$15-OffsetX)/Ecran)*'Calculs 3D'!$C$32)+(((($C186*$X$4)+'Calculs 3D'!$D$15-OffsetY)/Ecran)*'Calculs 3D'!$D$32)+(((($D186*$X$4)+'Calculs 3D'!$E$15-OffsetZ)/Ecran)*'Calculs 3D'!$E$32)),0)</f>
        <v>0.28573638949561003</v>
      </c>
    </row>
    <row r="187" spans="2:25" x14ac:dyDescent="0.3">
      <c r="B187" s="102">
        <v>1.8377226823629303E-17</v>
      </c>
      <c r="C187" s="102">
        <v>0.30000000000000004</v>
      </c>
      <c r="D187" s="102">
        <v>-0.95</v>
      </c>
      <c r="F187" s="105">
        <f>IF(Body1Actif=TRUE,((((($B187*$F$4)+'Calculs 3D'!$C$6-OffsetX)/Ecran)*'Calculs 3D'!$C$31)+(((($C187*$F$4)+'Calculs 3D'!$D$6-OffsetY)/Ecran)*'Calculs 3D'!$D$31)+(((($D187*$F$4)+'Calculs 3D'!$E$6-OffsetZ)/Ecran)*'Calculs 3D'!$E$31)),0)</f>
        <v>5.1245168105431317E-2</v>
      </c>
      <c r="G187" s="105">
        <f>IF(Body1Actif=TRUE,((((($B187*$F$4)+'Calculs 3D'!$C$6-OffsetX)/Ecran)*'Calculs 3D'!$C$32)+(((($C187*$F$4)+'Calculs 3D'!$D$6-OffsetY)/Ecran)*'Calculs 3D'!$D$32)+(((($D187*$F$4)+'Calculs 3D'!$E$6-OffsetZ)/Ecran)*'Calculs 3D'!$E$32)),0)</f>
        <v>0.26169313314546516</v>
      </c>
      <c r="H187" s="105">
        <f>IF(Body2Actif=TRUE,((((($B187*$H$4)+'Calculs 3D'!$C$7-OffsetX)/Ecran)*'Calculs 3D'!$C$31)+(((($C187*$H$4)+'Calculs 3D'!$D$7-OffsetY)/Ecran)*'Calculs 3D'!$D$31)+(((($D187*$H$4)+'Calculs 3D'!$E$7-OffsetZ)/Ecran)*'Calculs 3D'!$E$31)),0)</f>
        <v>2.784414221471216E-2</v>
      </c>
      <c r="I187" s="105">
        <f>IF(Body2Actif=TRUE,((((($B187*$H$4)+'Calculs 3D'!$C$7-OffsetX)/Ecran)*'Calculs 3D'!$C$32)+(((($C187*$H$4)+'Calculs 3D'!$D$7-OffsetY)/Ecran)*'Calculs 3D'!$D$32)+(((($D187*$H$4)+'Calculs 3D'!$E$7-OffsetZ)/Ecran)*'Calculs 3D'!$E$32)),0)</f>
        <v>2.1861856407156419E-2</v>
      </c>
      <c r="J187" s="105">
        <f>IF(Body3Actif=TRUE,((((($B187*$J$4)+'Calculs 3D'!$C$8-OffsetX)/Ecran)*'Calculs 3D'!$C$31)+(((($C187*$J$4)+'Calculs 3D'!$D$8-OffsetY)/Ecran)*'Calculs 3D'!$D$31)+(((($D187*$J$4)+'Calculs 3D'!$E$8-OffsetZ)/Ecran)*'Calculs 3D'!$E$31)),0)</f>
        <v>0.21981373521521982</v>
      </c>
      <c r="K187" s="105">
        <f>IF(Body3Actif=TRUE,((((($B187*$J$4)+'Calculs 3D'!$C$8-OffsetX)/Ecran)*'Calculs 3D'!$C$32)+(((($C187*$J$4)+'Calculs 3D'!$D$8-OffsetY)/Ecran)*'Calculs 3D'!$D$32)+(((($D187*$J$4)+'Calculs 3D'!$E$8-OffsetZ)/Ecran)*'Calculs 3D'!$E$32)),0)</f>
        <v>-8.4626206775696933E-2</v>
      </c>
      <c r="L187" s="105">
        <f>IF(Body4Actif=TRUE,((((($B187*$L$4)+'Calculs 3D'!$C$9-OffsetX)/Ecran)*'Calculs 3D'!$C$31)+(((($C187*$L$4)+'Calculs 3D'!$D$9-OffsetY)/Ecran)*'Calculs 3D'!$D$31)+(((($D187*$L$4)+'Calculs 3D'!$E$9-OffsetZ)/Ecran)*'Calculs 3D'!$E$31)),0)</f>
        <v>-9.3025843498438177E-2</v>
      </c>
      <c r="M187" s="105">
        <f>IF(Body4Actif=TRUE,((((($B187*$L$4)+'Calculs 3D'!$C$9-OffsetX)/Ecran)*'Calculs 3D'!$C$32)+(((($C187*$L$4)+'Calculs 3D'!$D$9-OffsetY)/Ecran)*'Calculs 3D'!$D$32)+(((($D187*$L$4)+'Calculs 3D'!$E$9-OffsetZ)/Ecran)*'Calculs 3D'!$E$32)),0)</f>
        <v>-0.17699757355223386</v>
      </c>
      <c r="N187" s="105">
        <f>IF(Body5Actif=TRUE,((((($B187*$N$4)+'Calculs 3D'!$C$10-OffsetX)/Ecran)*'Calculs 3D'!$C$31)+(((($C187*$N$4)+'Calculs 3D'!$D$10-OffsetY)/Ecran)*'Calculs 3D'!$D$31)+(((($D187*$N$4)+'Calculs 3D'!$E$10-OffsetZ)/Ecran)*'Calculs 3D'!$E$31)),0)</f>
        <v>2.5682922274579915E-3</v>
      </c>
      <c r="O187" s="105">
        <f>IF(Body5Actif=TRUE,((((($B187*$N$4)+'Calculs 3D'!$C$10-OffsetX)/Ecran)*'Calculs 3D'!$C$32)+(((($C187*$N$4)+'Calculs 3D'!$D$10-OffsetY)/Ecran)*'Calculs 3D'!$D$32)+(((($D187*$N$4)+'Calculs 3D'!$E$10-OffsetZ)/Ecran)*'Calculs 3D'!$E$32)),0)</f>
        <v>-1.0775474511957064E-2</v>
      </c>
      <c r="P187" s="105">
        <f>IF(Body6Actif=TRUE,((((($B187*$P$4)+'Calculs 3D'!$C$11-OffsetX)/Ecran)*'Calculs 3D'!$C$31)+(((($C187*$P$4)+'Calculs 3D'!$D$11-OffsetY)/Ecran)*'Calculs 3D'!$D$31)+(((($D187*$P$4)+'Calculs 3D'!$E$11-OffsetZ)/Ecran)*'Calculs 3D'!$E$31)),0)</f>
        <v>0.17315852173118643</v>
      </c>
      <c r="Q187" s="105">
        <f>IF(Body6Actif=TRUE,((((($B187*$P$4)+'Calculs 3D'!$C$11-OffsetX)/Ecran)*'Calculs 3D'!$C$32)+(((($C187*$P$4)+'Calculs 3D'!$D$11-OffsetY)/Ecran)*'Calculs 3D'!$D$32)+(((($D187*$P$4)+'Calculs 3D'!$E$11-OffsetZ)/Ecran)*'Calculs 3D'!$E$32)),0)</f>
        <v>0.12465674855881077</v>
      </c>
      <c r="R187" s="105">
        <f>IF(Body7Actif=TRUE,((((($B187*$R$4)+'Calculs 3D'!$C$12-OffsetX)/Ecran)*'Calculs 3D'!$C$31)+(((($C187*$R$4)+'Calculs 3D'!$D$12-OffsetY)/Ecran)*'Calculs 3D'!$D$31)+(((($D187*$R$4)+'Calculs 3D'!$E$12-OffsetZ)/Ecran)*'Calculs 3D'!$E$31)),0)</f>
        <v>-0.27824599726043681</v>
      </c>
      <c r="S187" s="105">
        <f>IF(Body7Actif=TRUE,((((($B187*$R$4)+'Calculs 3D'!$C$12-OffsetX)/Ecran)*'Calculs 3D'!$C$32)+(((($C187*$R$4)+'Calculs 3D'!$D$12-OffsetY)/Ecran)*'Calculs 3D'!$D$32)+(((($D187*$R$4)+'Calculs 3D'!$E$12-OffsetZ)/Ecran)*'Calculs 3D'!$E$32)),0)</f>
        <v>5.3909671930840342E-2</v>
      </c>
      <c r="T187" s="105">
        <f>IF(Body8Actif=TRUE,((((($B187*$T$4)+'Calculs 3D'!$C$13-OffsetX)/Ecran)*'Calculs 3D'!$C$31)+(((($C187*$T$4)+'Calculs 3D'!$D$13-OffsetY)/Ecran)*'Calculs 3D'!$D$31)+(((($D187*$T$4)+'Calculs 3D'!$E$13-OffsetZ)/Ecran)*'Calculs 3D'!$E$31)),0)</f>
        <v>0.16906971027544337</v>
      </c>
      <c r="U187" s="105">
        <f>IF(Body8Actif=TRUE,((((($B187*$T$4)+'Calculs 3D'!$C$13-OffsetX)/Ecran)*'Calculs 3D'!$C$32)+(((($C187*$T$4)+'Calculs 3D'!$D$13-OffsetY)/Ecran)*'Calculs 3D'!$D$32)+(((($D187*$T$4)+'Calculs 3D'!$E$13-OffsetZ)/Ecran)*'Calculs 3D'!$E$32)),0)</f>
        <v>-0.13361295713836741</v>
      </c>
      <c r="V187" s="105">
        <f>IF(Body9Actif=TRUE,((((($B187*$V$4)+'Calculs 3D'!$C$14-OffsetX)/Ecran)*'Calculs 3D'!$C$31)+(((($C187*$V$4)+'Calculs 3D'!$D$14-OffsetY)/Ecran)*'Calculs 3D'!$D$31)+(((($D187*$V$4)+'Calculs 3D'!$E$14-OffsetZ)/Ecran)*'Calculs 3D'!$E$31)),0)</f>
        <v>-0.17641166240148201</v>
      </c>
      <c r="W187" s="105">
        <f>IF(Body9Actif=TRUE,((((($B187*$V$4)+'Calculs 3D'!$C$14-OffsetX)/Ecran)*'Calculs 3D'!$C$32)+(((($C187*$V$4)+'Calculs 3D'!$D$14-OffsetY)/Ecran)*'Calculs 3D'!$D$32)+(((($D187*$V$4)+'Calculs 3D'!$E$14-OffsetZ)/Ecran)*'Calculs 3D'!$E$32)),0)</f>
        <v>0.28445223768518191</v>
      </c>
      <c r="X187" s="105">
        <f>IF(Body10Actif=TRUE,((((($B187*$X$4)+'Calculs 3D'!$C$15-OffsetX)/Ecran)*'Calculs 3D'!$C$31)+(((($C187*$X$4)+'Calculs 3D'!$D$15-OffsetY)/Ecran)*'Calculs 3D'!$D$31)+(((($D187*$X$4)+'Calculs 3D'!$E$15-OffsetZ)/Ecran)*'Calculs 3D'!$E$31)),0)</f>
        <v>-1.3559809538803397E-2</v>
      </c>
      <c r="Y187" s="105">
        <f>IF(Body10Actif=TRUE,((((($B187*$X$4)+'Calculs 3D'!$C$15-OffsetX)/Ecran)*'Calculs 3D'!$C$32)+(((($C187*$X$4)+'Calculs 3D'!$D$15-OffsetY)/Ecran)*'Calculs 3D'!$D$32)+(((($D187*$X$4)+'Calculs 3D'!$E$15-OffsetZ)/Ecran)*'Calculs 3D'!$E$32)),0)</f>
        <v>0.28617264382095153</v>
      </c>
    </row>
    <row r="188" spans="2:25" x14ac:dyDescent="0.3">
      <c r="B188" s="102">
        <v>-9.2705098312484219E-2</v>
      </c>
      <c r="C188" s="102">
        <v>0.28531695488854614</v>
      </c>
      <c r="D188" s="102">
        <v>-0.95</v>
      </c>
      <c r="F188" s="105">
        <f>IF(Body1Actif=TRUE,((((($B188*$F$4)+'Calculs 3D'!$C$6-OffsetX)/Ecran)*'Calculs 3D'!$C$31)+(((($C188*$F$4)+'Calculs 3D'!$D$6-OffsetY)/Ecran)*'Calculs 3D'!$D$31)+(((($D188*$F$4)+'Calculs 3D'!$E$6-OffsetZ)/Ecran)*'Calculs 3D'!$E$31)),0)</f>
        <v>5.0929308413534512E-2</v>
      </c>
      <c r="G188" s="105">
        <f>IF(Body1Actif=TRUE,((((($B188*$F$4)+'Calculs 3D'!$C$6-OffsetX)/Ecran)*'Calculs 3D'!$C$32)+(((($C188*$F$4)+'Calculs 3D'!$D$6-OffsetY)/Ecran)*'Calculs 3D'!$D$32)+(((($D188*$F$4)+'Calculs 3D'!$E$6-OffsetZ)/Ecran)*'Calculs 3D'!$E$32)),0)</f>
        <v>0.26179221681151288</v>
      </c>
      <c r="H188" s="105">
        <f>IF(Body2Actif=TRUE,((((($B188*$H$4)+'Calculs 3D'!$C$7-OffsetX)/Ecran)*'Calculs 3D'!$C$31)+(((($C188*$H$4)+'Calculs 3D'!$D$7-OffsetY)/Ecran)*'Calculs 3D'!$D$31)+(((($D188*$H$4)+'Calculs 3D'!$E$7-OffsetZ)/Ecran)*'Calculs 3D'!$E$31)),0)</f>
        <v>2.6612960162800139E-2</v>
      </c>
      <c r="I188" s="105">
        <f>IF(Body2Actif=TRUE,((((($B188*$H$4)+'Calculs 3D'!$C$7-OffsetX)/Ecran)*'Calculs 3D'!$C$32)+(((($C188*$H$4)+'Calculs 3D'!$D$7-OffsetY)/Ecran)*'Calculs 3D'!$D$32)+(((($D188*$H$4)+'Calculs 3D'!$E$7-OffsetZ)/Ecran)*'Calculs 3D'!$E$32)),0)</f>
        <v>2.2248072294796094E-2</v>
      </c>
      <c r="J188" s="105">
        <f>IF(Body3Actif=TRUE,((((($B188*$J$4)+'Calculs 3D'!$C$8-OffsetX)/Ecran)*'Calculs 3D'!$C$31)+(((($C188*$J$4)+'Calculs 3D'!$D$8-OffsetY)/Ecran)*'Calculs 3D'!$D$31)+(((($D188*$J$4)+'Calculs 3D'!$E$8-OffsetZ)/Ecran)*'Calculs 3D'!$E$31)),0)</f>
        <v>0.2192665705623234</v>
      </c>
      <c r="K188" s="105">
        <f>IF(Body3Actif=TRUE,((((($B188*$J$4)+'Calculs 3D'!$C$8-OffsetX)/Ecran)*'Calculs 3D'!$C$32)+(((($C188*$J$4)+'Calculs 3D'!$D$8-OffsetY)/Ecran)*'Calculs 3D'!$D$32)+(((($D188*$J$4)+'Calculs 3D'!$E$8-OffsetZ)/Ecran)*'Calculs 3D'!$E$32)),0)</f>
        <v>-8.445456385597172E-2</v>
      </c>
      <c r="L188" s="105">
        <f>IF(Body4Actif=TRUE,((((($B188*$L$4)+'Calculs 3D'!$C$9-OffsetX)/Ecran)*'Calculs 3D'!$C$31)+(((($C188*$L$4)+'Calculs 3D'!$D$9-OffsetY)/Ecran)*'Calculs 3D'!$D$31)+(((($D188*$L$4)+'Calculs 3D'!$E$9-OffsetZ)/Ecran)*'Calculs 3D'!$E$31)),0)</f>
        <v>-9.3737317643303092E-2</v>
      </c>
      <c r="M188" s="105">
        <f>IF(Body4Actif=TRUE,((((($B188*$L$4)+'Calculs 3D'!$C$9-OffsetX)/Ecran)*'Calculs 3D'!$C$32)+(((($C188*$L$4)+'Calculs 3D'!$D$9-OffsetY)/Ecran)*'Calculs 3D'!$D$32)+(((($D188*$L$4)+'Calculs 3D'!$E$9-OffsetZ)/Ecran)*'Calculs 3D'!$E$32)),0)</f>
        <v>-0.17677438753521471</v>
      </c>
      <c r="N188" s="105">
        <f>IF(Body5Actif=TRUE,((((($B188*$N$4)+'Calculs 3D'!$C$10-OffsetX)/Ecran)*'Calculs 3D'!$C$31)+(((($C188*$N$4)+'Calculs 3D'!$D$10-OffsetY)/Ecran)*'Calculs 3D'!$D$31)+(((($D188*$N$4)+'Calculs 3D'!$E$10-OffsetZ)/Ecran)*'Calculs 3D'!$E$31)),0)</f>
        <v>1.7560791758538209E-3</v>
      </c>
      <c r="O188" s="105">
        <f>IF(Body5Actif=TRUE,((((($B188*$N$4)+'Calculs 3D'!$C$10-OffsetX)/Ecran)*'Calculs 3D'!$C$32)+(((($C188*$N$4)+'Calculs 3D'!$D$10-OffsetY)/Ecran)*'Calculs 3D'!$D$32)+(((($D188*$N$4)+'Calculs 3D'!$E$10-OffsetZ)/Ecran)*'Calculs 3D'!$E$32)),0)</f>
        <v>-1.0520687184452836E-2</v>
      </c>
      <c r="P188" s="105">
        <f>IF(Body6Actif=TRUE,((((($B188*$P$4)+'Calculs 3D'!$C$11-OffsetX)/Ecran)*'Calculs 3D'!$C$31)+(((($C188*$P$4)+'Calculs 3D'!$D$11-OffsetY)/Ecran)*'Calculs 3D'!$D$31)+(((($D188*$P$4)+'Calculs 3D'!$E$11-OffsetZ)/Ecran)*'Calculs 3D'!$E$31)),0)</f>
        <v>0.17198148635917004</v>
      </c>
      <c r="Q188" s="105">
        <f>IF(Body6Actif=TRUE,((((($B188*$P$4)+'Calculs 3D'!$C$11-OffsetX)/Ecran)*'Calculs 3D'!$C$32)+(((($C188*$P$4)+'Calculs 3D'!$D$11-OffsetY)/Ecran)*'Calculs 3D'!$D$32)+(((($D188*$P$4)+'Calculs 3D'!$E$11-OffsetZ)/Ecran)*'Calculs 3D'!$E$32)),0)</f>
        <v>0.12502597889341535</v>
      </c>
      <c r="R188" s="105">
        <f>IF(Body7Actif=TRUE,((((($B188*$R$4)+'Calculs 3D'!$C$12-OffsetX)/Ecran)*'Calculs 3D'!$C$31)+(((($C188*$R$4)+'Calculs 3D'!$D$12-OffsetY)/Ecran)*'Calculs 3D'!$D$31)+(((($D188*$R$4)+'Calculs 3D'!$E$12-OffsetZ)/Ecran)*'Calculs 3D'!$E$31)),0)</f>
        <v>-0.27942805092871387</v>
      </c>
      <c r="S188" s="105">
        <f>IF(Body7Actif=TRUE,((((($B188*$R$4)+'Calculs 3D'!$C$12-OffsetX)/Ecran)*'Calculs 3D'!$C$32)+(((($C188*$R$4)+'Calculs 3D'!$D$12-OffsetY)/Ecran)*'Calculs 3D'!$D$32)+(((($D188*$R$4)+'Calculs 3D'!$E$12-OffsetZ)/Ecran)*'Calculs 3D'!$E$32)),0)</f>
        <v>5.4280476480843609E-2</v>
      </c>
      <c r="T188" s="105">
        <f>IF(Body8Actif=TRUE,((((($B188*$T$4)+'Calculs 3D'!$C$13-OffsetX)/Ecran)*'Calculs 3D'!$C$31)+(((($C188*$T$4)+'Calculs 3D'!$D$13-OffsetY)/Ecran)*'Calculs 3D'!$D$31)+(((($D188*$T$4)+'Calculs 3D'!$E$13-OffsetZ)/Ecran)*'Calculs 3D'!$E$31)),0)</f>
        <v>0.16864339022618</v>
      </c>
      <c r="U188" s="105">
        <f>IF(Body8Actif=TRUE,((((($B188*$T$4)+'Calculs 3D'!$C$13-OffsetX)/Ecran)*'Calculs 3D'!$C$32)+(((($C188*$T$4)+'Calculs 3D'!$D$13-OffsetY)/Ecran)*'Calculs 3D'!$D$32)+(((($D188*$T$4)+'Calculs 3D'!$E$13-OffsetZ)/Ecran)*'Calculs 3D'!$E$32)),0)</f>
        <v>-0.13347922258953351</v>
      </c>
      <c r="V188" s="105">
        <f>IF(Body9Actif=TRUE,((((($B188*$V$4)+'Calculs 3D'!$C$14-OffsetX)/Ecran)*'Calculs 3D'!$C$31)+(((($C188*$V$4)+'Calculs 3D'!$D$14-OffsetY)/Ecran)*'Calculs 3D'!$D$31)+(((($D188*$V$4)+'Calculs 3D'!$E$14-OffsetZ)/Ecran)*'Calculs 3D'!$E$31)),0)</f>
        <v>-0.17700318826579847</v>
      </c>
      <c r="W188" s="105">
        <f>IF(Body9Actif=TRUE,((((($B188*$V$4)+'Calculs 3D'!$C$14-OffsetX)/Ecran)*'Calculs 3D'!$C$32)+(((($C188*$V$4)+'Calculs 3D'!$D$14-OffsetY)/Ecran)*'Calculs 3D'!$D$32)+(((($D188*$V$4)+'Calculs 3D'!$E$14-OffsetZ)/Ecran)*'Calculs 3D'!$E$32)),0)</f>
        <v>0.28463779650355003</v>
      </c>
      <c r="X188" s="105">
        <f>IF(Body10Actif=TRUE,((((($B188*$X$4)+'Calculs 3D'!$C$15-OffsetX)/Ecran)*'Calculs 3D'!$C$31)+(((($C188*$X$4)+'Calculs 3D'!$D$15-OffsetY)/Ecran)*'Calculs 3D'!$D$31)+(((($D188*$X$4)+'Calculs 3D'!$E$15-OffsetZ)/Ecran)*'Calculs 3D'!$E$31)),0)</f>
        <v>-1.4452690677723673E-2</v>
      </c>
      <c r="Y188" s="105">
        <f>IF(Body10Actif=TRUE,((((($B188*$X$4)+'Calculs 3D'!$C$15-OffsetX)/Ecran)*'Calculs 3D'!$C$32)+(((($C188*$X$4)+'Calculs 3D'!$D$15-OffsetY)/Ecran)*'Calculs 3D'!$D$32)+(((($D188*$X$4)+'Calculs 3D'!$E$15-OffsetZ)/Ecran)*'Calculs 3D'!$E$32)),0)</f>
        <v>0.28645273633942947</v>
      </c>
    </row>
    <row r="189" spans="2:25" x14ac:dyDescent="0.3">
      <c r="B189" s="102">
        <v>-0.17633557568774194</v>
      </c>
      <c r="C189" s="102">
        <v>0.24270509831248427</v>
      </c>
      <c r="D189" s="102">
        <v>-0.95</v>
      </c>
      <c r="F189" s="105">
        <f>IF(Body1Actif=TRUE,((((($B189*$F$4)+'Calculs 3D'!$C$6-OffsetX)/Ecran)*'Calculs 3D'!$C$31)+(((($C189*$F$4)+'Calculs 3D'!$D$6-OffsetY)/Ecran)*'Calculs 3D'!$D$31)+(((($D189*$F$4)+'Calculs 3D'!$E$6-OffsetZ)/Ecran)*'Calculs 3D'!$E$31)),0)</f>
        <v>5.0579175247860271E-2</v>
      </c>
      <c r="G189" s="105">
        <f>IF(Body1Actif=TRUE,((((($B189*$F$4)+'Calculs 3D'!$C$6-OffsetX)/Ecran)*'Calculs 3D'!$C$32)+(((($C189*$F$4)+'Calculs 3D'!$D$6-OffsetY)/Ecran)*'Calculs 3D'!$D$32)+(((($D189*$F$4)+'Calculs 3D'!$E$6-OffsetZ)/Ecran)*'Calculs 3D'!$E$32)),0)</f>
        <v>0.26182635871602689</v>
      </c>
      <c r="H189" s="105">
        <f>IF(Body2Actif=TRUE,((((($B189*$H$4)+'Calculs 3D'!$C$7-OffsetX)/Ecran)*'Calculs 3D'!$C$31)+(((($C189*$H$4)+'Calculs 3D'!$D$7-OffsetY)/Ecran)*'Calculs 3D'!$D$31)+(((($D189*$H$4)+'Calculs 3D'!$E$7-OffsetZ)/Ecran)*'Calculs 3D'!$E$31)),0)</f>
        <v>2.5248184344877592E-2</v>
      </c>
      <c r="I189" s="105">
        <f>IF(Body2Actif=TRUE,((((($B189*$H$4)+'Calculs 3D'!$C$7-OffsetX)/Ecran)*'Calculs 3D'!$C$32)+(((($C189*$H$4)+'Calculs 3D'!$D$7-OffsetY)/Ecran)*'Calculs 3D'!$D$32)+(((($D189*$H$4)+'Calculs 3D'!$E$7-OffsetZ)/Ecran)*'Calculs 3D'!$E$32)),0)</f>
        <v>2.2381153220074515E-2</v>
      </c>
      <c r="J189" s="105">
        <f>IF(Body3Actif=TRUE,((((($B189*$J$4)+'Calculs 3D'!$C$8-OffsetX)/Ecran)*'Calculs 3D'!$C$31)+(((($C189*$J$4)+'Calculs 3D'!$D$8-OffsetY)/Ecran)*'Calculs 3D'!$D$31)+(((($D189*$J$4)+'Calculs 3D'!$E$8-OffsetZ)/Ecran)*'Calculs 3D'!$E$31)),0)</f>
        <v>0.21866003387220898</v>
      </c>
      <c r="K189" s="105">
        <f>IF(Body3Actif=TRUE,((((($B189*$J$4)+'Calculs 3D'!$C$8-OffsetX)/Ecran)*'Calculs 3D'!$C$32)+(((($C189*$J$4)+'Calculs 3D'!$D$8-OffsetY)/Ecran)*'Calculs 3D'!$D$32)+(((($D189*$J$4)+'Calculs 3D'!$E$8-OffsetZ)/Ecran)*'Calculs 3D'!$E$32)),0)</f>
        <v>-8.4395419736567112E-2</v>
      </c>
      <c r="L189" s="105">
        <f>IF(Body4Actif=TRUE,((((($B189*$L$4)+'Calculs 3D'!$C$9-OffsetX)/Ecran)*'Calculs 3D'!$C$31)+(((($C189*$L$4)+'Calculs 3D'!$D$9-OffsetY)/Ecran)*'Calculs 3D'!$D$31)+(((($D189*$L$4)+'Calculs 3D'!$E$9-OffsetZ)/Ecran)*'Calculs 3D'!$E$31)),0)</f>
        <v>-9.4525992808345366E-2</v>
      </c>
      <c r="M189" s="105">
        <f>IF(Body4Actif=TRUE,((((($B189*$L$4)+'Calculs 3D'!$C$9-OffsetX)/Ecran)*'Calculs 3D'!$C$32)+(((($C189*$L$4)+'Calculs 3D'!$D$9-OffsetY)/Ecran)*'Calculs 3D'!$D$32)+(((($D189*$L$4)+'Calculs 3D'!$E$9-OffsetZ)/Ecran)*'Calculs 3D'!$E$32)),0)</f>
        <v>-0.17669748287488179</v>
      </c>
      <c r="N189" s="105">
        <f>IF(Body5Actif=TRUE,((((($B189*$N$4)+'Calculs 3D'!$C$10-OffsetX)/Ecran)*'Calculs 3D'!$C$31)+(((($C189*$N$4)+'Calculs 3D'!$D$10-OffsetY)/Ecran)*'Calculs 3D'!$D$31)+(((($D189*$N$4)+'Calculs 3D'!$E$10-OffsetZ)/Ecran)*'Calculs 3D'!$E$31)),0)</f>
        <v>8.5573407245585417E-4</v>
      </c>
      <c r="O189" s="105">
        <f>IF(Body5Actif=TRUE,((((($B189*$N$4)+'Calculs 3D'!$C$10-OffsetX)/Ecran)*'Calculs 3D'!$C$32)+(((($C189*$N$4)+'Calculs 3D'!$D$10-OffsetY)/Ecran)*'Calculs 3D'!$D$32)+(((($D189*$N$4)+'Calculs 3D'!$E$10-OffsetZ)/Ecran)*'Calculs 3D'!$E$32)),0)</f>
        <v>-1.0432893454628047E-2</v>
      </c>
      <c r="P189" s="105">
        <f>IF(Body6Actif=TRUE,((((($B189*$P$4)+'Calculs 3D'!$C$11-OffsetX)/Ecran)*'Calculs 3D'!$C$31)+(((($C189*$P$4)+'Calculs 3D'!$D$11-OffsetY)/Ecran)*'Calculs 3D'!$D$31)+(((($D189*$P$4)+'Calculs 3D'!$E$11-OffsetZ)/Ecran)*'Calculs 3D'!$E$31)),0)</f>
        <v>0.1706767325982842</v>
      </c>
      <c r="Q189" s="105">
        <f>IF(Body6Actif=TRUE,((((($B189*$P$4)+'Calculs 3D'!$C$11-OffsetX)/Ecran)*'Calculs 3D'!$C$32)+(((($C189*$P$4)+'Calculs 3D'!$D$11-OffsetY)/Ecran)*'Calculs 3D'!$D$32)+(((($D189*$P$4)+'Calculs 3D'!$E$11-OffsetZ)/Ecran)*'Calculs 3D'!$E$32)),0)</f>
        <v>0.12515320699599375</v>
      </c>
      <c r="R189" s="105">
        <f>IF(Body7Actif=TRUE,((((($B189*$R$4)+'Calculs 3D'!$C$12-OffsetX)/Ecran)*'Calculs 3D'!$C$31)+(((($C189*$R$4)+'Calculs 3D'!$D$12-OffsetY)/Ecran)*'Calculs 3D'!$D$31)+(((($D189*$R$4)+'Calculs 3D'!$E$12-OffsetZ)/Ecran)*'Calculs 3D'!$E$31)),0)</f>
        <v>-0.28073836751385717</v>
      </c>
      <c r="S189" s="105">
        <f>IF(Body7Actif=TRUE,((((($B189*$R$4)+'Calculs 3D'!$C$12-OffsetX)/Ecran)*'Calculs 3D'!$C$32)+(((($C189*$R$4)+'Calculs 3D'!$D$12-OffsetY)/Ecran)*'Calculs 3D'!$D$32)+(((($D189*$R$4)+'Calculs 3D'!$E$12-OffsetZ)/Ecran)*'Calculs 3D'!$E$32)),0)</f>
        <v>5.4408247021080727E-2</v>
      </c>
      <c r="T189" s="105">
        <f>IF(Body8Actif=TRUE,((((($B189*$T$4)+'Calculs 3D'!$C$13-OffsetX)/Ecran)*'Calculs 3D'!$C$31)+(((($C189*$T$4)+'Calculs 3D'!$D$13-OffsetY)/Ecran)*'Calculs 3D'!$D$31)+(((($D189*$T$4)+'Calculs 3D'!$E$13-OffsetZ)/Ecran)*'Calculs 3D'!$E$31)),0)</f>
        <v>0.16817081081111579</v>
      </c>
      <c r="U189" s="105">
        <f>IF(Body8Actif=TRUE,((((($B189*$T$4)+'Calculs 3D'!$C$13-OffsetX)/Ecran)*'Calculs 3D'!$C$32)+(((($C189*$T$4)+'Calculs 3D'!$D$13-OffsetY)/Ecran)*'Calculs 3D'!$D$32)+(((($D189*$T$4)+'Calculs 3D'!$E$13-OffsetZ)/Ecran)*'Calculs 3D'!$E$32)),0)</f>
        <v>-0.13343314080452651</v>
      </c>
      <c r="V189" s="105">
        <f>IF(Body9Actif=TRUE,((((($B189*$V$4)+'Calculs 3D'!$C$14-OffsetX)/Ecran)*'Calculs 3D'!$C$31)+(((($C189*$V$4)+'Calculs 3D'!$D$14-OffsetY)/Ecran)*'Calculs 3D'!$D$31)+(((($D189*$V$4)+'Calculs 3D'!$E$14-OffsetZ)/Ecran)*'Calculs 3D'!$E$31)),0)</f>
        <v>-0.17765889973758367</v>
      </c>
      <c r="W189" s="105">
        <f>IF(Body9Actif=TRUE,((((($B189*$V$4)+'Calculs 3D'!$C$14-OffsetX)/Ecran)*'Calculs 3D'!$C$32)+(((($C189*$V$4)+'Calculs 3D'!$D$14-OffsetY)/Ecran)*'Calculs 3D'!$D$32)+(((($D189*$V$4)+'Calculs 3D'!$E$14-OffsetZ)/Ecran)*'Calculs 3D'!$E$32)),0)</f>
        <v>0.28470173571483648</v>
      </c>
      <c r="X189" s="105">
        <f>IF(Body10Actif=TRUE,((((($B189*$X$4)+'Calculs 3D'!$C$15-OffsetX)/Ecran)*'Calculs 3D'!$C$31)+(((($C189*$X$4)+'Calculs 3D'!$D$15-OffsetY)/Ecran)*'Calculs 3D'!$D$31)+(((($D189*$X$4)+'Calculs 3D'!$E$15-OffsetZ)/Ecran)*'Calculs 3D'!$E$31)),0)</f>
        <v>-1.5442457044756913E-2</v>
      </c>
      <c r="Y189" s="105">
        <f>IF(Body10Actif=TRUE,((((($B189*$X$4)+'Calculs 3D'!$C$15-OffsetX)/Ecran)*'Calculs 3D'!$C$32)+(((($C189*$X$4)+'Calculs 3D'!$D$15-OffsetY)/Ecran)*'Calculs 3D'!$D$32)+(((($D189*$X$4)+'Calculs 3D'!$E$15-OffsetZ)/Ecran)*'Calculs 3D'!$E$32)),0)</f>
        <v>0.28654924964381573</v>
      </c>
    </row>
    <row r="190" spans="2:25" x14ac:dyDescent="0.3">
      <c r="B190" s="102">
        <v>-0.24270509831248424</v>
      </c>
      <c r="C190" s="102">
        <v>0.176335575687742</v>
      </c>
      <c r="D190" s="102">
        <v>-0.95</v>
      </c>
      <c r="F190" s="105">
        <f>IF(Body1Actif=TRUE,((((($B190*$F$4)+'Calculs 3D'!$C$6-OffsetX)/Ecran)*'Calculs 3D'!$C$31)+(((($C190*$F$4)+'Calculs 3D'!$D$6-OffsetY)/Ecran)*'Calculs 3D'!$D$31)+(((($D190*$F$4)+'Calculs 3D'!$E$6-OffsetZ)/Ecran)*'Calculs 3D'!$E$31)),0)</f>
        <v>5.0229042082186072E-2</v>
      </c>
      <c r="G190" s="105">
        <f>IF(Body1Actif=TRUE,((((($B190*$F$4)+'Calculs 3D'!$C$6-OffsetX)/Ecran)*'Calculs 3D'!$C$32)+(((($C190*$F$4)+'Calculs 3D'!$D$6-OffsetY)/Ecran)*'Calculs 3D'!$D$32)+(((($D190*$F$4)+'Calculs 3D'!$E$6-OffsetZ)/Ecran)*'Calculs 3D'!$E$32)),0)</f>
        <v>0.26179221681151288</v>
      </c>
      <c r="H190" s="105">
        <f>IF(Body2Actif=TRUE,((((($B190*$H$4)+'Calculs 3D'!$C$7-OffsetX)/Ecran)*'Calculs 3D'!$C$31)+(((($C190*$H$4)+'Calculs 3D'!$D$7-OffsetY)/Ecran)*'Calculs 3D'!$D$31)+(((($D190*$H$4)+'Calculs 3D'!$E$7-OffsetZ)/Ecran)*'Calculs 3D'!$E$31)),0)</f>
        <v>2.3883408526955044E-2</v>
      </c>
      <c r="I190" s="105">
        <f>IF(Body2Actif=TRUE,((((($B190*$H$4)+'Calculs 3D'!$C$7-OffsetX)/Ecran)*'Calculs 3D'!$C$32)+(((($C190*$H$4)+'Calculs 3D'!$D$7-OffsetY)/Ecran)*'Calculs 3D'!$D$32)+(((($D190*$H$4)+'Calculs 3D'!$E$7-OffsetZ)/Ecran)*'Calculs 3D'!$E$32)),0)</f>
        <v>2.2248072294796098E-2</v>
      </c>
      <c r="J190" s="105">
        <f>IF(Body3Actif=TRUE,((((($B190*$J$4)+'Calculs 3D'!$C$8-OffsetX)/Ecran)*'Calculs 3D'!$C$31)+(((($C190*$J$4)+'Calculs 3D'!$D$8-OffsetY)/Ecran)*'Calculs 3D'!$D$31)+(((($D190*$J$4)+'Calculs 3D'!$E$8-OffsetZ)/Ecran)*'Calculs 3D'!$E$31)),0)</f>
        <v>0.21805349718209455</v>
      </c>
      <c r="K190" s="105">
        <f>IF(Body3Actif=TRUE,((((($B190*$J$4)+'Calculs 3D'!$C$8-OffsetX)/Ecran)*'Calculs 3D'!$C$32)+(((($C190*$J$4)+'Calculs 3D'!$D$8-OffsetY)/Ecran)*'Calculs 3D'!$D$32)+(((($D190*$J$4)+'Calculs 3D'!$E$8-OffsetZ)/Ecran)*'Calculs 3D'!$E$32)),0)</f>
        <v>-8.445456385597172E-2</v>
      </c>
      <c r="L190" s="105">
        <f>IF(Body4Actif=TRUE,((((($B190*$L$4)+'Calculs 3D'!$C$9-OffsetX)/Ecran)*'Calculs 3D'!$C$31)+(((($C190*$L$4)+'Calculs 3D'!$D$9-OffsetY)/Ecran)*'Calculs 3D'!$D$31)+(((($D190*$L$4)+'Calculs 3D'!$E$9-OffsetZ)/Ecran)*'Calculs 3D'!$E$31)),0)</f>
        <v>-9.5314667973387598E-2</v>
      </c>
      <c r="M190" s="105">
        <f>IF(Body4Actif=TRUE,((((($B190*$L$4)+'Calculs 3D'!$C$9-OffsetX)/Ecran)*'Calculs 3D'!$C$32)+(((($C190*$L$4)+'Calculs 3D'!$D$9-OffsetY)/Ecran)*'Calculs 3D'!$D$32)+(((($D190*$L$4)+'Calculs 3D'!$E$9-OffsetZ)/Ecran)*'Calculs 3D'!$E$32)),0)</f>
        <v>-0.17677438753521471</v>
      </c>
      <c r="N190" s="105">
        <f>IF(Body5Actif=TRUE,((((($B190*$N$4)+'Calculs 3D'!$C$10-OffsetX)/Ecran)*'Calculs 3D'!$C$31)+(((($C190*$N$4)+'Calculs 3D'!$D$10-OffsetY)/Ecran)*'Calculs 3D'!$D$31)+(((($D190*$N$4)+'Calculs 3D'!$E$10-OffsetZ)/Ecran)*'Calculs 3D'!$E$31)),0)</f>
        <v>-4.4611030942114278E-5</v>
      </c>
      <c r="O190" s="105">
        <f>IF(Body5Actif=TRUE,((((($B190*$N$4)+'Calculs 3D'!$C$10-OffsetX)/Ecran)*'Calculs 3D'!$C$32)+(((($C190*$N$4)+'Calculs 3D'!$D$10-OffsetY)/Ecran)*'Calculs 3D'!$D$32)+(((($D190*$N$4)+'Calculs 3D'!$E$10-OffsetZ)/Ecran)*'Calculs 3D'!$E$32)),0)</f>
        <v>-1.0520687184452834E-2</v>
      </c>
      <c r="P190" s="105">
        <f>IF(Body6Actif=TRUE,((((($B190*$P$4)+'Calculs 3D'!$C$11-OffsetX)/Ecran)*'Calculs 3D'!$C$31)+(((($C190*$P$4)+'Calculs 3D'!$D$11-OffsetY)/Ecran)*'Calculs 3D'!$D$31)+(((($D190*$P$4)+'Calculs 3D'!$E$11-OffsetZ)/Ecran)*'Calculs 3D'!$E$31)),0)</f>
        <v>0.1693719788373983</v>
      </c>
      <c r="Q190" s="105">
        <f>IF(Body6Actif=TRUE,((((($B190*$P$4)+'Calculs 3D'!$C$11-OffsetX)/Ecran)*'Calculs 3D'!$C$32)+(((($C190*$P$4)+'Calculs 3D'!$D$11-OffsetY)/Ecran)*'Calculs 3D'!$D$32)+(((($D190*$P$4)+'Calculs 3D'!$E$11-OffsetZ)/Ecran)*'Calculs 3D'!$E$32)),0)</f>
        <v>0.12502597889341532</v>
      </c>
      <c r="R190" s="105">
        <f>IF(Body7Actif=TRUE,((((($B190*$R$4)+'Calculs 3D'!$C$12-OffsetX)/Ecran)*'Calculs 3D'!$C$31)+(((($C190*$R$4)+'Calculs 3D'!$D$12-OffsetY)/Ecran)*'Calculs 3D'!$D$31)+(((($D190*$R$4)+'Calculs 3D'!$E$12-OffsetZ)/Ecran)*'Calculs 3D'!$E$31)),0)</f>
        <v>-0.28204868409900047</v>
      </c>
      <c r="S190" s="105">
        <f>IF(Body7Actif=TRUE,((((($B190*$R$4)+'Calculs 3D'!$C$12-OffsetX)/Ecran)*'Calculs 3D'!$C$32)+(((($C190*$R$4)+'Calculs 3D'!$D$12-OffsetY)/Ecran)*'Calculs 3D'!$D$32)+(((($D190*$R$4)+'Calculs 3D'!$E$12-OffsetZ)/Ecran)*'Calculs 3D'!$E$32)),0)</f>
        <v>5.4280476480843609E-2</v>
      </c>
      <c r="T190" s="105">
        <f>IF(Body8Actif=TRUE,((((($B190*$T$4)+'Calculs 3D'!$C$13-OffsetX)/Ecran)*'Calculs 3D'!$C$31)+(((($C190*$T$4)+'Calculs 3D'!$D$13-OffsetY)/Ecran)*'Calculs 3D'!$D$31)+(((($D190*$T$4)+'Calculs 3D'!$E$13-OffsetZ)/Ecran)*'Calculs 3D'!$E$31)),0)</f>
        <v>0.16769823139605156</v>
      </c>
      <c r="U190" s="105">
        <f>IF(Body8Actif=TRUE,((((($B190*$T$4)+'Calculs 3D'!$C$13-OffsetX)/Ecran)*'Calculs 3D'!$C$32)+(((($C190*$T$4)+'Calculs 3D'!$D$13-OffsetY)/Ecran)*'Calculs 3D'!$D$32)+(((($D190*$T$4)+'Calculs 3D'!$E$13-OffsetZ)/Ecran)*'Calculs 3D'!$E$32)),0)</f>
        <v>-0.13347922258953351</v>
      </c>
      <c r="V190" s="105">
        <f>IF(Body9Actif=TRUE,((((($B190*$V$4)+'Calculs 3D'!$C$14-OffsetX)/Ecran)*'Calculs 3D'!$C$31)+(((($C190*$V$4)+'Calculs 3D'!$D$14-OffsetY)/Ecran)*'Calculs 3D'!$D$31)+(((($D190*$V$4)+'Calculs 3D'!$E$14-OffsetZ)/Ecran)*'Calculs 3D'!$E$31)),0)</f>
        <v>-0.17831461120936887</v>
      </c>
      <c r="W190" s="105">
        <f>IF(Body9Actif=TRUE,((((($B190*$V$4)+'Calculs 3D'!$C$14-OffsetX)/Ecran)*'Calculs 3D'!$C$32)+(((($C190*$V$4)+'Calculs 3D'!$D$14-OffsetY)/Ecran)*'Calculs 3D'!$D$32)+(((($D190*$V$4)+'Calculs 3D'!$E$14-OffsetZ)/Ecran)*'Calculs 3D'!$E$32)),0)</f>
        <v>0.28463779650355003</v>
      </c>
      <c r="X190" s="105">
        <f>IF(Body10Actif=TRUE,((((($B190*$X$4)+'Calculs 3D'!$C$15-OffsetX)/Ecran)*'Calculs 3D'!$C$31)+(((($C190*$X$4)+'Calculs 3D'!$D$15-OffsetY)/Ecran)*'Calculs 3D'!$D$31)+(((($D190*$X$4)+'Calculs 3D'!$E$15-OffsetZ)/Ecran)*'Calculs 3D'!$E$31)),0)</f>
        <v>-1.6432223411790181E-2</v>
      </c>
      <c r="Y190" s="105">
        <f>IF(Body10Actif=TRUE,((((($B190*$X$4)+'Calculs 3D'!$C$15-OffsetX)/Ecran)*'Calculs 3D'!$C$32)+(((($C190*$X$4)+'Calculs 3D'!$D$15-OffsetY)/Ecran)*'Calculs 3D'!$D$32)+(((($D190*$X$4)+'Calculs 3D'!$E$15-OffsetZ)/Ecran)*'Calculs 3D'!$E$32)),0)</f>
        <v>0.28645273633942947</v>
      </c>
    </row>
    <row r="191" spans="2:25" x14ac:dyDescent="0.3">
      <c r="B191" s="102">
        <v>-0.28531695488854608</v>
      </c>
      <c r="C191" s="102">
        <v>9.270509831248426E-2</v>
      </c>
      <c r="D191" s="102">
        <v>-0.95</v>
      </c>
      <c r="F191" s="105">
        <f>IF(Body1Actif=TRUE,((((($B191*$F$4)+'Calculs 3D'!$C$6-OffsetX)/Ecran)*'Calculs 3D'!$C$31)+(((($C191*$F$4)+'Calculs 3D'!$D$6-OffsetY)/Ecran)*'Calculs 3D'!$D$31)+(((($D191*$F$4)+'Calculs 3D'!$E$6-OffsetZ)/Ecran)*'Calculs 3D'!$E$31)),0)</f>
        <v>4.9913182390289246E-2</v>
      </c>
      <c r="G191" s="105">
        <f>IF(Body1Actif=TRUE,((((($B191*$F$4)+'Calculs 3D'!$C$6-OffsetX)/Ecran)*'Calculs 3D'!$C$32)+(((($C191*$F$4)+'Calculs 3D'!$D$6-OffsetY)/Ecran)*'Calculs 3D'!$D$32)+(((($D191*$F$4)+'Calculs 3D'!$E$6-OffsetZ)/Ecran)*'Calculs 3D'!$E$32)),0)</f>
        <v>0.26169313314546516</v>
      </c>
      <c r="H191" s="105">
        <f>IF(Body2Actif=TRUE,((((($B191*$H$4)+'Calculs 3D'!$C$7-OffsetX)/Ecran)*'Calculs 3D'!$C$31)+(((($C191*$H$4)+'Calculs 3D'!$D$7-OffsetY)/Ecran)*'Calculs 3D'!$D$31)+(((($D191*$H$4)+'Calculs 3D'!$E$7-OffsetZ)/Ecran)*'Calculs 3D'!$E$31)),0)</f>
        <v>2.2652226475043016E-2</v>
      </c>
      <c r="I191" s="105">
        <f>IF(Body2Actif=TRUE,((((($B191*$H$4)+'Calculs 3D'!$C$7-OffsetX)/Ecran)*'Calculs 3D'!$C$32)+(((($C191*$H$4)+'Calculs 3D'!$D$7-OffsetY)/Ecran)*'Calculs 3D'!$D$32)+(((($D191*$H$4)+'Calculs 3D'!$E$7-OffsetZ)/Ecran)*'Calculs 3D'!$E$32)),0)</f>
        <v>2.1861856407156419E-2</v>
      </c>
      <c r="J191" s="105">
        <f>IF(Body3Actif=TRUE,((((($B191*$J$4)+'Calculs 3D'!$C$8-OffsetX)/Ecran)*'Calculs 3D'!$C$31)+(((($C191*$J$4)+'Calculs 3D'!$D$8-OffsetY)/Ecran)*'Calculs 3D'!$D$31)+(((($D191*$J$4)+'Calculs 3D'!$E$8-OffsetZ)/Ecran)*'Calculs 3D'!$E$31)),0)</f>
        <v>0.2175063325291981</v>
      </c>
      <c r="K191" s="105">
        <f>IF(Body3Actif=TRUE,((((($B191*$J$4)+'Calculs 3D'!$C$8-OffsetX)/Ecran)*'Calculs 3D'!$C$32)+(((($C191*$J$4)+'Calculs 3D'!$D$8-OffsetY)/Ecran)*'Calculs 3D'!$D$32)+(((($D191*$J$4)+'Calculs 3D'!$E$8-OffsetZ)/Ecran)*'Calculs 3D'!$E$32)),0)</f>
        <v>-8.4626206775696919E-2</v>
      </c>
      <c r="L191" s="105">
        <f>IF(Body4Actif=TRUE,((((($B191*$L$4)+'Calculs 3D'!$C$9-OffsetX)/Ecran)*'Calculs 3D'!$C$31)+(((($C191*$L$4)+'Calculs 3D'!$D$9-OffsetY)/Ecran)*'Calculs 3D'!$D$31)+(((($D191*$L$4)+'Calculs 3D'!$E$9-OffsetZ)/Ecran)*'Calculs 3D'!$E$31)),0)</f>
        <v>-9.6026142118252542E-2</v>
      </c>
      <c r="M191" s="105">
        <f>IF(Body4Actif=TRUE,((((($B191*$L$4)+'Calculs 3D'!$C$9-OffsetX)/Ecran)*'Calculs 3D'!$C$32)+(((($C191*$L$4)+'Calculs 3D'!$D$9-OffsetY)/Ecran)*'Calculs 3D'!$D$32)+(((($D191*$L$4)+'Calculs 3D'!$E$9-OffsetZ)/Ecran)*'Calculs 3D'!$E$32)),0)</f>
        <v>-0.17699757355223386</v>
      </c>
      <c r="N191" s="105">
        <f>IF(Body5Actif=TRUE,((((($B191*$N$4)+'Calculs 3D'!$C$10-OffsetX)/Ecran)*'Calculs 3D'!$C$31)+(((($C191*$N$4)+'Calculs 3D'!$D$10-OffsetY)/Ecran)*'Calculs 3D'!$D$31)+(((($D191*$N$4)+'Calculs 3D'!$E$10-OffsetZ)/Ecran)*'Calculs 3D'!$E$31)),0)</f>
        <v>-8.5682408254628573E-4</v>
      </c>
      <c r="O191" s="105">
        <f>IF(Body5Actif=TRUE,((((($B191*$N$4)+'Calculs 3D'!$C$10-OffsetX)/Ecran)*'Calculs 3D'!$C$32)+(((($C191*$N$4)+'Calculs 3D'!$D$10-OffsetY)/Ecran)*'Calculs 3D'!$D$32)+(((($D191*$N$4)+'Calculs 3D'!$E$10-OffsetZ)/Ecran)*'Calculs 3D'!$E$32)),0)</f>
        <v>-1.0775474511957064E-2</v>
      </c>
      <c r="P191" s="105">
        <f>IF(Body6Actif=TRUE,((((($B191*$P$4)+'Calculs 3D'!$C$11-OffsetX)/Ecran)*'Calculs 3D'!$C$31)+(((($C191*$P$4)+'Calculs 3D'!$D$11-OffsetY)/Ecran)*'Calculs 3D'!$D$31)+(((($D191*$P$4)+'Calculs 3D'!$E$11-OffsetZ)/Ecran)*'Calculs 3D'!$E$31)),0)</f>
        <v>0.16819494346538194</v>
      </c>
      <c r="Q191" s="105">
        <f>IF(Body6Actif=TRUE,((((($B191*$P$4)+'Calculs 3D'!$C$11-OffsetX)/Ecran)*'Calculs 3D'!$C$32)+(((($C191*$P$4)+'Calculs 3D'!$D$11-OffsetY)/Ecran)*'Calculs 3D'!$D$32)+(((($D191*$P$4)+'Calculs 3D'!$E$11-OffsetZ)/Ecran)*'Calculs 3D'!$E$32)),0)</f>
        <v>0.12465674855881079</v>
      </c>
      <c r="R191" s="105">
        <f>IF(Body7Actif=TRUE,((((($B191*$R$4)+'Calculs 3D'!$C$12-OffsetX)/Ecran)*'Calculs 3D'!$C$31)+(((($C191*$R$4)+'Calculs 3D'!$D$12-OffsetY)/Ecran)*'Calculs 3D'!$D$31)+(((($D191*$R$4)+'Calculs 3D'!$E$12-OffsetZ)/Ecran)*'Calculs 3D'!$E$31)),0)</f>
        <v>-0.28323073776727747</v>
      </c>
      <c r="S191" s="105">
        <f>IF(Body7Actif=TRUE,((((($B191*$R$4)+'Calculs 3D'!$C$12-OffsetX)/Ecran)*'Calculs 3D'!$C$32)+(((($C191*$R$4)+'Calculs 3D'!$D$12-OffsetY)/Ecran)*'Calculs 3D'!$D$32)+(((($D191*$R$4)+'Calculs 3D'!$E$12-OffsetZ)/Ecran)*'Calculs 3D'!$E$32)),0)</f>
        <v>5.3909671930840355E-2</v>
      </c>
      <c r="T191" s="105">
        <f>IF(Body8Actif=TRUE,((((($B191*$T$4)+'Calculs 3D'!$C$13-OffsetX)/Ecran)*'Calculs 3D'!$C$31)+(((($C191*$T$4)+'Calculs 3D'!$D$13-OffsetY)/Ecran)*'Calculs 3D'!$D$31)+(((($D191*$T$4)+'Calculs 3D'!$E$13-OffsetZ)/Ecran)*'Calculs 3D'!$E$31)),0)</f>
        <v>0.16727191134678818</v>
      </c>
      <c r="U191" s="105">
        <f>IF(Body8Actif=TRUE,((((($B191*$T$4)+'Calculs 3D'!$C$13-OffsetX)/Ecran)*'Calculs 3D'!$C$32)+(((($C191*$T$4)+'Calculs 3D'!$D$13-OffsetY)/Ecran)*'Calculs 3D'!$D$32)+(((($D191*$T$4)+'Calculs 3D'!$E$13-OffsetZ)/Ecran)*'Calculs 3D'!$E$32)),0)</f>
        <v>-0.13361295713836741</v>
      </c>
      <c r="V191" s="105">
        <f>IF(Body9Actif=TRUE,((((($B191*$V$4)+'Calculs 3D'!$C$14-OffsetX)/Ecran)*'Calculs 3D'!$C$31)+(((($C191*$V$4)+'Calculs 3D'!$D$14-OffsetY)/Ecran)*'Calculs 3D'!$D$31)+(((($D191*$V$4)+'Calculs 3D'!$E$14-OffsetZ)/Ecran)*'Calculs 3D'!$E$31)),0)</f>
        <v>-0.17890613707368533</v>
      </c>
      <c r="W191" s="105">
        <f>IF(Body9Actif=TRUE,((((($B191*$V$4)+'Calculs 3D'!$C$14-OffsetX)/Ecran)*'Calculs 3D'!$C$32)+(((($C191*$V$4)+'Calculs 3D'!$D$14-OffsetY)/Ecran)*'Calculs 3D'!$D$32)+(((($D191*$V$4)+'Calculs 3D'!$E$14-OffsetZ)/Ecran)*'Calculs 3D'!$E$32)),0)</f>
        <v>0.28445223768518191</v>
      </c>
      <c r="X191" s="105">
        <f>IF(Body10Actif=TRUE,((((($B191*$X$4)+'Calculs 3D'!$C$15-OffsetX)/Ecran)*'Calculs 3D'!$C$31)+(((($C191*$X$4)+'Calculs 3D'!$D$15-OffsetY)/Ecran)*'Calculs 3D'!$D$31)+(((($D191*$X$4)+'Calculs 3D'!$E$15-OffsetZ)/Ecran)*'Calculs 3D'!$E$31)),0)</f>
        <v>-1.732510455071043E-2</v>
      </c>
      <c r="Y191" s="105">
        <f>IF(Body10Actif=TRUE,((((($B191*$X$4)+'Calculs 3D'!$C$15-OffsetX)/Ecran)*'Calculs 3D'!$C$32)+(((($C191*$X$4)+'Calculs 3D'!$D$15-OffsetY)/Ecran)*'Calculs 3D'!$D$32)+(((($D191*$X$4)+'Calculs 3D'!$E$15-OffsetZ)/Ecran)*'Calculs 3D'!$E$32)),0)</f>
        <v>0.28617264382095153</v>
      </c>
    </row>
    <row r="192" spans="2:25" x14ac:dyDescent="0.3">
      <c r="B192" s="102">
        <v>-0.30000000000000004</v>
      </c>
      <c r="C192" s="102">
        <v>3.6754453647258606E-17</v>
      </c>
      <c r="D192" s="102">
        <v>-0.95</v>
      </c>
      <c r="F192" s="105">
        <f>IF(Body1Actif=TRUE,((((($B192*$F$4)+'Calculs 3D'!$C$6-OffsetX)/Ecran)*'Calculs 3D'!$C$31)+(((($C192*$F$4)+'Calculs 3D'!$D$6-OffsetY)/Ecran)*'Calculs 3D'!$D$31)+(((($D192*$F$4)+'Calculs 3D'!$E$6-OffsetZ)/Ecran)*'Calculs 3D'!$E$31)),0)</f>
        <v>4.9662514719536581E-2</v>
      </c>
      <c r="G192" s="105">
        <f>IF(Body1Actif=TRUE,((((($B192*$F$4)+'Calculs 3D'!$C$6-OffsetX)/Ecran)*'Calculs 3D'!$C$32)+(((($C192*$F$4)+'Calculs 3D'!$D$6-OffsetY)/Ecran)*'Calculs 3D'!$D$32)+(((($D192*$F$4)+'Calculs 3D'!$E$6-OffsetZ)/Ecran)*'Calculs 3D'!$E$32)),0)</f>
        <v>0.26153880671747315</v>
      </c>
      <c r="H192" s="105">
        <f>IF(Body2Actif=TRUE,((((($B192*$H$4)+'Calculs 3D'!$C$7-OffsetX)/Ecran)*'Calculs 3D'!$C$31)+(((($C192*$H$4)+'Calculs 3D'!$D$7-OffsetY)/Ecran)*'Calculs 3D'!$D$31)+(((($D192*$H$4)+'Calculs 3D'!$E$7-OffsetZ)/Ecran)*'Calculs 3D'!$E$31)),0)</f>
        <v>2.1675154866532424E-2</v>
      </c>
      <c r="I192" s="105">
        <f>IF(Body2Actif=TRUE,((((($B192*$H$4)+'Calculs 3D'!$C$7-OffsetX)/Ecran)*'Calculs 3D'!$C$32)+(((($C192*$H$4)+'Calculs 3D'!$D$7-OffsetY)/Ecran)*'Calculs 3D'!$D$32)+(((($D192*$H$4)+'Calculs 3D'!$E$7-OffsetZ)/Ecran)*'Calculs 3D'!$E$32)),0)</f>
        <v>2.1260311059161971E-2</v>
      </c>
      <c r="J192" s="105">
        <f>IF(Body3Actif=TRUE,((((($B192*$J$4)+'Calculs 3D'!$C$8-OffsetX)/Ecran)*'Calculs 3D'!$C$31)+(((($C192*$J$4)+'Calculs 3D'!$D$8-OffsetY)/Ecran)*'Calculs 3D'!$D$31)+(((($D192*$J$4)+'Calculs 3D'!$E$8-OffsetZ)/Ecran)*'Calculs 3D'!$E$31)),0)</f>
        <v>0.21707210020206552</v>
      </c>
      <c r="K192" s="105">
        <f>IF(Body3Actif=TRUE,((((($B192*$J$4)+'Calculs 3D'!$C$8-OffsetX)/Ecran)*'Calculs 3D'!$C$32)+(((($C192*$J$4)+'Calculs 3D'!$D$8-OffsetY)/Ecran)*'Calculs 3D'!$D$32)+(((($D192*$J$4)+'Calculs 3D'!$E$8-OffsetZ)/Ecran)*'Calculs 3D'!$E$32)),0)</f>
        <v>-8.4893546890853488E-2</v>
      </c>
      <c r="L192" s="105">
        <f>IF(Body4Actif=TRUE,((((($B192*$L$4)+'Calculs 3D'!$C$9-OffsetX)/Ecran)*'Calculs 3D'!$C$31)+(((($C192*$L$4)+'Calculs 3D'!$D$9-OffsetY)/Ecran)*'Calculs 3D'!$D$31)+(((($D192*$L$4)+'Calculs 3D'!$E$9-OffsetZ)/Ecran)*'Calculs 3D'!$E$31)),0)</f>
        <v>-9.6590771196508912E-2</v>
      </c>
      <c r="M192" s="105">
        <f>IF(Body4Actif=TRUE,((((($B192*$L$4)+'Calculs 3D'!$C$9-OffsetX)/Ecran)*'Calculs 3D'!$C$32)+(((($C192*$L$4)+'Calculs 3D'!$D$9-OffsetY)/Ecran)*'Calculs 3D'!$D$32)+(((($D192*$L$4)+'Calculs 3D'!$E$9-OffsetZ)/Ecran)*'Calculs 3D'!$E$32)),0)</f>
        <v>-0.17734519392356493</v>
      </c>
      <c r="N192" s="105">
        <f>IF(Body5Actif=TRUE,((((($B192*$N$4)+'Calculs 3D'!$C$10-OffsetX)/Ecran)*'Calculs 3D'!$C$31)+(((($C192*$N$4)+'Calculs 3D'!$D$10-OffsetY)/Ecran)*'Calculs 3D'!$D$31)+(((($D192*$N$4)+'Calculs 3D'!$E$10-OffsetZ)/Ecran)*'Calculs 3D'!$E$31)),0)</f>
        <v>-1.50140000984456E-3</v>
      </c>
      <c r="O192" s="105">
        <f>IF(Body5Actif=TRUE,((((($B192*$N$4)+'Calculs 3D'!$C$10-OffsetX)/Ecran)*'Calculs 3D'!$C$32)+(((($C192*$N$4)+'Calculs 3D'!$D$10-OffsetY)/Ecran)*'Calculs 3D'!$D$32)+(((($D192*$N$4)+'Calculs 3D'!$E$10-OffsetZ)/Ecran)*'Calculs 3D'!$E$32)),0)</f>
        <v>-1.1172315078316924E-2</v>
      </c>
      <c r="P192" s="105">
        <f>IF(Body6Actif=TRUE,((((($B192*$P$4)+'Calculs 3D'!$C$11-OffsetX)/Ecran)*'Calculs 3D'!$C$31)+(((($C192*$P$4)+'Calculs 3D'!$D$11-OffsetY)/Ecran)*'Calculs 3D'!$D$31)+(((($D192*$P$4)+'Calculs 3D'!$E$11-OffsetZ)/Ecran)*'Calculs 3D'!$E$31)),0)</f>
        <v>0.16726084290533572</v>
      </c>
      <c r="Q192" s="105">
        <f>IF(Body6Actif=TRUE,((((($B192*$P$4)+'Calculs 3D'!$C$11-OffsetX)/Ecran)*'Calculs 3D'!$C$32)+(((($C192*$P$4)+'Calculs 3D'!$D$11-OffsetY)/Ecran)*'Calculs 3D'!$D$32)+(((($D192*$P$4)+'Calculs 3D'!$E$11-OffsetZ)/Ecran)*'Calculs 3D'!$E$32)),0)</f>
        <v>0.12408165882991018</v>
      </c>
      <c r="R192" s="105">
        <f>IF(Body7Actif=TRUE,((((($B192*$R$4)+'Calculs 3D'!$C$12-OffsetX)/Ecran)*'Calculs 3D'!$C$31)+(((($C192*$R$4)+'Calculs 3D'!$D$12-OffsetY)/Ecran)*'Calculs 3D'!$D$31)+(((($D192*$R$4)+'Calculs 3D'!$E$12-OffsetZ)/Ecran)*'Calculs 3D'!$E$31)),0)</f>
        <v>-0.28416882086978507</v>
      </c>
      <c r="S192" s="105">
        <f>IF(Body7Actif=TRUE,((((($B192*$R$4)+'Calculs 3D'!$C$12-OffsetX)/Ecran)*'Calculs 3D'!$C$32)+(((($C192*$R$4)+'Calculs 3D'!$D$12-OffsetY)/Ecran)*'Calculs 3D'!$D$32)+(((($D192*$R$4)+'Calculs 3D'!$E$12-OffsetZ)/Ecran)*'Calculs 3D'!$E$32)),0)</f>
        <v>5.3332130303972464E-2</v>
      </c>
      <c r="T192" s="105">
        <f>IF(Body8Actif=TRUE,((((($B192*$T$4)+'Calculs 3D'!$C$13-OffsetX)/Ecran)*'Calculs 3D'!$C$31)+(((($C192*$T$4)+'Calculs 3D'!$D$13-OffsetY)/Ecran)*'Calculs 3D'!$D$31)+(((($D192*$T$4)+'Calculs 3D'!$E$13-OffsetZ)/Ecran)*'Calculs 3D'!$E$31)),0)</f>
        <v>0.16693358184009408</v>
      </c>
      <c r="U192" s="105">
        <f>IF(Body8Actif=TRUE,((((($B192*$T$4)+'Calculs 3D'!$C$13-OffsetX)/Ecran)*'Calculs 3D'!$C$32)+(((($C192*$T$4)+'Calculs 3D'!$D$13-OffsetY)/Ecran)*'Calculs 3D'!$D$32)+(((($D192*$T$4)+'Calculs 3D'!$E$13-OffsetZ)/Ecran)*'Calculs 3D'!$E$32)),0)</f>
        <v>-0.1338212535816049</v>
      </c>
      <c r="V192" s="105">
        <f>IF(Body9Actif=TRUE,((((($B192*$V$4)+'Calculs 3D'!$C$14-OffsetX)/Ecran)*'Calculs 3D'!$C$31)+(((($C192*$V$4)+'Calculs 3D'!$D$14-OffsetY)/Ecran)*'Calculs 3D'!$D$31)+(((($D192*$V$4)+'Calculs 3D'!$E$14-OffsetZ)/Ecran)*'Calculs 3D'!$E$31)),0)</f>
        <v>-0.17937557465753062</v>
      </c>
      <c r="W192" s="105">
        <f>IF(Body9Actif=TRUE,((((($B192*$V$4)+'Calculs 3D'!$C$14-OffsetX)/Ecran)*'Calculs 3D'!$C$32)+(((($C192*$V$4)+'Calculs 3D'!$D$14-OffsetY)/Ecran)*'Calculs 3D'!$D$32)+(((($D192*$V$4)+'Calculs 3D'!$E$14-OffsetZ)/Ecran)*'Calculs 3D'!$E$32)),0)</f>
        <v>0.2841632230497384</v>
      </c>
      <c r="X192" s="105">
        <f>IF(Body10Actif=TRUE,((((($B192*$X$4)+'Calculs 3D'!$C$15-OffsetX)/Ecran)*'Calculs 3D'!$C$31)+(((($C192*$X$4)+'Calculs 3D'!$D$15-OffsetY)/Ecran)*'Calculs 3D'!$D$31)+(((($D192*$X$4)+'Calculs 3D'!$E$15-OffsetZ)/Ecran)*'Calculs 3D'!$E$31)),0)</f>
        <v>-1.8033699034571471E-2</v>
      </c>
      <c r="Y192" s="105">
        <f>IF(Body10Actif=TRUE,((((($B192*$X$4)+'Calculs 3D'!$C$15-OffsetX)/Ecran)*'Calculs 3D'!$C$32)+(((($C192*$X$4)+'Calculs 3D'!$D$15-OffsetY)/Ecran)*'Calculs 3D'!$D$32)+(((($D192*$X$4)+'Calculs 3D'!$E$15-OffsetZ)/Ecran)*'Calculs 3D'!$E$32)),0)</f>
        <v>0.28573638949561003</v>
      </c>
    </row>
    <row r="193" spans="2:25" x14ac:dyDescent="0.3">
      <c r="B193" s="102">
        <v>-0.28531695488854608</v>
      </c>
      <c r="C193" s="102">
        <v>-9.270509831248433E-2</v>
      </c>
      <c r="D193" s="102">
        <v>-0.95</v>
      </c>
      <c r="F193" s="105">
        <f>IF(Body1Actif=TRUE,((((($B193*$F$4)+'Calculs 3D'!$C$6-OffsetX)/Ecran)*'Calculs 3D'!$C$31)+(((($C193*$F$4)+'Calculs 3D'!$D$6-OffsetY)/Ecran)*'Calculs 3D'!$D$31)+(((($D193*$F$4)+'Calculs 3D'!$E$6-OffsetZ)/Ecran)*'Calculs 3D'!$E$31)),0)</f>
        <v>4.9501576168045666E-2</v>
      </c>
      <c r="G193" s="105">
        <f>IF(Body1Actif=TRUE,((((($B193*$F$4)+'Calculs 3D'!$C$6-OffsetX)/Ecran)*'Calculs 3D'!$C$32)+(((($C193*$F$4)+'Calculs 3D'!$D$6-OffsetY)/Ecran)*'Calculs 3D'!$D$32)+(((($D193*$F$4)+'Calculs 3D'!$E$6-OffsetZ)/Ecran)*'Calculs 3D'!$E$32)),0)</f>
        <v>0.26134434407356405</v>
      </c>
      <c r="H193" s="105">
        <f>IF(Body2Actif=TRUE,((((($B193*$H$4)+'Calculs 3D'!$C$7-OffsetX)/Ecran)*'Calculs 3D'!$C$31)+(((($C193*$H$4)+'Calculs 3D'!$D$7-OffsetY)/Ecran)*'Calculs 3D'!$D$31)+(((($D193*$H$4)+'Calculs 3D'!$E$7-OffsetZ)/Ecran)*'Calculs 3D'!$E$31)),0)</f>
        <v>2.1047836278122473E-2</v>
      </c>
      <c r="I193" s="105">
        <f>IF(Body2Actif=TRUE,((((($B193*$H$4)+'Calculs 3D'!$C$7-OffsetX)/Ecran)*'Calculs 3D'!$C$32)+(((($C193*$H$4)+'Calculs 3D'!$D$7-OffsetY)/Ecran)*'Calculs 3D'!$D$32)+(((($D193*$H$4)+'Calculs 3D'!$E$7-OffsetZ)/Ecran)*'Calculs 3D'!$E$32)),0)</f>
        <v>2.0502319700687339E-2</v>
      </c>
      <c r="J193" s="105">
        <f>IF(Body3Actif=TRUE,((((($B193*$J$4)+'Calculs 3D'!$C$8-OffsetX)/Ecran)*'Calculs 3D'!$C$31)+(((($C193*$J$4)+'Calculs 3D'!$D$8-OffsetY)/Ecran)*'Calculs 3D'!$D$31)+(((($D193*$J$4)+'Calculs 3D'!$E$8-OffsetZ)/Ecran)*'Calculs 3D'!$E$31)),0)</f>
        <v>0.21679330588635098</v>
      </c>
      <c r="K193" s="105">
        <f>IF(Body3Actif=TRUE,((((($B193*$J$4)+'Calculs 3D'!$C$8-OffsetX)/Ecran)*'Calculs 3D'!$C$32)+(((($C193*$J$4)+'Calculs 3D'!$D$8-OffsetY)/Ecran)*'Calculs 3D'!$D$32)+(((($D193*$J$4)+'Calculs 3D'!$E$8-OffsetZ)/Ecran)*'Calculs 3D'!$E$32)),0)</f>
        <v>-8.5230415088301745E-2</v>
      </c>
      <c r="L193" s="105">
        <f>IF(Body4Actif=TRUE,((((($B193*$L$4)+'Calculs 3D'!$C$9-OffsetX)/Ecran)*'Calculs 3D'!$C$31)+(((($C193*$L$4)+'Calculs 3D'!$D$9-OffsetY)/Ecran)*'Calculs 3D'!$D$31)+(((($D193*$L$4)+'Calculs 3D'!$E$9-OffsetZ)/Ecran)*'Calculs 3D'!$E$31)),0)</f>
        <v>-9.6953285379974871E-2</v>
      </c>
      <c r="M193" s="105">
        <f>IF(Body4Actif=TRUE,((((($B193*$L$4)+'Calculs 3D'!$C$9-OffsetX)/Ecran)*'Calculs 3D'!$C$32)+(((($C193*$L$4)+'Calculs 3D'!$D$9-OffsetY)/Ecran)*'Calculs 3D'!$D$32)+(((($D193*$L$4)+'Calculs 3D'!$E$9-OffsetZ)/Ecran)*'Calculs 3D'!$E$32)),0)</f>
        <v>-0.17778322114524853</v>
      </c>
      <c r="N193" s="105">
        <f>IF(Body5Actif=TRUE,((((($B193*$N$4)+'Calculs 3D'!$C$10-OffsetX)/Ecran)*'Calculs 3D'!$C$31)+(((($C193*$N$4)+'Calculs 3D'!$D$10-OffsetY)/Ecran)*'Calculs 3D'!$D$31)+(((($D193*$N$4)+'Calculs 3D'!$E$10-OffsetZ)/Ecran)*'Calculs 3D'!$E$31)),0)</f>
        <v>-1.9152432300484201E-3</v>
      </c>
      <c r="O193" s="105">
        <f>IF(Body5Actif=TRUE,((((($B193*$N$4)+'Calculs 3D'!$C$10-OffsetX)/Ecran)*'Calculs 3D'!$C$32)+(((($C193*$N$4)+'Calculs 3D'!$D$10-OffsetY)/Ecran)*'Calculs 3D'!$D$32)+(((($D193*$N$4)+'Calculs 3D'!$E$10-OffsetZ)/Ecran)*'Calculs 3D'!$E$32)),0)</f>
        <v>-1.1672363363946305E-2</v>
      </c>
      <c r="P193" s="105">
        <f>IF(Body6Actif=TRUE,((((($B193*$P$4)+'Calculs 3D'!$C$11-OffsetX)/Ecran)*'Calculs 3D'!$C$31)+(((($C193*$P$4)+'Calculs 3D'!$D$11-OffsetY)/Ecran)*'Calculs 3D'!$D$31)+(((($D193*$P$4)+'Calculs 3D'!$E$11-OffsetZ)/Ecran)*'Calculs 3D'!$E$31)),0)</f>
        <v>0.1666611134283382</v>
      </c>
      <c r="Q193" s="105">
        <f>IF(Body6Actif=TRUE,((((($B193*$P$4)+'Calculs 3D'!$C$11-OffsetX)/Ecran)*'Calculs 3D'!$C$32)+(((($C193*$P$4)+'Calculs 3D'!$D$11-OffsetY)/Ecran)*'Calculs 3D'!$D$32)+(((($D193*$P$4)+'Calculs 3D'!$E$11-OffsetZ)/Ecran)*'Calculs 3D'!$E$32)),0)</f>
        <v>0.12335700349626411</v>
      </c>
      <c r="R193" s="105">
        <f>IF(Body7Actif=TRUE,((((($B193*$R$4)+'Calculs 3D'!$C$12-OffsetX)/Ecran)*'Calculs 3D'!$C$31)+(((($C193*$R$4)+'Calculs 3D'!$D$12-OffsetY)/Ecran)*'Calculs 3D'!$D$31)+(((($D193*$R$4)+'Calculs 3D'!$E$12-OffsetZ)/Ecran)*'Calculs 3D'!$E$31)),0)</f>
        <v>-0.28477110729644051</v>
      </c>
      <c r="S193" s="105">
        <f>IF(Body7Actif=TRUE,((((($B193*$R$4)+'Calculs 3D'!$C$12-OffsetX)/Ecran)*'Calculs 3D'!$C$32)+(((($C193*$R$4)+'Calculs 3D'!$D$12-OffsetY)/Ecran)*'Calculs 3D'!$D$32)+(((($D193*$R$4)+'Calculs 3D'!$E$12-OffsetZ)/Ecran)*'Calculs 3D'!$E$32)),0)</f>
        <v>5.2604385398646911E-2</v>
      </c>
      <c r="T193" s="105">
        <f>IF(Body8Actif=TRUE,((((($B193*$T$4)+'Calculs 3D'!$C$13-OffsetX)/Ecran)*'Calculs 3D'!$C$31)+(((($C193*$T$4)+'Calculs 3D'!$D$13-OffsetY)/Ecran)*'Calculs 3D'!$D$31)+(((($D193*$T$4)+'Calculs 3D'!$E$13-OffsetZ)/Ecran)*'Calculs 3D'!$E$31)),0)</f>
        <v>0.16671636092536465</v>
      </c>
      <c r="U193" s="105">
        <f>IF(Body8Actif=TRUE,((((($B193*$T$4)+'Calculs 3D'!$C$13-OffsetX)/Ecran)*'Calculs 3D'!$C$32)+(((($C193*$T$4)+'Calculs 3D'!$D$13-OffsetY)/Ecran)*'Calculs 3D'!$D$32)+(((($D193*$T$4)+'Calculs 3D'!$E$13-OffsetZ)/Ecran)*'Calculs 3D'!$E$32)),0)</f>
        <v>-0.13408372241209529</v>
      </c>
      <c r="V193" s="105">
        <f>IF(Body9Actif=TRUE,((((($B193*$V$4)+'Calculs 3D'!$C$14-OffsetX)/Ecran)*'Calculs 3D'!$C$31)+(((($C193*$V$4)+'Calculs 3D'!$D$14-OffsetY)/Ecran)*'Calculs 3D'!$D$31)+(((($D193*$V$4)+'Calculs 3D'!$E$14-OffsetZ)/Ecran)*'Calculs 3D'!$E$31)),0)</f>
        <v>-0.17967697213943401</v>
      </c>
      <c r="W193" s="105">
        <f>IF(Body9Actif=TRUE,((((($B193*$V$4)+'Calculs 3D'!$C$14-OffsetX)/Ecran)*'Calculs 3D'!$C$32)+(((($C193*$V$4)+'Calculs 3D'!$D$14-OffsetY)/Ecran)*'Calculs 3D'!$D$32)+(((($D193*$V$4)+'Calculs 3D'!$E$14-OffsetZ)/Ecran)*'Calculs 3D'!$E$32)),0)</f>
        <v>0.2837990433634201</v>
      </c>
      <c r="X193" s="105">
        <f>IF(Body10Actif=TRUE,((((($B193*$X$4)+'Calculs 3D'!$C$15-OffsetX)/Ecran)*'Calculs 3D'!$C$31)+(((($C193*$X$4)+'Calculs 3D'!$D$15-OffsetY)/Ecran)*'Calculs 3D'!$D$31)+(((($D193*$X$4)+'Calculs 3D'!$E$15-OffsetZ)/Ecran)*'Calculs 3D'!$E$31)),0)</f>
        <v>-1.8488644698224907E-2</v>
      </c>
      <c r="Y193" s="105">
        <f>IF(Body10Actif=TRUE,((((($B193*$X$4)+'Calculs 3D'!$C$15-OffsetX)/Ecran)*'Calculs 3D'!$C$32)+(((($C193*$X$4)+'Calculs 3D'!$D$15-OffsetY)/Ecran)*'Calculs 3D'!$D$32)+(((($D193*$X$4)+'Calculs 3D'!$E$15-OffsetZ)/Ecran)*'Calculs 3D'!$E$32)),0)</f>
        <v>0.28518667697633193</v>
      </c>
    </row>
    <row r="194" spans="2:25" x14ac:dyDescent="0.3">
      <c r="B194" s="102">
        <v>-0.2427050983124843</v>
      </c>
      <c r="C194" s="102">
        <v>-0.17633557568774194</v>
      </c>
      <c r="D194" s="102">
        <v>-0.95</v>
      </c>
      <c r="F194" s="105">
        <f>IF(Body1Actif=TRUE,((((($B194*$F$4)+'Calculs 3D'!$C$6-OffsetX)/Ecran)*'Calculs 3D'!$C$31)+(((($C194*$F$4)+'Calculs 3D'!$D$6-OffsetY)/Ecran)*'Calculs 3D'!$D$31)+(((($D194*$F$4)+'Calculs 3D'!$E$6-OffsetZ)/Ecran)*'Calculs 3D'!$E$31)),0)</f>
        <v>4.9446120522561303E-2</v>
      </c>
      <c r="G194" s="105">
        <f>IF(Body1Actif=TRUE,((((($B194*$F$4)+'Calculs 3D'!$C$6-OffsetX)/Ecran)*'Calculs 3D'!$C$32)+(((($C194*$F$4)+'Calculs 3D'!$D$6-OffsetY)/Ecran)*'Calculs 3D'!$D$32)+(((($D194*$F$4)+'Calculs 3D'!$E$6-OffsetZ)/Ecran)*'Calculs 3D'!$E$32)),0)</f>
        <v>0.26112878057222461</v>
      </c>
      <c r="H194" s="105">
        <f>IF(Body2Actif=TRUE,((((($B194*$H$4)+'Calculs 3D'!$C$7-OffsetX)/Ecran)*'Calculs 3D'!$C$31)+(((($C194*$H$4)+'Calculs 3D'!$D$7-OffsetY)/Ecran)*'Calculs 3D'!$D$31)+(((($D194*$H$4)+'Calculs 3D'!$E$7-OffsetZ)/Ecran)*'Calculs 3D'!$E$31)),0)</f>
        <v>2.0831677024032352E-2</v>
      </c>
      <c r="I194" s="105">
        <f>IF(Body2Actif=TRUE,((((($B194*$H$4)+'Calculs 3D'!$C$7-OffsetX)/Ecran)*'Calculs 3D'!$C$32)+(((($C194*$H$4)+'Calculs 3D'!$D$7-OffsetY)/Ecran)*'Calculs 3D'!$D$32)+(((($D194*$H$4)+'Calculs 3D'!$E$7-OffsetZ)/Ecran)*'Calculs 3D'!$E$32)),0)</f>
        <v>1.9662079807136367E-2</v>
      </c>
      <c r="J194" s="105">
        <f>IF(Body3Actif=TRUE,((((($B194*$J$4)+'Calculs 3D'!$C$8-OffsetX)/Ecran)*'Calculs 3D'!$C$31)+(((($C194*$J$4)+'Calculs 3D'!$D$8-OffsetY)/Ecran)*'Calculs 3D'!$D$31)+(((($D194*$J$4)+'Calculs 3D'!$E$8-OffsetZ)/Ecran)*'Calculs 3D'!$E$31)),0)</f>
        <v>0.21669723991215095</v>
      </c>
      <c r="K194" s="105">
        <f>IF(Body3Actif=TRUE,((((($B194*$J$4)+'Calculs 3D'!$C$8-OffsetX)/Ecran)*'Calculs 3D'!$C$32)+(((($C194*$J$4)+'Calculs 3D'!$D$8-OffsetY)/Ecran)*'Calculs 3D'!$D$32)+(((($D194*$J$4)+'Calculs 3D'!$E$8-OffsetZ)/Ecran)*'Calculs 3D'!$E$32)),0)</f>
        <v>-8.5603836361776736E-2</v>
      </c>
      <c r="L194" s="105">
        <f>IF(Body4Actif=TRUE,((((($B194*$L$4)+'Calculs 3D'!$C$9-OffsetX)/Ecran)*'Calculs 3D'!$C$31)+(((($C194*$L$4)+'Calculs 3D'!$D$9-OffsetY)/Ecran)*'Calculs 3D'!$D$31)+(((($D194*$L$4)+'Calculs 3D'!$E$9-OffsetZ)/Ecran)*'Calculs 3D'!$E$31)),0)</f>
        <v>-9.7078199254587952E-2</v>
      </c>
      <c r="M194" s="105">
        <f>IF(Body4Actif=TRUE,((((($B194*$L$4)+'Calculs 3D'!$C$9-OffsetX)/Ecran)*'Calculs 3D'!$C$32)+(((($C194*$L$4)+'Calculs 3D'!$D$9-OffsetY)/Ecran)*'Calculs 3D'!$D$32)+(((($D194*$L$4)+'Calculs 3D'!$E$9-OffsetZ)/Ecran)*'Calculs 3D'!$E$32)),0)</f>
        <v>-0.17826877806091115</v>
      </c>
      <c r="N194" s="105">
        <f>IF(Body5Actif=TRUE,((((($B194*$N$4)+'Calculs 3D'!$C$10-OffsetX)/Ecran)*'Calculs 3D'!$C$31)+(((($C194*$N$4)+'Calculs 3D'!$D$10-OffsetY)/Ecran)*'Calculs 3D'!$D$31)+(((($D194*$N$4)+'Calculs 3D'!$E$10-OffsetZ)/Ecran)*'Calculs 3D'!$E$31)),0)</f>
        <v>-2.0578438853490451E-3</v>
      </c>
      <c r="O194" s="105">
        <f>IF(Body5Actif=TRUE,((((($B194*$N$4)+'Calculs 3D'!$C$10-OffsetX)/Ecran)*'Calculs 3D'!$C$32)+(((($C194*$N$4)+'Calculs 3D'!$D$10-OffsetY)/Ecran)*'Calculs 3D'!$D$32)+(((($D194*$N$4)+'Calculs 3D'!$E$10-OffsetZ)/Ecran)*'Calculs 3D'!$E$32)),0)</f>
        <v>-1.2226671158606529E-2</v>
      </c>
      <c r="P194" s="105">
        <f>IF(Body6Actif=TRUE,((((($B194*$P$4)+'Calculs 3D'!$C$11-OffsetX)/Ecran)*'Calculs 3D'!$C$31)+(((($C194*$P$4)+'Calculs 3D'!$D$11-OffsetY)/Ecran)*'Calculs 3D'!$D$31)+(((($D194*$P$4)+'Calculs 3D'!$E$11-OffsetZ)/Ecran)*'Calculs 3D'!$E$31)),0)</f>
        <v>0.16645446073415898</v>
      </c>
      <c r="Q194" s="105">
        <f>IF(Body6Actif=TRUE,((((($B194*$P$4)+'Calculs 3D'!$C$11-OffsetX)/Ecran)*'Calculs 3D'!$C$32)+(((($C194*$P$4)+'Calculs 3D'!$D$11-OffsetY)/Ecran)*'Calculs 3D'!$D$32)+(((($D194*$P$4)+'Calculs 3D'!$E$11-OffsetZ)/Ecran)*'Calculs 3D'!$E$32)),0)</f>
        <v>0.1225537168709004</v>
      </c>
      <c r="R194" s="105">
        <f>IF(Body7Actif=TRUE,((((($B194*$R$4)+'Calculs 3D'!$C$12-OffsetX)/Ecran)*'Calculs 3D'!$C$31)+(((($C194*$R$4)+'Calculs 3D'!$D$12-OffsetY)/Ecran)*'Calculs 3D'!$D$31)+(((($D194*$R$4)+'Calculs 3D'!$E$12-OffsetZ)/Ecran)*'Calculs 3D'!$E$31)),0)</f>
        <v>-0.28497864105542636</v>
      </c>
      <c r="S194" s="105">
        <f>IF(Body7Actif=TRUE,((((($B194*$R$4)+'Calculs 3D'!$C$12-OffsetX)/Ecran)*'Calculs 3D'!$C$32)+(((($C194*$R$4)+'Calculs 3D'!$D$12-OffsetY)/Ecran)*'Calculs 3D'!$D$32)+(((($D194*$R$4)+'Calculs 3D'!$E$12-OffsetZ)/Ecran)*'Calculs 3D'!$E$32)),0)</f>
        <v>5.1797673956693893E-2</v>
      </c>
      <c r="T194" s="105">
        <f>IF(Body8Actif=TRUE,((((($B194*$T$4)+'Calculs 3D'!$C$13-OffsetX)/Ecran)*'Calculs 3D'!$C$31)+(((($C194*$T$4)+'Calculs 3D'!$D$13-OffsetY)/Ecran)*'Calculs 3D'!$D$31)+(((($D194*$T$4)+'Calculs 3D'!$E$13-OffsetZ)/Ecran)*'Calculs 3D'!$E$31)),0)</f>
        <v>0.16664151169920083</v>
      </c>
      <c r="U194" s="105">
        <f>IF(Body8Actif=TRUE,((((($B194*$T$4)+'Calculs 3D'!$C$13-OffsetX)/Ecran)*'Calculs 3D'!$C$32)+(((($C194*$T$4)+'Calculs 3D'!$D$13-OffsetY)/Ecran)*'Calculs 3D'!$D$32)+(((($D194*$T$4)+'Calculs 3D'!$E$13-OffsetZ)/Ecran)*'Calculs 3D'!$E$32)),0)</f>
        <v>-0.13437467135198228</v>
      </c>
      <c r="V194" s="105">
        <f>IF(Body9Actif=TRUE,((((($B194*$V$4)+'Calculs 3D'!$C$14-OffsetX)/Ecran)*'Calculs 3D'!$C$31)+(((($C194*$V$4)+'Calculs 3D'!$D$14-OffsetY)/Ecran)*'Calculs 3D'!$D$31)+(((($D194*$V$4)+'Calculs 3D'!$E$14-OffsetZ)/Ecran)*'Calculs 3D'!$E$31)),0)</f>
        <v>-0.17978082663390707</v>
      </c>
      <c r="W194" s="105">
        <f>IF(Body9Actif=TRUE,((((($B194*$V$4)+'Calculs 3D'!$C$14-OffsetX)/Ecran)*'Calculs 3D'!$C$32)+(((($C194*$V$4)+'Calculs 3D'!$D$14-OffsetY)/Ecran)*'Calculs 3D'!$D$32)+(((($D194*$V$4)+'Calculs 3D'!$E$14-OffsetZ)/Ecran)*'Calculs 3D'!$E$32)),0)</f>
        <v>0.28339534707131286</v>
      </c>
      <c r="X194" s="105">
        <f>IF(Body10Actif=TRUE,((((($B194*$X$4)+'Calculs 3D'!$C$15-OffsetX)/Ecran)*'Calculs 3D'!$C$31)+(((($C194*$X$4)+'Calculs 3D'!$D$15-OffsetY)/Ecran)*'Calculs 3D'!$D$31)+(((($D194*$X$4)+'Calculs 3D'!$E$15-OffsetZ)/Ecran)*'Calculs 3D'!$E$31)),0)</f>
        <v>-1.8645408290319535E-2</v>
      </c>
      <c r="Y194" s="105">
        <f>IF(Body10Actif=TRUE,((((($B194*$X$4)+'Calculs 3D'!$C$15-OffsetX)/Ecran)*'Calculs 3D'!$C$32)+(((($C194*$X$4)+'Calculs 3D'!$D$15-OffsetY)/Ecran)*'Calculs 3D'!$D$32)+(((($D194*$X$4)+'Calculs 3D'!$E$15-OffsetZ)/Ecran)*'Calculs 3D'!$E$32)),0)</f>
        <v>0.28457731595457653</v>
      </c>
    </row>
    <row r="195" spans="2:25" x14ac:dyDescent="0.3">
      <c r="B195" s="102">
        <v>-0.176335575687742</v>
      </c>
      <c r="C195" s="102">
        <v>-0.24270509831248424</v>
      </c>
      <c r="D195" s="102">
        <v>-0.95</v>
      </c>
      <c r="F195" s="105">
        <f>IF(Body1Actif=TRUE,((((($B195*$F$4)+'Calculs 3D'!$C$6-OffsetX)/Ecran)*'Calculs 3D'!$C$31)+(((($C195*$F$4)+'Calculs 3D'!$D$6-OffsetY)/Ecran)*'Calculs 3D'!$D$31)+(((($D195*$F$4)+'Calculs 3D'!$E$6-OffsetZ)/Ecran)*'Calculs 3D'!$E$31)),0)</f>
        <v>4.9501576168045673E-2</v>
      </c>
      <c r="G195" s="105">
        <f>IF(Body1Actif=TRUE,((((($B195*$F$4)+'Calculs 3D'!$C$6-OffsetX)/Ecran)*'Calculs 3D'!$C$32)+(((($C195*$F$4)+'Calculs 3D'!$D$6-OffsetY)/Ecran)*'Calculs 3D'!$D$32)+(((($D195*$F$4)+'Calculs 3D'!$E$6-OffsetZ)/Ecran)*'Calculs 3D'!$E$32)),0)</f>
        <v>0.26091321707088516</v>
      </c>
      <c r="H195" s="105">
        <f>IF(Body2Actif=TRUE,((((($B195*$H$4)+'Calculs 3D'!$C$7-OffsetX)/Ecran)*'Calculs 3D'!$C$31)+(((($C195*$H$4)+'Calculs 3D'!$D$7-OffsetY)/Ecran)*'Calculs 3D'!$D$31)+(((($D195*$H$4)+'Calculs 3D'!$E$7-OffsetZ)/Ecran)*'Calculs 3D'!$E$31)),0)</f>
        <v>2.1047836278122477E-2</v>
      </c>
      <c r="I195" s="105">
        <f>IF(Body2Actif=TRUE,((((($B195*$H$4)+'Calculs 3D'!$C$7-OffsetX)/Ecran)*'Calculs 3D'!$C$32)+(((($C195*$H$4)+'Calculs 3D'!$D$7-OffsetY)/Ecran)*'Calculs 3D'!$D$32)+(((($D195*$H$4)+'Calculs 3D'!$E$7-OffsetZ)/Ecran)*'Calculs 3D'!$E$32)),0)</f>
        <v>1.8821839913585388E-2</v>
      </c>
      <c r="J195" s="105">
        <f>IF(Body3Actif=TRUE,((((($B195*$J$4)+'Calculs 3D'!$C$8-OffsetX)/Ecran)*'Calculs 3D'!$C$31)+(((($C195*$J$4)+'Calculs 3D'!$D$8-OffsetY)/Ecran)*'Calculs 3D'!$D$31)+(((($D195*$J$4)+'Calculs 3D'!$E$8-OffsetZ)/Ecran)*'Calculs 3D'!$E$31)),0)</f>
        <v>0.21679330588635101</v>
      </c>
      <c r="K195" s="105">
        <f>IF(Body3Actif=TRUE,((((($B195*$J$4)+'Calculs 3D'!$C$8-OffsetX)/Ecran)*'Calculs 3D'!$C$32)+(((($C195*$J$4)+'Calculs 3D'!$D$8-OffsetY)/Ecran)*'Calculs 3D'!$D$32)+(((($D195*$J$4)+'Calculs 3D'!$E$8-OffsetZ)/Ecran)*'Calculs 3D'!$E$32)),0)</f>
        <v>-8.5977257635251741E-2</v>
      </c>
      <c r="L195" s="105">
        <f>IF(Body4Actif=TRUE,((((($B195*$L$4)+'Calculs 3D'!$C$9-OffsetX)/Ecran)*'Calculs 3D'!$C$31)+(((($C195*$L$4)+'Calculs 3D'!$D$9-OffsetY)/Ecran)*'Calculs 3D'!$D$31)+(((($D195*$L$4)+'Calculs 3D'!$E$9-OffsetZ)/Ecran)*'Calculs 3D'!$E$31)),0)</f>
        <v>-9.6953285379974885E-2</v>
      </c>
      <c r="M195" s="105">
        <f>IF(Body4Actif=TRUE,((((($B195*$L$4)+'Calculs 3D'!$C$9-OffsetX)/Ecran)*'Calculs 3D'!$C$32)+(((($C195*$L$4)+'Calculs 3D'!$D$9-OffsetY)/Ecran)*'Calculs 3D'!$D$32)+(((($D195*$L$4)+'Calculs 3D'!$E$9-OffsetZ)/Ecran)*'Calculs 3D'!$E$32)),0)</f>
        <v>-0.17875433497657378</v>
      </c>
      <c r="N195" s="105">
        <f>IF(Body5Actif=TRUE,((((($B195*$N$4)+'Calculs 3D'!$C$10-OffsetX)/Ecran)*'Calculs 3D'!$C$31)+(((($C195*$N$4)+'Calculs 3D'!$D$10-OffsetY)/Ecran)*'Calculs 3D'!$D$31)+(((($D195*$N$4)+'Calculs 3D'!$E$10-OffsetZ)/Ecran)*'Calculs 3D'!$E$31)),0)</f>
        <v>-1.9152432300484218E-3</v>
      </c>
      <c r="O195" s="105">
        <f>IF(Body5Actif=TRUE,((((($B195*$N$4)+'Calculs 3D'!$C$10-OffsetX)/Ecran)*'Calculs 3D'!$C$32)+(((($C195*$N$4)+'Calculs 3D'!$D$10-OffsetY)/Ecran)*'Calculs 3D'!$D$32)+(((($D195*$N$4)+'Calculs 3D'!$E$10-OffsetZ)/Ecran)*'Calculs 3D'!$E$32)),0)</f>
        <v>-1.2780978953266752E-2</v>
      </c>
      <c r="P195" s="105">
        <f>IF(Body6Actif=TRUE,((((($B195*$P$4)+'Calculs 3D'!$C$11-OffsetX)/Ecran)*'Calculs 3D'!$C$31)+(((($C195*$P$4)+'Calculs 3D'!$D$11-OffsetY)/Ecran)*'Calculs 3D'!$D$31)+(((($D195*$P$4)+'Calculs 3D'!$E$11-OffsetZ)/Ecran)*'Calculs 3D'!$E$31)),0)</f>
        <v>0.16666111342833823</v>
      </c>
      <c r="Q195" s="105">
        <f>IF(Body6Actif=TRUE,((((($B195*$P$4)+'Calculs 3D'!$C$11-OffsetX)/Ecran)*'Calculs 3D'!$C$32)+(((($C195*$P$4)+'Calculs 3D'!$D$11-OffsetY)/Ecran)*'Calculs 3D'!$D$32)+(((($D195*$P$4)+'Calculs 3D'!$E$11-OffsetZ)/Ecran)*'Calculs 3D'!$E$32)),0)</f>
        <v>0.12175043024553668</v>
      </c>
      <c r="R195" s="105">
        <f>IF(Body7Actif=TRUE,((((($B195*$R$4)+'Calculs 3D'!$C$12-OffsetX)/Ecran)*'Calculs 3D'!$C$31)+(((($C195*$R$4)+'Calculs 3D'!$D$12-OffsetY)/Ecran)*'Calculs 3D'!$D$31)+(((($D195*$R$4)+'Calculs 3D'!$E$12-OffsetZ)/Ecran)*'Calculs 3D'!$E$31)),0)</f>
        <v>-0.28477110729644045</v>
      </c>
      <c r="S195" s="105">
        <f>IF(Body7Actif=TRUE,((((($B195*$R$4)+'Calculs 3D'!$C$12-OffsetX)/Ecran)*'Calculs 3D'!$C$32)+(((($C195*$R$4)+'Calculs 3D'!$D$12-OffsetY)/Ecran)*'Calculs 3D'!$D$32)+(((($D195*$R$4)+'Calculs 3D'!$E$12-OffsetZ)/Ecran)*'Calculs 3D'!$E$32)),0)</f>
        <v>5.0990962514740903E-2</v>
      </c>
      <c r="T195" s="105">
        <f>IF(Body8Actif=TRUE,((((($B195*$T$4)+'Calculs 3D'!$C$13-OffsetX)/Ecran)*'Calculs 3D'!$C$31)+(((($C195*$T$4)+'Calculs 3D'!$D$13-OffsetY)/Ecran)*'Calculs 3D'!$D$31)+(((($D195*$T$4)+'Calculs 3D'!$E$13-OffsetZ)/Ecran)*'Calculs 3D'!$E$31)),0)</f>
        <v>0.16671636092536468</v>
      </c>
      <c r="U195" s="105">
        <f>IF(Body8Actif=TRUE,((((($B195*$T$4)+'Calculs 3D'!$C$13-OffsetX)/Ecran)*'Calculs 3D'!$C$32)+(((($C195*$T$4)+'Calculs 3D'!$D$13-OffsetY)/Ecran)*'Calculs 3D'!$D$32)+(((($D195*$T$4)+'Calculs 3D'!$E$13-OffsetZ)/Ecran)*'Calculs 3D'!$E$32)),0)</f>
        <v>-0.13466562029186926</v>
      </c>
      <c r="V195" s="105">
        <f>IF(Body9Actif=TRUE,((((($B195*$V$4)+'Calculs 3D'!$C$14-OffsetX)/Ecran)*'Calculs 3D'!$C$31)+(((($C195*$V$4)+'Calculs 3D'!$D$14-OffsetY)/Ecran)*'Calculs 3D'!$D$31)+(((($D195*$V$4)+'Calculs 3D'!$E$14-OffsetZ)/Ecran)*'Calculs 3D'!$E$31)),0)</f>
        <v>-0.17967697213943401</v>
      </c>
      <c r="W195" s="105">
        <f>IF(Body9Actif=TRUE,((((($B195*$V$4)+'Calculs 3D'!$C$14-OffsetX)/Ecran)*'Calculs 3D'!$C$32)+(((($C195*$V$4)+'Calculs 3D'!$D$14-OffsetY)/Ecran)*'Calculs 3D'!$D$32)+(((($D195*$V$4)+'Calculs 3D'!$E$14-OffsetZ)/Ecran)*'Calculs 3D'!$E$32)),0)</f>
        <v>0.28299165077920563</v>
      </c>
      <c r="X195" s="105">
        <f>IF(Body10Actif=TRUE,((((($B195*$X$4)+'Calculs 3D'!$C$15-OffsetX)/Ecran)*'Calculs 3D'!$C$31)+(((($C195*$X$4)+'Calculs 3D'!$D$15-OffsetY)/Ecran)*'Calculs 3D'!$D$31)+(((($D195*$X$4)+'Calculs 3D'!$E$15-OffsetZ)/Ecran)*'Calculs 3D'!$E$31)),0)</f>
        <v>-1.8488644698224893E-2</v>
      </c>
      <c r="Y195" s="105">
        <f>IF(Body10Actif=TRUE,((((($B195*$X$4)+'Calculs 3D'!$C$15-OffsetX)/Ecran)*'Calculs 3D'!$C$32)+(((($C195*$X$4)+'Calculs 3D'!$D$15-OffsetY)/Ecran)*'Calculs 3D'!$D$32)+(((($D195*$X$4)+'Calculs 3D'!$E$15-OffsetZ)/Ecran)*'Calculs 3D'!$E$32)),0)</f>
        <v>0.28396795493282112</v>
      </c>
    </row>
    <row r="196" spans="2:25" x14ac:dyDescent="0.3">
      <c r="B196" s="102">
        <v>-9.2705098312484288E-2</v>
      </c>
      <c r="C196" s="102">
        <v>-0.28531695488854608</v>
      </c>
      <c r="D196" s="102">
        <v>-0.95</v>
      </c>
      <c r="F196" s="105">
        <f>IF(Body1Actif=TRUE,((((($B196*$F$4)+'Calculs 3D'!$C$6-OffsetX)/Ecran)*'Calculs 3D'!$C$31)+(((($C196*$F$4)+'Calculs 3D'!$D$6-OffsetY)/Ecran)*'Calculs 3D'!$D$31)+(((($D196*$F$4)+'Calculs 3D'!$E$6-OffsetZ)/Ecran)*'Calculs 3D'!$E$31)),0)</f>
        <v>4.9662514719536581E-2</v>
      </c>
      <c r="G196" s="105">
        <f>IF(Body1Actif=TRUE,((((($B196*$F$4)+'Calculs 3D'!$C$6-OffsetX)/Ecran)*'Calculs 3D'!$C$32)+(((($C196*$F$4)+'Calculs 3D'!$D$6-OffsetY)/Ecran)*'Calculs 3D'!$D$32)+(((($D196*$F$4)+'Calculs 3D'!$E$6-OffsetZ)/Ecran)*'Calculs 3D'!$E$32)),0)</f>
        <v>0.26071875442697606</v>
      </c>
      <c r="H196" s="105">
        <f>IF(Body2Actif=TRUE,((((($B196*$H$4)+'Calculs 3D'!$C$7-OffsetX)/Ecran)*'Calculs 3D'!$C$31)+(((($C196*$H$4)+'Calculs 3D'!$D$7-OffsetY)/Ecran)*'Calculs 3D'!$D$31)+(((($D196*$H$4)+'Calculs 3D'!$E$7-OffsetZ)/Ecran)*'Calculs 3D'!$E$31)),0)</f>
        <v>2.1675154866532421E-2</v>
      </c>
      <c r="I196" s="105">
        <f>IF(Body2Actif=TRUE,((((($B196*$H$4)+'Calculs 3D'!$C$7-OffsetX)/Ecran)*'Calculs 3D'!$C$32)+(((($C196*$H$4)+'Calculs 3D'!$D$7-OffsetY)/Ecran)*'Calculs 3D'!$D$32)+(((($D196*$H$4)+'Calculs 3D'!$E$7-OffsetZ)/Ecran)*'Calculs 3D'!$E$32)),0)</f>
        <v>1.806384855511076E-2</v>
      </c>
      <c r="J196" s="105">
        <f>IF(Body3Actif=TRUE,((((($B196*$J$4)+'Calculs 3D'!$C$8-OffsetX)/Ecran)*'Calculs 3D'!$C$31)+(((($C196*$J$4)+'Calculs 3D'!$D$8-OffsetY)/Ecran)*'Calculs 3D'!$D$31)+(((($D196*$J$4)+'Calculs 3D'!$E$8-OffsetZ)/Ecran)*'Calculs 3D'!$E$31)),0)</f>
        <v>0.21707210020206552</v>
      </c>
      <c r="K196" s="105">
        <f>IF(Body3Actif=TRUE,((((($B196*$J$4)+'Calculs 3D'!$C$8-OffsetX)/Ecran)*'Calculs 3D'!$C$32)+(((($C196*$J$4)+'Calculs 3D'!$D$8-OffsetY)/Ecran)*'Calculs 3D'!$D$32)+(((($D196*$J$4)+'Calculs 3D'!$E$8-OffsetZ)/Ecran)*'Calculs 3D'!$E$32)),0)</f>
        <v>-8.6314125832700012E-2</v>
      </c>
      <c r="L196" s="105">
        <f>IF(Body4Actif=TRUE,((((($B196*$L$4)+'Calculs 3D'!$C$9-OffsetX)/Ecran)*'Calculs 3D'!$C$31)+(((($C196*$L$4)+'Calculs 3D'!$D$9-OffsetY)/Ecran)*'Calculs 3D'!$D$31)+(((($D196*$L$4)+'Calculs 3D'!$E$9-OffsetZ)/Ecran)*'Calculs 3D'!$E$31)),0)</f>
        <v>-9.6590771196508912E-2</v>
      </c>
      <c r="M196" s="105">
        <f>IF(Body4Actif=TRUE,((((($B196*$L$4)+'Calculs 3D'!$C$9-OffsetX)/Ecran)*'Calculs 3D'!$C$32)+(((($C196*$L$4)+'Calculs 3D'!$D$9-OffsetY)/Ecran)*'Calculs 3D'!$D$32)+(((($D196*$L$4)+'Calculs 3D'!$E$9-OffsetZ)/Ecran)*'Calculs 3D'!$E$32)),0)</f>
        <v>-0.17919236219825738</v>
      </c>
      <c r="N196" s="105">
        <f>IF(Body5Actif=TRUE,((((($B196*$N$4)+'Calculs 3D'!$C$10-OffsetX)/Ecran)*'Calculs 3D'!$C$31)+(((($C196*$N$4)+'Calculs 3D'!$D$10-OffsetY)/Ecran)*'Calculs 3D'!$D$31)+(((($D196*$N$4)+'Calculs 3D'!$E$10-OffsetZ)/Ecran)*'Calculs 3D'!$E$31)),0)</f>
        <v>-1.5014000098445626E-3</v>
      </c>
      <c r="O196" s="105">
        <f>IF(Body5Actif=TRUE,((((($B196*$N$4)+'Calculs 3D'!$C$10-OffsetX)/Ecran)*'Calculs 3D'!$C$32)+(((($C196*$N$4)+'Calculs 3D'!$D$10-OffsetY)/Ecran)*'Calculs 3D'!$D$32)+(((($D196*$N$4)+'Calculs 3D'!$E$10-OffsetZ)/Ecran)*'Calculs 3D'!$E$32)),0)</f>
        <v>-1.3281027238896133E-2</v>
      </c>
      <c r="P196" s="105">
        <f>IF(Body6Actif=TRUE,((((($B196*$P$4)+'Calculs 3D'!$C$11-OffsetX)/Ecran)*'Calculs 3D'!$C$31)+(((($C196*$P$4)+'Calculs 3D'!$D$11-OffsetY)/Ecran)*'Calculs 3D'!$D$31)+(((($D196*$P$4)+'Calculs 3D'!$E$11-OffsetZ)/Ecran)*'Calculs 3D'!$E$31)),0)</f>
        <v>0.16726084290533569</v>
      </c>
      <c r="Q196" s="105">
        <f>IF(Body6Actif=TRUE,((((($B196*$P$4)+'Calculs 3D'!$C$11-OffsetX)/Ecran)*'Calculs 3D'!$C$32)+(((($C196*$P$4)+'Calculs 3D'!$D$11-OffsetY)/Ecran)*'Calculs 3D'!$D$32)+(((($D196*$P$4)+'Calculs 3D'!$E$11-OffsetZ)/Ecran)*'Calculs 3D'!$E$32)),0)</f>
        <v>0.12102577491189062</v>
      </c>
      <c r="R196" s="105">
        <f>IF(Body7Actif=TRUE,((((($B196*$R$4)+'Calculs 3D'!$C$12-OffsetX)/Ecran)*'Calculs 3D'!$C$31)+(((($C196*$R$4)+'Calculs 3D'!$D$12-OffsetY)/Ecran)*'Calculs 3D'!$D$31)+(((($D196*$R$4)+'Calculs 3D'!$E$12-OffsetZ)/Ecran)*'Calculs 3D'!$E$31)),0)</f>
        <v>-0.28416882086978512</v>
      </c>
      <c r="S196" s="105">
        <f>IF(Body7Actif=TRUE,((((($B196*$R$4)+'Calculs 3D'!$C$12-OffsetX)/Ecran)*'Calculs 3D'!$C$32)+(((($C196*$R$4)+'Calculs 3D'!$D$12-OffsetY)/Ecran)*'Calculs 3D'!$D$32)+(((($D196*$R$4)+'Calculs 3D'!$E$12-OffsetZ)/Ecran)*'Calculs 3D'!$E$32)),0)</f>
        <v>5.026321760941535E-2</v>
      </c>
      <c r="T196" s="105">
        <f>IF(Body8Actif=TRUE,((((($B196*$T$4)+'Calculs 3D'!$C$13-OffsetX)/Ecran)*'Calculs 3D'!$C$31)+(((($C196*$T$4)+'Calculs 3D'!$D$13-OffsetY)/Ecran)*'Calculs 3D'!$D$31)+(((($D196*$T$4)+'Calculs 3D'!$E$13-OffsetZ)/Ecran)*'Calculs 3D'!$E$31)),0)</f>
        <v>0.16693358184009405</v>
      </c>
      <c r="U196" s="105">
        <f>IF(Body8Actif=TRUE,((((($B196*$T$4)+'Calculs 3D'!$C$13-OffsetX)/Ecran)*'Calculs 3D'!$C$32)+(((($C196*$T$4)+'Calculs 3D'!$D$13-OffsetY)/Ecran)*'Calculs 3D'!$D$32)+(((($D196*$T$4)+'Calculs 3D'!$E$13-OffsetZ)/Ecran)*'Calculs 3D'!$E$32)),0)</f>
        <v>-0.13492808912235965</v>
      </c>
      <c r="V196" s="105">
        <f>IF(Body9Actif=TRUE,((((($B196*$V$4)+'Calculs 3D'!$C$14-OffsetX)/Ecran)*'Calculs 3D'!$C$31)+(((($C196*$V$4)+'Calculs 3D'!$D$14-OffsetY)/Ecran)*'Calculs 3D'!$D$31)+(((($D196*$V$4)+'Calculs 3D'!$E$14-OffsetZ)/Ecran)*'Calculs 3D'!$E$31)),0)</f>
        <v>-0.17937557465753062</v>
      </c>
      <c r="W196" s="105">
        <f>IF(Body9Actif=TRUE,((((($B196*$V$4)+'Calculs 3D'!$C$14-OffsetX)/Ecran)*'Calculs 3D'!$C$32)+(((($C196*$V$4)+'Calculs 3D'!$D$14-OffsetY)/Ecran)*'Calculs 3D'!$D$32)+(((($D196*$V$4)+'Calculs 3D'!$E$14-OffsetZ)/Ecran)*'Calculs 3D'!$E$32)),0)</f>
        <v>0.28262747109288727</v>
      </c>
      <c r="X196" s="105">
        <f>IF(Body10Actif=TRUE,((((($B196*$X$4)+'Calculs 3D'!$C$15-OffsetX)/Ecran)*'Calculs 3D'!$C$31)+(((($C196*$X$4)+'Calculs 3D'!$D$15-OffsetY)/Ecran)*'Calculs 3D'!$D$31)+(((($D196*$X$4)+'Calculs 3D'!$E$15-OffsetZ)/Ecran)*'Calculs 3D'!$E$31)),0)</f>
        <v>-1.8033699034571485E-2</v>
      </c>
      <c r="Y196" s="105">
        <f>IF(Body10Actif=TRUE,((((($B196*$X$4)+'Calculs 3D'!$C$15-OffsetX)/Ecran)*'Calculs 3D'!$C$32)+(((($C196*$X$4)+'Calculs 3D'!$D$15-OffsetY)/Ecran)*'Calculs 3D'!$D$32)+(((($D196*$X$4)+'Calculs 3D'!$E$15-OffsetZ)/Ecran)*'Calculs 3D'!$E$32)),0)</f>
        <v>0.28341824241354302</v>
      </c>
    </row>
    <row r="197" spans="2:25" x14ac:dyDescent="0.3">
      <c r="B197" s="102">
        <v>-5.5131680470887907E-17</v>
      </c>
      <c r="C197" s="102">
        <v>-0.30000000000000004</v>
      </c>
      <c r="D197" s="102">
        <v>-0.95</v>
      </c>
      <c r="F197" s="105">
        <f>IF(Body1Actif=TRUE,((((($B197*$F$4)+'Calculs 3D'!$C$6-OffsetX)/Ecran)*'Calculs 3D'!$C$31)+(((($C197*$F$4)+'Calculs 3D'!$D$6-OffsetY)/Ecran)*'Calculs 3D'!$D$31)+(((($D197*$F$4)+'Calculs 3D'!$E$6-OffsetZ)/Ecran)*'Calculs 3D'!$E$31)),0)</f>
        <v>4.9913182390289239E-2</v>
      </c>
      <c r="G197" s="105">
        <f>IF(Body1Actif=TRUE,((((($B197*$F$4)+'Calculs 3D'!$C$6-OffsetX)/Ecran)*'Calculs 3D'!$C$32)+(((($C197*$F$4)+'Calculs 3D'!$D$6-OffsetY)/Ecran)*'Calculs 3D'!$D$32)+(((($D197*$F$4)+'Calculs 3D'!$E$6-OffsetZ)/Ecran)*'Calculs 3D'!$E$32)),0)</f>
        <v>0.26056442799898405</v>
      </c>
      <c r="H197" s="105">
        <f>IF(Body2Actif=TRUE,((((($B197*$H$4)+'Calculs 3D'!$C$7-OffsetX)/Ecran)*'Calculs 3D'!$C$31)+(((($C197*$H$4)+'Calculs 3D'!$D$7-OffsetY)/Ecran)*'Calculs 3D'!$D$31)+(((($D197*$H$4)+'Calculs 3D'!$E$7-OffsetZ)/Ecran)*'Calculs 3D'!$E$31)),0)</f>
        <v>2.2652226475043016E-2</v>
      </c>
      <c r="I197" s="105">
        <f>IF(Body2Actif=TRUE,((((($B197*$H$4)+'Calculs 3D'!$C$7-OffsetX)/Ecran)*'Calculs 3D'!$C$32)+(((($C197*$H$4)+'Calculs 3D'!$D$7-OffsetY)/Ecran)*'Calculs 3D'!$D$32)+(((($D197*$H$4)+'Calculs 3D'!$E$7-OffsetZ)/Ecran)*'Calculs 3D'!$E$32)),0)</f>
        <v>1.7462303207116316E-2</v>
      </c>
      <c r="J197" s="105">
        <f>IF(Body3Actif=TRUE,((((($B197*$J$4)+'Calculs 3D'!$C$8-OffsetX)/Ecran)*'Calculs 3D'!$C$31)+(((($C197*$J$4)+'Calculs 3D'!$D$8-OffsetY)/Ecran)*'Calculs 3D'!$D$31)+(((($D197*$J$4)+'Calculs 3D'!$E$8-OffsetZ)/Ecran)*'Calculs 3D'!$E$31)),0)</f>
        <v>0.21750633252919813</v>
      </c>
      <c r="K197" s="105">
        <f>IF(Body3Actif=TRUE,((((($B197*$J$4)+'Calculs 3D'!$C$8-OffsetX)/Ecran)*'Calculs 3D'!$C$32)+(((($C197*$J$4)+'Calculs 3D'!$D$8-OffsetY)/Ecran)*'Calculs 3D'!$D$32)+(((($D197*$J$4)+'Calculs 3D'!$E$8-OffsetZ)/Ecran)*'Calculs 3D'!$E$32)),0)</f>
        <v>-8.658146594785654E-2</v>
      </c>
      <c r="L197" s="105">
        <f>IF(Body4Actif=TRUE,((((($B197*$L$4)+'Calculs 3D'!$C$9-OffsetX)/Ecran)*'Calculs 3D'!$C$31)+(((($C197*$L$4)+'Calculs 3D'!$D$9-OffsetY)/Ecran)*'Calculs 3D'!$D$31)+(((($D197*$L$4)+'Calculs 3D'!$E$9-OffsetZ)/Ecran)*'Calculs 3D'!$E$31)),0)</f>
        <v>-9.6026142118252542E-2</v>
      </c>
      <c r="M197" s="105">
        <f>IF(Body4Actif=TRUE,((((($B197*$L$4)+'Calculs 3D'!$C$9-OffsetX)/Ecran)*'Calculs 3D'!$C$32)+(((($C197*$L$4)+'Calculs 3D'!$D$9-OffsetY)/Ecran)*'Calculs 3D'!$D$32)+(((($D197*$L$4)+'Calculs 3D'!$E$9-OffsetZ)/Ecran)*'Calculs 3D'!$E$32)),0)</f>
        <v>-0.17953998256958847</v>
      </c>
      <c r="N197" s="105">
        <f>IF(Body5Actif=TRUE,((((($B197*$N$4)+'Calculs 3D'!$C$10-OffsetX)/Ecran)*'Calculs 3D'!$C$31)+(((($C197*$N$4)+'Calculs 3D'!$D$10-OffsetY)/Ecran)*'Calculs 3D'!$D$31)+(((($D197*$N$4)+'Calculs 3D'!$E$10-OffsetZ)/Ecran)*'Calculs 3D'!$E$31)),0)</f>
        <v>-8.568240825462866E-4</v>
      </c>
      <c r="O197" s="105">
        <f>IF(Body5Actif=TRUE,((((($B197*$N$4)+'Calculs 3D'!$C$10-OffsetX)/Ecran)*'Calculs 3D'!$C$32)+(((($C197*$N$4)+'Calculs 3D'!$D$10-OffsetY)/Ecran)*'Calculs 3D'!$D$32)+(((($D197*$N$4)+'Calculs 3D'!$E$10-OffsetZ)/Ecran)*'Calculs 3D'!$E$32)),0)</f>
        <v>-1.3677867805255994E-2</v>
      </c>
      <c r="P197" s="105">
        <f>IF(Body6Actif=TRUE,((((($B197*$P$4)+'Calculs 3D'!$C$11-OffsetX)/Ecran)*'Calculs 3D'!$C$31)+(((($C197*$P$4)+'Calculs 3D'!$D$11-OffsetY)/Ecran)*'Calculs 3D'!$D$31)+(((($D197*$P$4)+'Calculs 3D'!$E$11-OffsetZ)/Ecran)*'Calculs 3D'!$E$31)),0)</f>
        <v>0.16819494346538194</v>
      </c>
      <c r="Q197" s="105">
        <f>IF(Body6Actif=TRUE,((((($B197*$P$4)+'Calculs 3D'!$C$11-OffsetX)/Ecran)*'Calculs 3D'!$C$32)+(((($C197*$P$4)+'Calculs 3D'!$D$11-OffsetY)/Ecran)*'Calculs 3D'!$D$32)+(((($D197*$P$4)+'Calculs 3D'!$E$11-OffsetZ)/Ecran)*'Calculs 3D'!$E$32)),0)</f>
        <v>0.12045068518299003</v>
      </c>
      <c r="R197" s="105">
        <f>IF(Body7Actif=TRUE,((((($B197*$R$4)+'Calculs 3D'!$C$12-OffsetX)/Ecran)*'Calculs 3D'!$C$31)+(((($C197*$R$4)+'Calculs 3D'!$D$12-OffsetY)/Ecran)*'Calculs 3D'!$D$31)+(((($D197*$R$4)+'Calculs 3D'!$E$12-OffsetZ)/Ecran)*'Calculs 3D'!$E$31)),0)</f>
        <v>-0.28323073776727747</v>
      </c>
      <c r="S197" s="105">
        <f>IF(Body7Actif=TRUE,((((($B197*$R$4)+'Calculs 3D'!$C$12-OffsetX)/Ecran)*'Calculs 3D'!$C$32)+(((($C197*$R$4)+'Calculs 3D'!$D$12-OffsetY)/Ecran)*'Calculs 3D'!$D$32)+(((($D197*$R$4)+'Calculs 3D'!$E$12-OffsetZ)/Ecran)*'Calculs 3D'!$E$32)),0)</f>
        <v>4.9685675982547473E-2</v>
      </c>
      <c r="T197" s="105">
        <f>IF(Body8Actif=TRUE,((((($B197*$T$4)+'Calculs 3D'!$C$13-OffsetX)/Ecran)*'Calculs 3D'!$C$31)+(((($C197*$T$4)+'Calculs 3D'!$D$13-OffsetY)/Ecran)*'Calculs 3D'!$D$31)+(((($D197*$T$4)+'Calculs 3D'!$E$13-OffsetZ)/Ecran)*'Calculs 3D'!$E$31)),0)</f>
        <v>0.1672719113467882</v>
      </c>
      <c r="U197" s="105">
        <f>IF(Body8Actif=TRUE,((((($B197*$T$4)+'Calculs 3D'!$C$13-OffsetX)/Ecran)*'Calculs 3D'!$C$32)+(((($C197*$T$4)+'Calculs 3D'!$D$13-OffsetY)/Ecran)*'Calculs 3D'!$D$32)+(((($D197*$T$4)+'Calculs 3D'!$E$13-OffsetZ)/Ecran)*'Calculs 3D'!$E$32)),0)</f>
        <v>-0.13513638556559715</v>
      </c>
      <c r="V197" s="105">
        <f>IF(Body9Actif=TRUE,((((($B197*$V$4)+'Calculs 3D'!$C$14-OffsetX)/Ecran)*'Calculs 3D'!$C$31)+(((($C197*$V$4)+'Calculs 3D'!$D$14-OffsetY)/Ecran)*'Calculs 3D'!$D$31)+(((($D197*$V$4)+'Calculs 3D'!$E$14-OffsetZ)/Ecran)*'Calculs 3D'!$E$31)),0)</f>
        <v>-0.1789061370736853</v>
      </c>
      <c r="W197" s="105">
        <f>IF(Body9Actif=TRUE,((((($B197*$V$4)+'Calculs 3D'!$C$14-OffsetX)/Ecran)*'Calculs 3D'!$C$32)+(((($C197*$V$4)+'Calculs 3D'!$D$14-OffsetY)/Ecran)*'Calculs 3D'!$D$32)+(((($D197*$V$4)+'Calculs 3D'!$E$14-OffsetZ)/Ecran)*'Calculs 3D'!$E$32)),0)</f>
        <v>0.28233845645744376</v>
      </c>
      <c r="X197" s="105">
        <f>IF(Body10Actif=TRUE,((((($B197*$X$4)+'Calculs 3D'!$C$15-OffsetX)/Ecran)*'Calculs 3D'!$C$31)+(((($C197*$X$4)+'Calculs 3D'!$D$15-OffsetY)/Ecran)*'Calculs 3D'!$D$31)+(((($D197*$X$4)+'Calculs 3D'!$E$15-OffsetZ)/Ecran)*'Calculs 3D'!$E$31)),0)</f>
        <v>-1.732510455071043E-2</v>
      </c>
      <c r="Y197" s="105">
        <f>IF(Body10Actif=TRUE,((((($B197*$X$4)+'Calculs 3D'!$C$15-OffsetX)/Ecran)*'Calculs 3D'!$C$32)+(((($C197*$X$4)+'Calculs 3D'!$D$15-OffsetY)/Ecran)*'Calculs 3D'!$D$32)+(((($D197*$X$4)+'Calculs 3D'!$E$15-OffsetZ)/Ecran)*'Calculs 3D'!$E$32)),0)</f>
        <v>0.28298198808820152</v>
      </c>
    </row>
    <row r="198" spans="2:25" x14ac:dyDescent="0.3">
      <c r="B198" s="102">
        <v>9.2705098312484177E-2</v>
      </c>
      <c r="C198" s="102">
        <v>-0.28531695488854614</v>
      </c>
      <c r="D198" s="102">
        <v>-0.95</v>
      </c>
      <c r="F198" s="105">
        <f>IF(Body1Actif=TRUE,((((($B198*$F$4)+'Calculs 3D'!$C$6-OffsetX)/Ecran)*'Calculs 3D'!$C$31)+(((($C198*$F$4)+'Calculs 3D'!$D$6-OffsetY)/Ecran)*'Calculs 3D'!$D$31)+(((($D198*$F$4)+'Calculs 3D'!$E$6-OffsetZ)/Ecran)*'Calculs 3D'!$E$31)),0)</f>
        <v>5.0229042082186058E-2</v>
      </c>
      <c r="G198" s="105">
        <f>IF(Body1Actif=TRUE,((((($B198*$F$4)+'Calculs 3D'!$C$6-OffsetX)/Ecran)*'Calculs 3D'!$C$32)+(((($C198*$F$4)+'Calculs 3D'!$D$6-OffsetY)/Ecran)*'Calculs 3D'!$D$32)+(((($D198*$F$4)+'Calculs 3D'!$E$6-OffsetZ)/Ecran)*'Calculs 3D'!$E$32)),0)</f>
        <v>0.26046534433293639</v>
      </c>
      <c r="H198" s="105">
        <f>IF(Body2Actif=TRUE,((((($B198*$H$4)+'Calculs 3D'!$C$7-OffsetX)/Ecran)*'Calculs 3D'!$C$31)+(((($C198*$H$4)+'Calculs 3D'!$D$7-OffsetY)/Ecran)*'Calculs 3D'!$D$31)+(((($D198*$H$4)+'Calculs 3D'!$E$7-OffsetZ)/Ecran)*'Calculs 3D'!$E$31)),0)</f>
        <v>2.388340852695504E-2</v>
      </c>
      <c r="I198" s="105">
        <f>IF(Body2Actif=TRUE,((((($B198*$H$4)+'Calculs 3D'!$C$7-OffsetX)/Ecran)*'Calculs 3D'!$C$32)+(((($C198*$H$4)+'Calculs 3D'!$D$7-OffsetY)/Ecran)*'Calculs 3D'!$D$32)+(((($D198*$H$4)+'Calculs 3D'!$E$7-OffsetZ)/Ecran)*'Calculs 3D'!$E$32)),0)</f>
        <v>1.7076087319476636E-2</v>
      </c>
      <c r="J198" s="105">
        <f>IF(Body3Actif=TRUE,((((($B198*$J$4)+'Calculs 3D'!$C$8-OffsetX)/Ecran)*'Calculs 3D'!$C$31)+(((($C198*$J$4)+'Calculs 3D'!$D$8-OffsetY)/Ecran)*'Calculs 3D'!$D$31)+(((($D198*$J$4)+'Calculs 3D'!$E$8-OffsetZ)/Ecran)*'Calculs 3D'!$E$31)),0)</f>
        <v>0.21805349718209455</v>
      </c>
      <c r="K198" s="105">
        <f>IF(Body3Actif=TRUE,((((($B198*$J$4)+'Calculs 3D'!$C$8-OffsetX)/Ecran)*'Calculs 3D'!$C$32)+(((($C198*$J$4)+'Calculs 3D'!$D$8-OffsetY)/Ecran)*'Calculs 3D'!$D$32)+(((($D198*$J$4)+'Calculs 3D'!$E$8-OffsetZ)/Ecran)*'Calculs 3D'!$E$32)),0)</f>
        <v>-8.6753108867581766E-2</v>
      </c>
      <c r="L198" s="105">
        <f>IF(Body4Actif=TRUE,((((($B198*$L$4)+'Calculs 3D'!$C$9-OffsetX)/Ecran)*'Calculs 3D'!$C$31)+(((($C198*$L$4)+'Calculs 3D'!$D$9-OffsetY)/Ecran)*'Calculs 3D'!$D$31)+(((($D198*$L$4)+'Calculs 3D'!$E$9-OffsetZ)/Ecran)*'Calculs 3D'!$E$31)),0)</f>
        <v>-9.5314667973387612E-2</v>
      </c>
      <c r="M198" s="105">
        <f>IF(Body4Actif=TRUE,((((($B198*$L$4)+'Calculs 3D'!$C$9-OffsetX)/Ecran)*'Calculs 3D'!$C$32)+(((($C198*$L$4)+'Calculs 3D'!$D$9-OffsetY)/Ecran)*'Calculs 3D'!$D$32)+(((($D198*$L$4)+'Calculs 3D'!$E$9-OffsetZ)/Ecran)*'Calculs 3D'!$E$32)),0)</f>
        <v>-0.1797631685866076</v>
      </c>
      <c r="N198" s="105">
        <f>IF(Body5Actif=TRUE,((((($B198*$N$4)+'Calculs 3D'!$C$10-OffsetX)/Ecran)*'Calculs 3D'!$C$31)+(((($C198*$N$4)+'Calculs 3D'!$D$10-OffsetY)/Ecran)*'Calculs 3D'!$D$31)+(((($D198*$N$4)+'Calculs 3D'!$E$10-OffsetZ)/Ecran)*'Calculs 3D'!$E$31)),0)</f>
        <v>-4.4611030942114278E-5</v>
      </c>
      <c r="O198" s="105">
        <f>IF(Body5Actif=TRUE,((((($B198*$N$4)+'Calculs 3D'!$C$10-OffsetX)/Ecran)*'Calculs 3D'!$C$32)+(((($C198*$N$4)+'Calculs 3D'!$D$10-OffsetY)/Ecran)*'Calculs 3D'!$D$32)+(((($D198*$N$4)+'Calculs 3D'!$E$10-OffsetZ)/Ecran)*'Calculs 3D'!$E$32)),0)</f>
        <v>-1.3932655132760223E-2</v>
      </c>
      <c r="P198" s="105">
        <f>IF(Body6Actif=TRUE,((((($B198*$P$4)+'Calculs 3D'!$C$11-OffsetX)/Ecran)*'Calculs 3D'!$C$31)+(((($C198*$P$4)+'Calculs 3D'!$D$11-OffsetY)/Ecran)*'Calculs 3D'!$D$31)+(((($D198*$P$4)+'Calculs 3D'!$E$11-OffsetZ)/Ecran)*'Calculs 3D'!$E$31)),0)</f>
        <v>0.1693719788373983</v>
      </c>
      <c r="Q198" s="105">
        <f>IF(Body6Actif=TRUE,((((($B198*$P$4)+'Calculs 3D'!$C$11-OffsetX)/Ecran)*'Calculs 3D'!$C$32)+(((($C198*$P$4)+'Calculs 3D'!$D$11-OffsetY)/Ecran)*'Calculs 3D'!$D$32)+(((($D198*$P$4)+'Calculs 3D'!$E$11-OffsetZ)/Ecran)*'Calculs 3D'!$E$32)),0)</f>
        <v>0.12008145484838546</v>
      </c>
      <c r="R198" s="105">
        <f>IF(Body7Actif=TRUE,((((($B198*$R$4)+'Calculs 3D'!$C$12-OffsetX)/Ecran)*'Calculs 3D'!$C$31)+(((($C198*$R$4)+'Calculs 3D'!$D$12-OffsetY)/Ecran)*'Calculs 3D'!$D$31)+(((($D198*$R$4)+'Calculs 3D'!$E$12-OffsetZ)/Ecran)*'Calculs 3D'!$E$31)),0)</f>
        <v>-0.28204868409900052</v>
      </c>
      <c r="S198" s="105">
        <f>IF(Body7Actif=TRUE,((((($B198*$R$4)+'Calculs 3D'!$C$12-OffsetX)/Ecran)*'Calculs 3D'!$C$32)+(((($C198*$R$4)+'Calculs 3D'!$D$12-OffsetY)/Ecran)*'Calculs 3D'!$D$32)+(((($D198*$R$4)+'Calculs 3D'!$E$12-OffsetZ)/Ecran)*'Calculs 3D'!$E$32)),0)</f>
        <v>4.9314871432544205E-2</v>
      </c>
      <c r="T198" s="105">
        <f>IF(Body8Actif=TRUE,((((($B198*$T$4)+'Calculs 3D'!$C$13-OffsetX)/Ecran)*'Calculs 3D'!$C$31)+(((($C198*$T$4)+'Calculs 3D'!$D$13-OffsetY)/Ecran)*'Calculs 3D'!$D$31)+(((($D198*$T$4)+'Calculs 3D'!$E$13-OffsetZ)/Ecran)*'Calculs 3D'!$E$31)),0)</f>
        <v>0.16769823139605153</v>
      </c>
      <c r="U198" s="105">
        <f>IF(Body8Actif=TRUE,((((($B198*$T$4)+'Calculs 3D'!$C$13-OffsetX)/Ecran)*'Calculs 3D'!$C$32)+(((($C198*$T$4)+'Calculs 3D'!$D$13-OffsetY)/Ecran)*'Calculs 3D'!$D$32)+(((($D198*$T$4)+'Calculs 3D'!$E$13-OffsetZ)/Ecran)*'Calculs 3D'!$E$32)),0)</f>
        <v>-0.13527012011443104</v>
      </c>
      <c r="V198" s="105">
        <f>IF(Body9Actif=TRUE,((((($B198*$V$4)+'Calculs 3D'!$C$14-OffsetX)/Ecran)*'Calculs 3D'!$C$31)+(((($C198*$V$4)+'Calculs 3D'!$D$14-OffsetY)/Ecran)*'Calculs 3D'!$D$31)+(((($D198*$V$4)+'Calculs 3D'!$E$14-OffsetZ)/Ecran)*'Calculs 3D'!$E$31)),0)</f>
        <v>-0.17831461120936892</v>
      </c>
      <c r="W198" s="105">
        <f>IF(Body9Actif=TRUE,((((($B198*$V$4)+'Calculs 3D'!$C$14-OffsetX)/Ecran)*'Calculs 3D'!$C$32)+(((($C198*$V$4)+'Calculs 3D'!$D$14-OffsetY)/Ecran)*'Calculs 3D'!$D$32)+(((($D198*$V$4)+'Calculs 3D'!$E$14-OffsetZ)/Ecran)*'Calculs 3D'!$E$32)),0)</f>
        <v>0.28215289763907569</v>
      </c>
      <c r="X198" s="105">
        <f>IF(Body10Actif=TRUE,((((($B198*$X$4)+'Calculs 3D'!$C$15-OffsetX)/Ecran)*'Calculs 3D'!$C$31)+(((($C198*$X$4)+'Calculs 3D'!$D$15-OffsetY)/Ecran)*'Calculs 3D'!$D$31)+(((($D198*$X$4)+'Calculs 3D'!$E$15-OffsetZ)/Ecran)*'Calculs 3D'!$E$31)),0)</f>
        <v>-1.6432223411790139E-2</v>
      </c>
      <c r="Y198" s="105">
        <f>IF(Body10Actif=TRUE,((((($B198*$X$4)+'Calculs 3D'!$C$15-OffsetX)/Ecran)*'Calculs 3D'!$C$32)+(((($C198*$X$4)+'Calculs 3D'!$D$15-OffsetY)/Ecran)*'Calculs 3D'!$D$32)+(((($D198*$X$4)+'Calculs 3D'!$E$15-OffsetZ)/Ecran)*'Calculs 3D'!$E$32)),0)</f>
        <v>0.28270189556972358</v>
      </c>
    </row>
    <row r="199" spans="2:25" x14ac:dyDescent="0.3">
      <c r="B199" s="102">
        <v>0.17633557568774191</v>
      </c>
      <c r="C199" s="102">
        <v>-0.2427050983124843</v>
      </c>
      <c r="D199" s="102">
        <v>-0.95</v>
      </c>
      <c r="F199" s="105">
        <f>IF(Body1Actif=TRUE,((((($B199*$F$4)+'Calculs 3D'!$C$6-OffsetX)/Ecran)*'Calculs 3D'!$C$31)+(((($C199*$F$4)+'Calculs 3D'!$D$6-OffsetY)/Ecran)*'Calculs 3D'!$D$31)+(((($D199*$F$4)+'Calculs 3D'!$E$6-OffsetZ)/Ecran)*'Calculs 3D'!$E$31)),0)</f>
        <v>5.0579175247860278E-2</v>
      </c>
      <c r="G199" s="105">
        <f>IF(Body1Actif=TRUE,((((($B199*$F$4)+'Calculs 3D'!$C$6-OffsetX)/Ecran)*'Calculs 3D'!$C$32)+(((($C199*$F$4)+'Calculs 3D'!$D$6-OffsetY)/Ecran)*'Calculs 3D'!$D$32)+(((($D199*$F$4)+'Calculs 3D'!$E$6-OffsetZ)/Ecran)*'Calculs 3D'!$E$32)),0)</f>
        <v>0.26043120242842233</v>
      </c>
      <c r="H199" s="105">
        <f>IF(Body2Actif=TRUE,((((($B199*$H$4)+'Calculs 3D'!$C$7-OffsetX)/Ecran)*'Calculs 3D'!$C$31)+(((($C199*$H$4)+'Calculs 3D'!$D$7-OffsetY)/Ecran)*'Calculs 3D'!$D$31)+(((($D199*$H$4)+'Calculs 3D'!$E$7-OffsetZ)/Ecran)*'Calculs 3D'!$E$31)),0)</f>
        <v>2.5248184344877592E-2</v>
      </c>
      <c r="I199" s="105">
        <f>IF(Body2Actif=TRUE,((((($B199*$H$4)+'Calculs 3D'!$C$7-OffsetX)/Ecran)*'Calculs 3D'!$C$32)+(((($C199*$H$4)+'Calculs 3D'!$D$7-OffsetY)/Ecran)*'Calculs 3D'!$D$32)+(((($D199*$H$4)+'Calculs 3D'!$E$7-OffsetZ)/Ecran)*'Calculs 3D'!$E$32)),0)</f>
        <v>1.6943006394198216E-2</v>
      </c>
      <c r="J199" s="105">
        <f>IF(Body3Actif=TRUE,((((($B199*$J$4)+'Calculs 3D'!$C$8-OffsetX)/Ecran)*'Calculs 3D'!$C$31)+(((($C199*$J$4)+'Calculs 3D'!$D$8-OffsetY)/Ecran)*'Calculs 3D'!$D$31)+(((($D199*$J$4)+'Calculs 3D'!$E$8-OffsetZ)/Ecran)*'Calculs 3D'!$E$31)),0)</f>
        <v>0.21866003387220898</v>
      </c>
      <c r="K199" s="105">
        <f>IF(Body3Actif=TRUE,((((($B199*$J$4)+'Calculs 3D'!$C$8-OffsetX)/Ecran)*'Calculs 3D'!$C$32)+(((($C199*$J$4)+'Calculs 3D'!$D$8-OffsetY)/Ecran)*'Calculs 3D'!$D$32)+(((($D199*$J$4)+'Calculs 3D'!$E$8-OffsetZ)/Ecran)*'Calculs 3D'!$E$32)),0)</f>
        <v>-8.681225298698636E-2</v>
      </c>
      <c r="L199" s="105">
        <f>IF(Body4Actif=TRUE,((((($B199*$L$4)+'Calculs 3D'!$C$9-OffsetX)/Ecran)*'Calculs 3D'!$C$31)+(((($C199*$L$4)+'Calculs 3D'!$D$9-OffsetY)/Ecran)*'Calculs 3D'!$D$31)+(((($D199*$L$4)+'Calculs 3D'!$E$9-OffsetZ)/Ecran)*'Calculs 3D'!$E$31)),0)</f>
        <v>-9.4525992808345352E-2</v>
      </c>
      <c r="M199" s="105">
        <f>IF(Body4Actif=TRUE,((((($B199*$L$4)+'Calculs 3D'!$C$9-OffsetX)/Ecran)*'Calculs 3D'!$C$32)+(((($C199*$L$4)+'Calculs 3D'!$D$9-OffsetY)/Ecran)*'Calculs 3D'!$D$32)+(((($D199*$L$4)+'Calculs 3D'!$E$9-OffsetZ)/Ecran)*'Calculs 3D'!$E$32)),0)</f>
        <v>-0.17984007324694054</v>
      </c>
      <c r="N199" s="105">
        <f>IF(Body5Actif=TRUE,((((($B199*$N$4)+'Calculs 3D'!$C$10-OffsetX)/Ecran)*'Calculs 3D'!$C$31)+(((($C199*$N$4)+'Calculs 3D'!$D$10-OffsetY)/Ecran)*'Calculs 3D'!$D$31)+(((($D199*$N$4)+'Calculs 3D'!$E$10-OffsetZ)/Ecran)*'Calculs 3D'!$E$31)),0)</f>
        <v>8.557340724558533E-4</v>
      </c>
      <c r="O199" s="105">
        <f>IF(Body5Actif=TRUE,((((($B199*$N$4)+'Calculs 3D'!$C$10-OffsetX)/Ecran)*'Calculs 3D'!$C$32)+(((($C199*$N$4)+'Calculs 3D'!$D$10-OffsetY)/Ecran)*'Calculs 3D'!$D$32)+(((($D199*$N$4)+'Calculs 3D'!$E$10-OffsetZ)/Ecran)*'Calculs 3D'!$E$32)),0)</f>
        <v>-1.402044886258501E-2</v>
      </c>
      <c r="P199" s="105">
        <f>IF(Body6Actif=TRUE,((((($B199*$P$4)+'Calculs 3D'!$C$11-OffsetX)/Ecran)*'Calculs 3D'!$C$31)+(((($C199*$P$4)+'Calculs 3D'!$D$11-OffsetY)/Ecran)*'Calculs 3D'!$D$31)+(((($D199*$P$4)+'Calculs 3D'!$E$11-OffsetZ)/Ecran)*'Calculs 3D'!$E$31)),0)</f>
        <v>0.17067673259828417</v>
      </c>
      <c r="Q199" s="105">
        <f>IF(Body6Actif=TRUE,((((($B199*$P$4)+'Calculs 3D'!$C$11-OffsetX)/Ecran)*'Calculs 3D'!$C$32)+(((($C199*$P$4)+'Calculs 3D'!$D$11-OffsetY)/Ecran)*'Calculs 3D'!$D$32)+(((($D199*$P$4)+'Calculs 3D'!$E$11-OffsetZ)/Ecran)*'Calculs 3D'!$E$32)),0)</f>
        <v>0.11995422674580705</v>
      </c>
      <c r="R199" s="105">
        <f>IF(Body7Actif=TRUE,((((($B199*$R$4)+'Calculs 3D'!$C$12-OffsetX)/Ecran)*'Calculs 3D'!$C$31)+(((($C199*$R$4)+'Calculs 3D'!$D$12-OffsetY)/Ecran)*'Calculs 3D'!$D$31)+(((($D199*$R$4)+'Calculs 3D'!$E$12-OffsetZ)/Ecran)*'Calculs 3D'!$E$31)),0)</f>
        <v>-0.28073836751385717</v>
      </c>
      <c r="S199" s="105">
        <f>IF(Body7Actif=TRUE,((((($B199*$R$4)+'Calculs 3D'!$C$12-OffsetX)/Ecran)*'Calculs 3D'!$C$32)+(((($C199*$R$4)+'Calculs 3D'!$D$12-OffsetY)/Ecran)*'Calculs 3D'!$D$32)+(((($D199*$R$4)+'Calculs 3D'!$E$12-OffsetZ)/Ecran)*'Calculs 3D'!$E$32)),0)</f>
        <v>4.9187100892307087E-2</v>
      </c>
      <c r="T199" s="105">
        <f>IF(Body8Actif=TRUE,((((($B199*$T$4)+'Calculs 3D'!$C$13-OffsetX)/Ecran)*'Calculs 3D'!$C$31)+(((($C199*$T$4)+'Calculs 3D'!$D$13-OffsetY)/Ecran)*'Calculs 3D'!$D$31)+(((($D199*$T$4)+'Calculs 3D'!$E$13-OffsetZ)/Ecran)*'Calculs 3D'!$E$31)),0)</f>
        <v>0.16817081081111579</v>
      </c>
      <c r="U199" s="105">
        <f>IF(Body8Actif=TRUE,((((($B199*$T$4)+'Calculs 3D'!$C$13-OffsetX)/Ecran)*'Calculs 3D'!$C$32)+(((($C199*$T$4)+'Calculs 3D'!$D$13-OffsetY)/Ecran)*'Calculs 3D'!$D$32)+(((($D199*$T$4)+'Calculs 3D'!$E$13-OffsetZ)/Ecran)*'Calculs 3D'!$E$32)),0)</f>
        <v>-0.13531620189943805</v>
      </c>
      <c r="V199" s="105">
        <f>IF(Body9Actif=TRUE,((((($B199*$V$4)+'Calculs 3D'!$C$14-OffsetX)/Ecran)*'Calculs 3D'!$C$31)+(((($C199*$V$4)+'Calculs 3D'!$D$14-OffsetY)/Ecran)*'Calculs 3D'!$D$31)+(((($D199*$V$4)+'Calculs 3D'!$E$14-OffsetZ)/Ecran)*'Calculs 3D'!$E$31)),0)</f>
        <v>-0.17765889973758367</v>
      </c>
      <c r="W199" s="105">
        <f>IF(Body9Actif=TRUE,((((($B199*$V$4)+'Calculs 3D'!$C$14-OffsetX)/Ecran)*'Calculs 3D'!$C$32)+(((($C199*$V$4)+'Calculs 3D'!$D$14-OffsetY)/Ecran)*'Calculs 3D'!$D$32)+(((($D199*$V$4)+'Calculs 3D'!$E$14-OffsetZ)/Ecran)*'Calculs 3D'!$E$32)),0)</f>
        <v>0.28208895842778919</v>
      </c>
      <c r="X199" s="105">
        <f>IF(Body10Actif=TRUE,((((($B199*$X$4)+'Calculs 3D'!$C$15-OffsetX)/Ecran)*'Calculs 3D'!$C$31)+(((($C199*$X$4)+'Calculs 3D'!$D$15-OffsetY)/Ecran)*'Calculs 3D'!$D$31)+(((($D199*$X$4)+'Calculs 3D'!$E$15-OffsetZ)/Ecran)*'Calculs 3D'!$E$31)),0)</f>
        <v>-1.5442457044756885E-2</v>
      </c>
      <c r="Y199" s="105">
        <f>IF(Body10Actif=TRUE,((((($B199*$X$4)+'Calculs 3D'!$C$15-OffsetX)/Ecran)*'Calculs 3D'!$C$32)+(((($C199*$X$4)+'Calculs 3D'!$D$15-OffsetY)/Ecran)*'Calculs 3D'!$D$32)+(((($D199*$X$4)+'Calculs 3D'!$E$15-OffsetZ)/Ecran)*'Calculs 3D'!$E$32)),0)</f>
        <v>0.28260538226533727</v>
      </c>
    </row>
    <row r="200" spans="2:25" x14ac:dyDescent="0.3">
      <c r="B200" s="102">
        <v>0.24270509831248424</v>
      </c>
      <c r="C200" s="102">
        <v>-0.17633557568774202</v>
      </c>
      <c r="D200" s="102">
        <v>-0.95</v>
      </c>
      <c r="F200" s="105">
        <f>IF(Body1Actif=TRUE,((((($B200*$F$4)+'Calculs 3D'!$C$6-OffsetX)/Ecran)*'Calculs 3D'!$C$31)+(((($C200*$F$4)+'Calculs 3D'!$D$6-OffsetY)/Ecran)*'Calculs 3D'!$D$31)+(((($D200*$F$4)+'Calculs 3D'!$E$6-OffsetZ)/Ecran)*'Calculs 3D'!$E$31)),0)</f>
        <v>5.0929308413534484E-2</v>
      </c>
      <c r="G200" s="105">
        <f>IF(Body1Actif=TRUE,((((($B200*$F$4)+'Calculs 3D'!$C$6-OffsetX)/Ecran)*'Calculs 3D'!$C$32)+(((($C200*$F$4)+'Calculs 3D'!$D$6-OffsetY)/Ecran)*'Calculs 3D'!$D$32)+(((($D200*$F$4)+'Calculs 3D'!$E$6-OffsetZ)/Ecran)*'Calculs 3D'!$E$32)),0)</f>
        <v>0.26046534433293639</v>
      </c>
      <c r="H200" s="105">
        <f>IF(Body2Actif=TRUE,((((($B200*$H$4)+'Calculs 3D'!$C$7-OffsetX)/Ecran)*'Calculs 3D'!$C$31)+(((($C200*$H$4)+'Calculs 3D'!$D$7-OffsetY)/Ecran)*'Calculs 3D'!$D$31)+(((($D200*$H$4)+'Calculs 3D'!$E$7-OffsetZ)/Ecran)*'Calculs 3D'!$E$31)),0)</f>
        <v>2.6612960162800132E-2</v>
      </c>
      <c r="I200" s="105">
        <f>IF(Body2Actif=TRUE,((((($B200*$H$4)+'Calculs 3D'!$C$7-OffsetX)/Ecran)*'Calculs 3D'!$C$32)+(((($C200*$H$4)+'Calculs 3D'!$D$7-OffsetY)/Ecran)*'Calculs 3D'!$D$32)+(((($D200*$H$4)+'Calculs 3D'!$E$7-OffsetZ)/Ecran)*'Calculs 3D'!$E$32)),0)</f>
        <v>1.7076087319476636E-2</v>
      </c>
      <c r="J200" s="105">
        <f>IF(Body3Actif=TRUE,((((($B200*$J$4)+'Calculs 3D'!$C$8-OffsetX)/Ecran)*'Calculs 3D'!$C$31)+(((($C200*$J$4)+'Calculs 3D'!$D$8-OffsetY)/Ecran)*'Calculs 3D'!$D$31)+(((($D200*$J$4)+'Calculs 3D'!$E$8-OffsetZ)/Ecran)*'Calculs 3D'!$E$31)),0)</f>
        <v>0.2192665705623234</v>
      </c>
      <c r="K200" s="105">
        <f>IF(Body3Actif=TRUE,((((($B200*$J$4)+'Calculs 3D'!$C$8-OffsetX)/Ecran)*'Calculs 3D'!$C$32)+(((($C200*$J$4)+'Calculs 3D'!$D$8-OffsetY)/Ecran)*'Calculs 3D'!$D$32)+(((($D200*$J$4)+'Calculs 3D'!$E$8-OffsetZ)/Ecran)*'Calculs 3D'!$E$32)),0)</f>
        <v>-8.6753108867581752E-2</v>
      </c>
      <c r="L200" s="105">
        <f>IF(Body4Actif=TRUE,((((($B200*$L$4)+'Calculs 3D'!$C$9-OffsetX)/Ecran)*'Calculs 3D'!$C$31)+(((($C200*$L$4)+'Calculs 3D'!$D$9-OffsetY)/Ecran)*'Calculs 3D'!$D$31)+(((($D200*$L$4)+'Calculs 3D'!$E$9-OffsetZ)/Ecran)*'Calculs 3D'!$E$31)),0)</f>
        <v>-9.373731764330312E-2</v>
      </c>
      <c r="M200" s="105">
        <f>IF(Body4Actif=TRUE,((((($B200*$L$4)+'Calculs 3D'!$C$9-OffsetX)/Ecran)*'Calculs 3D'!$C$32)+(((($C200*$L$4)+'Calculs 3D'!$D$9-OffsetY)/Ecran)*'Calculs 3D'!$D$32)+(((($D200*$L$4)+'Calculs 3D'!$E$9-OffsetZ)/Ecran)*'Calculs 3D'!$E$32)),0)</f>
        <v>-0.1797631685866076</v>
      </c>
      <c r="N200" s="105">
        <f>IF(Body5Actif=TRUE,((((($B200*$N$4)+'Calculs 3D'!$C$10-OffsetX)/Ecran)*'Calculs 3D'!$C$31)+(((($C200*$N$4)+'Calculs 3D'!$D$10-OffsetY)/Ecran)*'Calculs 3D'!$D$31)+(((($D200*$N$4)+'Calculs 3D'!$E$10-OffsetZ)/Ecran)*'Calculs 3D'!$E$31)),0)</f>
        <v>1.75607917585382E-3</v>
      </c>
      <c r="O200" s="105">
        <f>IF(Body5Actif=TRUE,((((($B200*$N$4)+'Calculs 3D'!$C$10-OffsetX)/Ecran)*'Calculs 3D'!$C$32)+(((($C200*$N$4)+'Calculs 3D'!$D$10-OffsetY)/Ecran)*'Calculs 3D'!$D$32)+(((($D200*$N$4)+'Calculs 3D'!$E$10-OffsetZ)/Ecran)*'Calculs 3D'!$E$32)),0)</f>
        <v>-1.3932655132760223E-2</v>
      </c>
      <c r="P200" s="105">
        <f>IF(Body6Actif=TRUE,((((($B200*$P$4)+'Calculs 3D'!$C$11-OffsetX)/Ecran)*'Calculs 3D'!$C$31)+(((($C200*$P$4)+'Calculs 3D'!$D$11-OffsetY)/Ecran)*'Calculs 3D'!$D$31)+(((($D200*$P$4)+'Calculs 3D'!$E$11-OffsetZ)/Ecran)*'Calculs 3D'!$E$31)),0)</f>
        <v>0.17198148635917007</v>
      </c>
      <c r="Q200" s="105">
        <f>IF(Body6Actif=TRUE,((((($B200*$P$4)+'Calculs 3D'!$C$11-OffsetX)/Ecran)*'Calculs 3D'!$C$32)+(((($C200*$P$4)+'Calculs 3D'!$D$11-OffsetY)/Ecran)*'Calculs 3D'!$D$32)+(((($D200*$P$4)+'Calculs 3D'!$E$11-OffsetZ)/Ecran)*'Calculs 3D'!$E$32)),0)</f>
        <v>0.12008145484838546</v>
      </c>
      <c r="R200" s="105">
        <f>IF(Body7Actif=TRUE,((((($B200*$R$4)+'Calculs 3D'!$C$12-OffsetX)/Ecran)*'Calculs 3D'!$C$31)+(((($C200*$R$4)+'Calculs 3D'!$D$12-OffsetY)/Ecran)*'Calculs 3D'!$D$31)+(((($D200*$R$4)+'Calculs 3D'!$E$12-OffsetZ)/Ecran)*'Calculs 3D'!$E$31)),0)</f>
        <v>-0.27942805092871387</v>
      </c>
      <c r="S200" s="105">
        <f>IF(Body7Actif=TRUE,((((($B200*$R$4)+'Calculs 3D'!$C$12-OffsetX)/Ecran)*'Calculs 3D'!$C$32)+(((($C200*$R$4)+'Calculs 3D'!$D$12-OffsetY)/Ecran)*'Calculs 3D'!$D$32)+(((($D200*$R$4)+'Calculs 3D'!$E$12-OffsetZ)/Ecran)*'Calculs 3D'!$E$32)),0)</f>
        <v>4.9314871432544191E-2</v>
      </c>
      <c r="T200" s="105">
        <f>IF(Body8Actif=TRUE,((((($B200*$T$4)+'Calculs 3D'!$C$13-OffsetX)/Ecran)*'Calculs 3D'!$C$31)+(((($C200*$T$4)+'Calculs 3D'!$D$13-OffsetY)/Ecran)*'Calculs 3D'!$D$31)+(((($D200*$T$4)+'Calculs 3D'!$E$13-OffsetZ)/Ecran)*'Calculs 3D'!$E$31)),0)</f>
        <v>0.16864339022618002</v>
      </c>
      <c r="U200" s="105">
        <f>IF(Body8Actif=TRUE,((((($B200*$T$4)+'Calculs 3D'!$C$13-OffsetX)/Ecran)*'Calculs 3D'!$C$32)+(((($C200*$T$4)+'Calculs 3D'!$D$13-OffsetY)/Ecran)*'Calculs 3D'!$D$32)+(((($D200*$T$4)+'Calculs 3D'!$E$13-OffsetZ)/Ecran)*'Calculs 3D'!$E$32)),0)</f>
        <v>-0.13527012011443104</v>
      </c>
      <c r="V200" s="105">
        <f>IF(Body9Actif=TRUE,((((($B200*$V$4)+'Calculs 3D'!$C$14-OffsetX)/Ecran)*'Calculs 3D'!$C$31)+(((($C200*$V$4)+'Calculs 3D'!$D$14-OffsetY)/Ecran)*'Calculs 3D'!$D$31)+(((($D200*$V$4)+'Calculs 3D'!$E$14-OffsetZ)/Ecran)*'Calculs 3D'!$E$31)),0)</f>
        <v>-0.17700318826579844</v>
      </c>
      <c r="W200" s="105">
        <f>IF(Body9Actif=TRUE,((((($B200*$V$4)+'Calculs 3D'!$C$14-OffsetX)/Ecran)*'Calculs 3D'!$C$32)+(((($C200*$V$4)+'Calculs 3D'!$D$14-OffsetY)/Ecran)*'Calculs 3D'!$D$32)+(((($D200*$V$4)+'Calculs 3D'!$E$14-OffsetZ)/Ecran)*'Calculs 3D'!$E$32)),0)</f>
        <v>0.28215289763907569</v>
      </c>
      <c r="X200" s="105">
        <f>IF(Body10Actif=TRUE,((((($B200*$X$4)+'Calculs 3D'!$C$15-OffsetX)/Ecran)*'Calculs 3D'!$C$31)+(((($C200*$X$4)+'Calculs 3D'!$D$15-OffsetY)/Ecran)*'Calculs 3D'!$D$31)+(((($D200*$X$4)+'Calculs 3D'!$E$15-OffsetZ)/Ecran)*'Calculs 3D'!$E$31)),0)</f>
        <v>-1.4452690677723659E-2</v>
      </c>
      <c r="Y200" s="105">
        <f>IF(Body10Actif=TRUE,((((($B200*$X$4)+'Calculs 3D'!$C$15-OffsetX)/Ecran)*'Calculs 3D'!$C$32)+(((($C200*$X$4)+'Calculs 3D'!$D$15-OffsetY)/Ecran)*'Calculs 3D'!$D$32)+(((($D200*$X$4)+'Calculs 3D'!$E$15-OffsetZ)/Ecran)*'Calculs 3D'!$E$32)),0)</f>
        <v>0.28270189556972358</v>
      </c>
    </row>
    <row r="201" spans="2:25" x14ac:dyDescent="0.3">
      <c r="B201" s="102">
        <v>0.28531695488854608</v>
      </c>
      <c r="C201" s="102">
        <v>-9.2705098312484302E-2</v>
      </c>
      <c r="D201" s="102">
        <v>-0.95</v>
      </c>
      <c r="F201" s="105">
        <f>IF(Body1Actif=TRUE,((((($B201*$F$4)+'Calculs 3D'!$C$6-OffsetX)/Ecran)*'Calculs 3D'!$C$31)+(((($C201*$F$4)+'Calculs 3D'!$D$6-OffsetY)/Ecran)*'Calculs 3D'!$D$31)+(((($D201*$F$4)+'Calculs 3D'!$E$6-OffsetZ)/Ecran)*'Calculs 3D'!$E$31)),0)</f>
        <v>5.1245168105431303E-2</v>
      </c>
      <c r="G201" s="105">
        <f>IF(Body1Actif=TRUE,((((($B201*$F$4)+'Calculs 3D'!$C$6-OffsetX)/Ecran)*'Calculs 3D'!$C$32)+(((($C201*$F$4)+'Calculs 3D'!$D$6-OffsetY)/Ecran)*'Calculs 3D'!$D$32)+(((($D201*$F$4)+'Calculs 3D'!$E$6-OffsetZ)/Ecran)*'Calculs 3D'!$E$32)),0)</f>
        <v>0.26056442799898405</v>
      </c>
      <c r="H201" s="105">
        <f>IF(Body2Actif=TRUE,((((($B201*$H$4)+'Calculs 3D'!$C$7-OffsetX)/Ecran)*'Calculs 3D'!$C$31)+(((($C201*$H$4)+'Calculs 3D'!$D$7-OffsetY)/Ecran)*'Calculs 3D'!$D$31)+(((($D201*$H$4)+'Calculs 3D'!$E$7-OffsetZ)/Ecran)*'Calculs 3D'!$E$31)),0)</f>
        <v>2.784414221471216E-2</v>
      </c>
      <c r="I201" s="105">
        <f>IF(Body2Actif=TRUE,((((($B201*$H$4)+'Calculs 3D'!$C$7-OffsetX)/Ecran)*'Calculs 3D'!$C$32)+(((($C201*$H$4)+'Calculs 3D'!$D$7-OffsetY)/Ecran)*'Calculs 3D'!$D$32)+(((($D201*$H$4)+'Calculs 3D'!$E$7-OffsetZ)/Ecran)*'Calculs 3D'!$E$32)),0)</f>
        <v>1.7462303207116312E-2</v>
      </c>
      <c r="J201" s="105">
        <f>IF(Body3Actif=TRUE,((((($B201*$J$4)+'Calculs 3D'!$C$8-OffsetX)/Ecran)*'Calculs 3D'!$C$31)+(((($C201*$J$4)+'Calculs 3D'!$D$8-OffsetY)/Ecran)*'Calculs 3D'!$D$31)+(((($D201*$J$4)+'Calculs 3D'!$E$8-OffsetZ)/Ecran)*'Calculs 3D'!$E$31)),0)</f>
        <v>0.21981373521521985</v>
      </c>
      <c r="K201" s="105">
        <f>IF(Body3Actif=TRUE,((((($B201*$J$4)+'Calculs 3D'!$C$8-OffsetX)/Ecran)*'Calculs 3D'!$C$32)+(((($C201*$J$4)+'Calculs 3D'!$D$8-OffsetY)/Ecran)*'Calculs 3D'!$D$32)+(((($D201*$J$4)+'Calculs 3D'!$E$8-OffsetZ)/Ecran)*'Calculs 3D'!$E$32)),0)</f>
        <v>-8.6581465947856567E-2</v>
      </c>
      <c r="L201" s="105">
        <f>IF(Body4Actif=TRUE,((((($B201*$L$4)+'Calculs 3D'!$C$9-OffsetX)/Ecran)*'Calculs 3D'!$C$31)+(((($C201*$L$4)+'Calculs 3D'!$D$9-OffsetY)/Ecran)*'Calculs 3D'!$D$31)+(((($D201*$L$4)+'Calculs 3D'!$E$9-OffsetZ)/Ecran)*'Calculs 3D'!$E$31)),0)</f>
        <v>-9.3025843498438177E-2</v>
      </c>
      <c r="M201" s="105">
        <f>IF(Body4Actif=TRUE,((((($B201*$L$4)+'Calculs 3D'!$C$9-OffsetX)/Ecran)*'Calculs 3D'!$C$32)+(((($C201*$L$4)+'Calculs 3D'!$D$9-OffsetY)/Ecran)*'Calculs 3D'!$D$32)+(((($D201*$L$4)+'Calculs 3D'!$E$9-OffsetZ)/Ecran)*'Calculs 3D'!$E$32)),0)</f>
        <v>-0.17953998256958847</v>
      </c>
      <c r="N201" s="105">
        <f>IF(Body5Actif=TRUE,((((($B201*$N$4)+'Calculs 3D'!$C$10-OffsetX)/Ecran)*'Calculs 3D'!$C$31)+(((($C201*$N$4)+'Calculs 3D'!$D$10-OffsetY)/Ecran)*'Calculs 3D'!$D$31)+(((($D201*$N$4)+'Calculs 3D'!$E$10-OffsetZ)/Ecran)*'Calculs 3D'!$E$31)),0)</f>
        <v>2.5682922274579928E-3</v>
      </c>
      <c r="O201" s="105">
        <f>IF(Body5Actif=TRUE,((((($B201*$N$4)+'Calculs 3D'!$C$10-OffsetX)/Ecran)*'Calculs 3D'!$C$32)+(((($C201*$N$4)+'Calculs 3D'!$D$10-OffsetY)/Ecran)*'Calculs 3D'!$D$32)+(((($D201*$N$4)+'Calculs 3D'!$E$10-OffsetZ)/Ecran)*'Calculs 3D'!$E$32)),0)</f>
        <v>-1.3677867805255995E-2</v>
      </c>
      <c r="P201" s="105">
        <f>IF(Body6Actif=TRUE,((((($B201*$P$4)+'Calculs 3D'!$C$11-OffsetX)/Ecran)*'Calculs 3D'!$C$31)+(((($C201*$P$4)+'Calculs 3D'!$D$11-OffsetY)/Ecran)*'Calculs 3D'!$D$31)+(((($D201*$P$4)+'Calculs 3D'!$E$11-OffsetZ)/Ecran)*'Calculs 3D'!$E$31)),0)</f>
        <v>0.17315852173118643</v>
      </c>
      <c r="Q201" s="105">
        <f>IF(Body6Actif=TRUE,((((($B201*$P$4)+'Calculs 3D'!$C$11-OffsetX)/Ecran)*'Calculs 3D'!$C$32)+(((($C201*$P$4)+'Calculs 3D'!$D$11-OffsetY)/Ecran)*'Calculs 3D'!$D$32)+(((($D201*$P$4)+'Calculs 3D'!$E$11-OffsetZ)/Ecran)*'Calculs 3D'!$E$32)),0)</f>
        <v>0.12045068518299001</v>
      </c>
      <c r="R201" s="105">
        <f>IF(Body7Actif=TRUE,((((($B201*$R$4)+'Calculs 3D'!$C$12-OffsetX)/Ecran)*'Calculs 3D'!$C$31)+(((($C201*$R$4)+'Calculs 3D'!$D$12-OffsetY)/Ecran)*'Calculs 3D'!$D$31)+(((($D201*$R$4)+'Calculs 3D'!$E$12-OffsetZ)/Ecran)*'Calculs 3D'!$E$31)),0)</f>
        <v>-0.27824599726043681</v>
      </c>
      <c r="S201" s="105">
        <f>IF(Body7Actif=TRUE,((((($B201*$R$4)+'Calculs 3D'!$C$12-OffsetX)/Ecran)*'Calculs 3D'!$C$32)+(((($C201*$R$4)+'Calculs 3D'!$D$12-OffsetY)/Ecran)*'Calculs 3D'!$D$32)+(((($D201*$R$4)+'Calculs 3D'!$E$12-OffsetZ)/Ecran)*'Calculs 3D'!$E$32)),0)</f>
        <v>4.9685675982547459E-2</v>
      </c>
      <c r="T201" s="105">
        <f>IF(Body8Actif=TRUE,((((($B201*$T$4)+'Calculs 3D'!$C$13-OffsetX)/Ecran)*'Calculs 3D'!$C$31)+(((($C201*$T$4)+'Calculs 3D'!$D$13-OffsetY)/Ecran)*'Calculs 3D'!$D$31)+(((($D201*$T$4)+'Calculs 3D'!$E$13-OffsetZ)/Ecran)*'Calculs 3D'!$E$31)),0)</f>
        <v>0.1690697102754434</v>
      </c>
      <c r="U201" s="105">
        <f>IF(Body8Actif=TRUE,((((($B201*$T$4)+'Calculs 3D'!$C$13-OffsetX)/Ecran)*'Calculs 3D'!$C$32)+(((($C201*$T$4)+'Calculs 3D'!$D$13-OffsetY)/Ecran)*'Calculs 3D'!$D$32)+(((($D201*$T$4)+'Calculs 3D'!$E$13-OffsetZ)/Ecran)*'Calculs 3D'!$E$32)),0)</f>
        <v>-0.13513638556559715</v>
      </c>
      <c r="V201" s="105">
        <f>IF(Body9Actif=TRUE,((((($B201*$V$4)+'Calculs 3D'!$C$14-OffsetX)/Ecran)*'Calculs 3D'!$C$31)+(((($C201*$V$4)+'Calculs 3D'!$D$14-OffsetY)/Ecran)*'Calculs 3D'!$D$31)+(((($D201*$V$4)+'Calculs 3D'!$E$14-OffsetZ)/Ecran)*'Calculs 3D'!$E$31)),0)</f>
        <v>-0.17641166240148204</v>
      </c>
      <c r="W201" s="105">
        <f>IF(Body9Actif=TRUE,((((($B201*$V$4)+'Calculs 3D'!$C$14-OffsetX)/Ecran)*'Calculs 3D'!$C$32)+(((($C201*$V$4)+'Calculs 3D'!$D$14-OffsetY)/Ecran)*'Calculs 3D'!$D$32)+(((($D201*$V$4)+'Calculs 3D'!$E$14-OffsetZ)/Ecran)*'Calculs 3D'!$E$32)),0)</f>
        <v>0.28233845645744376</v>
      </c>
      <c r="X201" s="105">
        <f>IF(Body10Actif=TRUE,((((($B201*$X$4)+'Calculs 3D'!$C$15-OffsetX)/Ecran)*'Calculs 3D'!$C$31)+(((($C201*$X$4)+'Calculs 3D'!$D$15-OffsetY)/Ecran)*'Calculs 3D'!$D$31)+(((($D201*$X$4)+'Calculs 3D'!$E$15-OffsetZ)/Ecran)*'Calculs 3D'!$E$31)),0)</f>
        <v>-1.3559809538803411E-2</v>
      </c>
      <c r="Y201" s="105">
        <f>IF(Body10Actif=TRUE,((((($B201*$X$4)+'Calculs 3D'!$C$15-OffsetX)/Ecran)*'Calculs 3D'!$C$32)+(((($C201*$X$4)+'Calculs 3D'!$D$15-OffsetY)/Ecran)*'Calculs 3D'!$D$32)+(((($D201*$X$4)+'Calculs 3D'!$E$15-OffsetZ)/Ecran)*'Calculs 3D'!$E$32)),0)</f>
        <v>0.28298198808820152</v>
      </c>
    </row>
    <row r="202" spans="2:25" x14ac:dyDescent="0.3">
      <c r="B202" s="103">
        <v>0.30000000000000004</v>
      </c>
      <c r="C202" s="103">
        <v>-7.3508907294517213E-17</v>
      </c>
      <c r="D202" s="103">
        <v>-0.95</v>
      </c>
      <c r="F202" s="105">
        <f>IF(Body1Actif=TRUE,((((($B202*$F$4)+'Calculs 3D'!$C$6-OffsetX)/Ecran)*'Calculs 3D'!$C$31)+(((($C202*$F$4)+'Calculs 3D'!$D$6-OffsetY)/Ecran)*'Calculs 3D'!$D$31)+(((($D202*$F$4)+'Calculs 3D'!$E$6-OffsetZ)/Ecran)*'Calculs 3D'!$E$31)),0)</f>
        <v>5.1495835776183989E-2</v>
      </c>
      <c r="G202" s="105">
        <f>IF(Body1Actif=TRUE,((((($B202*$F$4)+'Calculs 3D'!$C$6-OffsetX)/Ecran)*'Calculs 3D'!$C$32)+(((($C202*$F$4)+'Calculs 3D'!$D$6-OffsetY)/Ecran)*'Calculs 3D'!$D$32)+(((($D202*$F$4)+'Calculs 3D'!$E$6-OffsetZ)/Ecran)*'Calculs 3D'!$E$32)),0)</f>
        <v>0.26071875442697606</v>
      </c>
      <c r="H202" s="105">
        <f>IF(Body2Actif=TRUE,((((($B202*$H$4)+'Calculs 3D'!$C$7-OffsetX)/Ecran)*'Calculs 3D'!$C$31)+(((($C202*$H$4)+'Calculs 3D'!$D$7-OffsetY)/Ecran)*'Calculs 3D'!$D$31)+(((($D202*$H$4)+'Calculs 3D'!$E$7-OffsetZ)/Ecran)*'Calculs 3D'!$E$31)),0)</f>
        <v>2.8821213823222752E-2</v>
      </c>
      <c r="I202" s="105">
        <f>IF(Body2Actif=TRUE,((((($B202*$H$4)+'Calculs 3D'!$C$7-OffsetX)/Ecran)*'Calculs 3D'!$C$32)+(((($C202*$H$4)+'Calculs 3D'!$D$7-OffsetY)/Ecran)*'Calculs 3D'!$D$32)+(((($D202*$H$4)+'Calculs 3D'!$E$7-OffsetZ)/Ecran)*'Calculs 3D'!$E$32)),0)</f>
        <v>1.8063848555110756E-2</v>
      </c>
      <c r="J202" s="105">
        <f>IF(Body3Actif=TRUE,((((($B202*$J$4)+'Calculs 3D'!$C$8-OffsetX)/Ecran)*'Calculs 3D'!$C$31)+(((($C202*$J$4)+'Calculs 3D'!$D$8-OffsetY)/Ecran)*'Calculs 3D'!$D$31)+(((($D202*$J$4)+'Calculs 3D'!$E$8-OffsetZ)/Ecran)*'Calculs 3D'!$E$31)),0)</f>
        <v>0.22024796754235243</v>
      </c>
      <c r="K202" s="105">
        <f>IF(Body3Actif=TRUE,((((($B202*$J$4)+'Calculs 3D'!$C$8-OffsetX)/Ecran)*'Calculs 3D'!$C$32)+(((($C202*$J$4)+'Calculs 3D'!$D$8-OffsetY)/Ecran)*'Calculs 3D'!$D$32)+(((($D202*$J$4)+'Calculs 3D'!$E$8-OffsetZ)/Ecran)*'Calculs 3D'!$E$32)),0)</f>
        <v>-8.6314125832700012E-2</v>
      </c>
      <c r="L202" s="105">
        <f>IF(Body4Actif=TRUE,((((($B202*$L$4)+'Calculs 3D'!$C$9-OffsetX)/Ecran)*'Calculs 3D'!$C$31)+(((($C202*$L$4)+'Calculs 3D'!$D$9-OffsetY)/Ecran)*'Calculs 3D'!$D$31)+(((($D202*$L$4)+'Calculs 3D'!$E$9-OffsetZ)/Ecran)*'Calculs 3D'!$E$31)),0)</f>
        <v>-9.2461214420181806E-2</v>
      </c>
      <c r="M202" s="105">
        <f>IF(Body4Actif=TRUE,((((($B202*$L$4)+'Calculs 3D'!$C$9-OffsetX)/Ecran)*'Calculs 3D'!$C$32)+(((($C202*$L$4)+'Calculs 3D'!$D$9-OffsetY)/Ecran)*'Calculs 3D'!$D$32)+(((($D202*$L$4)+'Calculs 3D'!$E$9-OffsetZ)/Ecran)*'Calculs 3D'!$E$32)),0)</f>
        <v>-0.17919236219825738</v>
      </c>
      <c r="N202" s="105">
        <f>IF(Body5Actif=TRUE,((((($B202*$N$4)+'Calculs 3D'!$C$10-OffsetX)/Ecran)*'Calculs 3D'!$C$31)+(((($C202*$N$4)+'Calculs 3D'!$D$10-OffsetY)/Ecran)*'Calculs 3D'!$D$31)+(((($D202*$N$4)+'Calculs 3D'!$E$10-OffsetZ)/Ecran)*'Calculs 3D'!$E$31)),0)</f>
        <v>3.2128681547562684E-3</v>
      </c>
      <c r="O202" s="105">
        <f>IF(Body5Actif=TRUE,((((($B202*$N$4)+'Calculs 3D'!$C$10-OffsetX)/Ecran)*'Calculs 3D'!$C$32)+(((($C202*$N$4)+'Calculs 3D'!$D$10-OffsetY)/Ecran)*'Calculs 3D'!$D$32)+(((($D202*$N$4)+'Calculs 3D'!$E$10-OffsetZ)/Ecran)*'Calculs 3D'!$E$32)),0)</f>
        <v>-1.3281027238896135E-2</v>
      </c>
      <c r="P202" s="105">
        <f>IF(Body6Actif=TRUE,((((($B202*$P$4)+'Calculs 3D'!$C$11-OffsetX)/Ecran)*'Calculs 3D'!$C$31)+(((($C202*$P$4)+'Calculs 3D'!$D$11-OffsetY)/Ecran)*'Calculs 3D'!$D$31)+(((($D202*$P$4)+'Calculs 3D'!$E$11-OffsetZ)/Ecran)*'Calculs 3D'!$E$31)),0)</f>
        <v>0.17409262229123268</v>
      </c>
      <c r="Q202" s="105">
        <f>IF(Body6Actif=TRUE,((((($B202*$P$4)+'Calculs 3D'!$C$11-OffsetX)/Ecran)*'Calculs 3D'!$C$32)+(((($C202*$P$4)+'Calculs 3D'!$D$11-OffsetY)/Ecran)*'Calculs 3D'!$D$32)+(((($D202*$P$4)+'Calculs 3D'!$E$11-OffsetZ)/Ecran)*'Calculs 3D'!$E$32)),0)</f>
        <v>0.12102577491189062</v>
      </c>
      <c r="R202" s="105">
        <f>IF(Body7Actif=TRUE,((((($B202*$R$4)+'Calculs 3D'!$C$12-OffsetX)/Ecran)*'Calculs 3D'!$C$31)+(((($C202*$R$4)+'Calculs 3D'!$D$12-OffsetY)/Ecran)*'Calculs 3D'!$D$31)+(((($D202*$R$4)+'Calculs 3D'!$E$12-OffsetZ)/Ecran)*'Calculs 3D'!$E$31)),0)</f>
        <v>-0.27730791415792921</v>
      </c>
      <c r="S202" s="105">
        <f>IF(Body7Actif=TRUE,((((($B202*$R$4)+'Calculs 3D'!$C$12-OffsetX)/Ecran)*'Calculs 3D'!$C$32)+(((($C202*$R$4)+'Calculs 3D'!$D$12-OffsetY)/Ecran)*'Calculs 3D'!$D$32)+(((($D202*$R$4)+'Calculs 3D'!$E$12-OffsetZ)/Ecran)*'Calculs 3D'!$E$32)),0)</f>
        <v>5.026321760941535E-2</v>
      </c>
      <c r="T202" s="105">
        <f>IF(Body8Actif=TRUE,((((($B202*$T$4)+'Calculs 3D'!$C$13-OffsetX)/Ecran)*'Calculs 3D'!$C$31)+(((($C202*$T$4)+'Calculs 3D'!$D$13-OffsetY)/Ecran)*'Calculs 3D'!$D$31)+(((($D202*$T$4)+'Calculs 3D'!$E$13-OffsetZ)/Ecran)*'Calculs 3D'!$E$31)),0)</f>
        <v>0.1694080397821375</v>
      </c>
      <c r="U202" s="105">
        <f>IF(Body8Actif=TRUE,((((($B202*$T$4)+'Calculs 3D'!$C$13-OffsetX)/Ecran)*'Calculs 3D'!$C$32)+(((($C202*$T$4)+'Calculs 3D'!$D$13-OffsetY)/Ecran)*'Calculs 3D'!$D$32)+(((($D202*$T$4)+'Calculs 3D'!$E$13-OffsetZ)/Ecran)*'Calculs 3D'!$E$32)),0)</f>
        <v>-0.13492808912235965</v>
      </c>
      <c r="V202" s="105">
        <f>IF(Body9Actif=TRUE,((((($B202*$V$4)+'Calculs 3D'!$C$14-OffsetX)/Ecran)*'Calculs 3D'!$C$31)+(((($C202*$V$4)+'Calculs 3D'!$D$14-OffsetY)/Ecran)*'Calculs 3D'!$D$31)+(((($D202*$V$4)+'Calculs 3D'!$E$14-OffsetZ)/Ecran)*'Calculs 3D'!$E$31)),0)</f>
        <v>-0.17594222481763677</v>
      </c>
      <c r="W202" s="105">
        <f>IF(Body9Actif=TRUE,((((($B202*$V$4)+'Calculs 3D'!$C$14-OffsetX)/Ecran)*'Calculs 3D'!$C$32)+(((($C202*$V$4)+'Calculs 3D'!$D$14-OffsetY)/Ecran)*'Calculs 3D'!$D$32)+(((($D202*$V$4)+'Calculs 3D'!$E$14-OffsetZ)/Ecran)*'Calculs 3D'!$E$32)),0)</f>
        <v>0.28262747109288727</v>
      </c>
      <c r="X202" s="105">
        <f>IF(Body10Actif=TRUE,((((($B202*$X$4)+'Calculs 3D'!$C$15-OffsetX)/Ecran)*'Calculs 3D'!$C$31)+(((($C202*$X$4)+'Calculs 3D'!$D$15-OffsetY)/Ecran)*'Calculs 3D'!$D$31)+(((($D202*$X$4)+'Calculs 3D'!$E$15-OffsetZ)/Ecran)*'Calculs 3D'!$E$31)),0)</f>
        <v>-1.2851215054942328E-2</v>
      </c>
      <c r="Y202" s="105">
        <f>IF(Body10Actif=TRUE,((((($B202*$X$4)+'Calculs 3D'!$C$15-OffsetX)/Ecran)*'Calculs 3D'!$C$32)+(((($C202*$X$4)+'Calculs 3D'!$D$15-OffsetY)/Ecran)*'Calculs 3D'!$D$32)+(((($D202*$X$4)+'Calculs 3D'!$E$15-OffsetZ)/Ecran)*'Calculs 3D'!$E$32)),0)</f>
        <v>0.28341824241354302</v>
      </c>
    </row>
    <row r="203" spans="2:25" x14ac:dyDescent="0.3">
      <c r="B203" s="19"/>
      <c r="C203" s="19"/>
      <c r="D203" s="19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2:25" x14ac:dyDescent="0.3">
      <c r="B204" s="101">
        <v>0</v>
      </c>
      <c r="C204" s="101">
        <v>0</v>
      </c>
      <c r="D204" s="101">
        <v>1</v>
      </c>
      <c r="F204" s="105">
        <f>IF(Body1Actif=TRUE,((((($B204*$F$4)+'Calculs 3D'!$C$6-OffsetX)/Ecran)*'Calculs 3D'!$C$31)+(((($C204*$F$4)+'Calculs 3D'!$D$6-OffsetY)/Ecran)*'Calculs 3D'!$D$31)+(((($D204*$F$4)+'Calculs 3D'!$E$6-OffsetZ)/Ecran)*'Calculs 3D'!$E$31)),0)</f>
        <v>5.0579175247860285E-2</v>
      </c>
      <c r="G204" s="105">
        <f>IF(Body1Actif=TRUE,((((($B204*$F$4)+'Calculs 3D'!$C$6-OffsetX)/Ecran)*'Calculs 3D'!$C$32)+(((($C204*$F$4)+'Calculs 3D'!$D$6-OffsetY)/Ecran)*'Calculs 3D'!$D$32)+(((($D204*$F$4)+'Calculs 3D'!$E$6-OffsetZ)/Ecran)*'Calculs 3D'!$E$32)),0)</f>
        <v>0.26693236607396786</v>
      </c>
      <c r="H204" s="105">
        <f>IF(Body2Actif=TRUE,((((($B204*$H$4)+'Calculs 3D'!$C$7-OffsetX)/Ecran)*'Calculs 3D'!$C$31)+(((($C204*$H$4)+'Calculs 3D'!$D$7-OffsetY)/Ecran)*'Calculs 3D'!$D$31)+(((($D204*$H$4)+'Calculs 3D'!$E$7-OffsetZ)/Ecran)*'Calculs 3D'!$E$31)),0)</f>
        <v>2.5248184344877585E-2</v>
      </c>
      <c r="I204" s="105">
        <f>IF(Body2Actif=TRUE,((((($B204*$H$4)+'Calculs 3D'!$C$7-OffsetX)/Ecran)*'Calculs 3D'!$C$32)+(((($C204*$H$4)+'Calculs 3D'!$D$7-OffsetY)/Ecran)*'Calculs 3D'!$D$32)+(((($D204*$H$4)+'Calculs 3D'!$E$7-OffsetZ)/Ecran)*'Calculs 3D'!$E$32)),0)</f>
        <v>4.2283739011493945E-2</v>
      </c>
      <c r="J204" s="105">
        <f>IF(Body3Actif=TRUE,((((($B204*$J$4)+'Calculs 3D'!$C$8-OffsetX)/Ecran)*'Calculs 3D'!$C$31)+(((($C204*$J$4)+'Calculs 3D'!$D$8-OffsetY)/Ecran)*'Calculs 3D'!$D$31)+(((($D204*$J$4)+'Calculs 3D'!$E$8-OffsetZ)/Ecran)*'Calculs 3D'!$E$31)),0)</f>
        <v>0.21866003387220898</v>
      </c>
      <c r="K204" s="105">
        <f>IF(Body3Actif=TRUE,((((($B204*$J$4)+'Calculs 3D'!$C$8-OffsetX)/Ecran)*'Calculs 3D'!$C$32)+(((($C204*$J$4)+'Calculs 3D'!$D$8-OffsetY)/Ecran)*'Calculs 3D'!$D$32)+(((($D204*$J$4)+'Calculs 3D'!$E$8-OffsetZ)/Ecran)*'Calculs 3D'!$E$32)),0)</f>
        <v>-7.5550268502116352E-2</v>
      </c>
      <c r="L204" s="105">
        <f>IF(Body4Actif=TRUE,((((($B204*$L$4)+'Calculs 3D'!$C$9-OffsetX)/Ecran)*'Calculs 3D'!$C$31)+(((($C204*$L$4)+'Calculs 3D'!$D$9-OffsetY)/Ecran)*'Calculs 3D'!$D$31)+(((($D204*$L$4)+'Calculs 3D'!$E$9-OffsetZ)/Ecran)*'Calculs 3D'!$E$31)),0)</f>
        <v>-9.4525992808345366E-2</v>
      </c>
      <c r="M204" s="105">
        <f>IF(Body4Actif=TRUE,((((($B204*$L$4)+'Calculs 3D'!$C$9-OffsetX)/Ecran)*'Calculs 3D'!$C$32)+(((($C204*$L$4)+'Calculs 3D'!$D$9-OffsetY)/Ecran)*'Calculs 3D'!$D$32)+(((($D204*$L$4)+'Calculs 3D'!$E$9-OffsetZ)/Ecran)*'Calculs 3D'!$E$32)),0)</f>
        <v>-0.165196198247998</v>
      </c>
      <c r="N204" s="105">
        <f>IF(Body5Actif=TRUE,((((($B204*$N$4)+'Calculs 3D'!$C$10-OffsetX)/Ecran)*'Calculs 3D'!$C$31)+(((($C204*$N$4)+'Calculs 3D'!$D$10-OffsetY)/Ecran)*'Calculs 3D'!$D$31)+(((($D204*$N$4)+'Calculs 3D'!$E$10-OffsetZ)/Ecran)*'Calculs 3D'!$E$31)),0)</f>
        <v>8.557340724558533E-4</v>
      </c>
      <c r="O204" s="105">
        <f>IF(Body5Actif=TRUE,((((($B204*$N$4)+'Calculs 3D'!$C$10-OffsetX)/Ecran)*'Calculs 3D'!$C$32)+(((($C204*$N$4)+'Calculs 3D'!$D$10-OffsetY)/Ecran)*'Calculs 3D'!$D$32)+(((($D204*$N$4)+'Calculs 3D'!$E$10-OffsetZ)/Ecran)*'Calculs 3D'!$E$32)),0)</f>
        <v>2.6968787958349836E-3</v>
      </c>
      <c r="P204" s="105">
        <f>IF(Body6Actif=TRUE,((((($B204*$P$4)+'Calculs 3D'!$C$11-OffsetX)/Ecran)*'Calculs 3D'!$C$31)+(((($C204*$P$4)+'Calculs 3D'!$D$11-OffsetY)/Ecran)*'Calculs 3D'!$D$31)+(((($D204*$P$4)+'Calculs 3D'!$E$11-OffsetZ)/Ecran)*'Calculs 3D'!$E$31)),0)</f>
        <v>0.1706767325982842</v>
      </c>
      <c r="Q204" s="105">
        <f>IF(Body6Actif=TRUE,((((($B204*$P$4)+'Calculs 3D'!$C$11-OffsetX)/Ecran)*'Calculs 3D'!$C$32)+(((($C204*$P$4)+'Calculs 3D'!$D$11-OffsetY)/Ecran)*'Calculs 3D'!$D$32)+(((($D204*$P$4)+'Calculs 3D'!$E$11-OffsetZ)/Ecran)*'Calculs 3D'!$E$32)),0)</f>
        <v>0.14418048848918191</v>
      </c>
      <c r="R204" s="105">
        <f>IF(Body7Actif=TRUE,((((($B204*$R$4)+'Calculs 3D'!$C$12-OffsetX)/Ecran)*'Calculs 3D'!$C$31)+(((($C204*$R$4)+'Calculs 3D'!$D$12-OffsetY)/Ecran)*'Calculs 3D'!$D$31)+(((($D204*$R$4)+'Calculs 3D'!$E$12-OffsetZ)/Ecran)*'Calculs 3D'!$E$31)),0)</f>
        <v>-0.28073836751385717</v>
      </c>
      <c r="S204" s="105">
        <f>IF(Body7Actif=TRUE,((((($B204*$R$4)+'Calculs 3D'!$C$12-OffsetX)/Ecran)*'Calculs 3D'!$C$32)+(((($C204*$R$4)+'Calculs 3D'!$D$12-OffsetY)/Ecran)*'Calculs 3D'!$D$32)+(((($D204*$R$4)+'Calculs 3D'!$E$12-OffsetZ)/Ecran)*'Calculs 3D'!$E$32)),0)</f>
        <v>7.3516651425132598E-2</v>
      </c>
      <c r="T204" s="105">
        <f>IF(Body8Actif=TRUE,((((($B204*$T$4)+'Calculs 3D'!$C$13-OffsetX)/Ecran)*'Calculs 3D'!$C$31)+(((($C204*$T$4)+'Calculs 3D'!$D$13-OffsetY)/Ecran)*'Calculs 3D'!$D$31)+(((($D204*$T$4)+'Calculs 3D'!$E$13-OffsetZ)/Ecran)*'Calculs 3D'!$E$31)),0)</f>
        <v>0.16817081081111579</v>
      </c>
      <c r="U204" s="105">
        <f>IF(Body8Actif=TRUE,((((($B204*$T$4)+'Calculs 3D'!$C$13-OffsetX)/Ecran)*'Calculs 3D'!$C$32)+(((($C204*$T$4)+'Calculs 3D'!$D$13-OffsetY)/Ecran)*'Calculs 3D'!$D$32)+(((($D204*$T$4)+'Calculs 3D'!$E$13-OffsetZ)/Ecran)*'Calculs 3D'!$E$32)),0)</f>
        <v>-0.12654149440512596</v>
      </c>
      <c r="V204" s="105">
        <f>IF(Body9Actif=TRUE,((((($B204*$V$4)+'Calculs 3D'!$C$14-OffsetX)/Ecran)*'Calculs 3D'!$C$31)+(((($C204*$V$4)+'Calculs 3D'!$D$14-OffsetY)/Ecran)*'Calculs 3D'!$D$31)+(((($D204*$V$4)+'Calculs 3D'!$E$14-OffsetZ)/Ecran)*'Calculs 3D'!$E$31)),0)</f>
        <v>-0.17765889973758367</v>
      </c>
      <c r="W204" s="105">
        <f>IF(Body9Actif=TRUE,((((($B204*$V$4)+'Calculs 3D'!$C$14-OffsetX)/Ecran)*'Calculs 3D'!$C$32)+(((($C204*$V$4)+'Calculs 3D'!$D$14-OffsetY)/Ecran)*'Calculs 3D'!$D$32)+(((($D204*$V$4)+'Calculs 3D'!$E$14-OffsetZ)/Ecran)*'Calculs 3D'!$E$32)),0)</f>
        <v>0.294264004953669</v>
      </c>
      <c r="X204" s="105">
        <f>IF(Body10Actif=TRUE,((((($B204*$X$4)+'Calculs 3D'!$C$15-OffsetX)/Ecran)*'Calculs 3D'!$C$31)+(((($C204*$X$4)+'Calculs 3D'!$D$15-OffsetY)/Ecran)*'Calculs 3D'!$D$31)+(((($D204*$X$4)+'Calculs 3D'!$E$15-OffsetZ)/Ecran)*'Calculs 3D'!$E$31)),0)</f>
        <v>-1.5442457044756913E-2</v>
      </c>
      <c r="Y204" s="105">
        <f>IF(Body10Actif=TRUE,((((($B204*$X$4)+'Calculs 3D'!$C$15-OffsetX)/Ecran)*'Calculs 3D'!$C$32)+(((($C204*$X$4)+'Calculs 3D'!$D$15-OffsetY)/Ecran)*'Calculs 3D'!$D$32)+(((($D204*$X$4)+'Calculs 3D'!$E$15-OffsetZ)/Ecran)*'Calculs 3D'!$E$32)),0)</f>
        <v>0.30098305611565546</v>
      </c>
    </row>
    <row r="205" spans="2:25" x14ac:dyDescent="0.3">
      <c r="B205" s="102">
        <v>0.3090169943749474</v>
      </c>
      <c r="C205" s="102">
        <v>0</v>
      </c>
      <c r="D205" s="102">
        <v>0.95105651629515353</v>
      </c>
      <c r="F205" s="105">
        <f>IF(Body1Actif=TRUE,((((($B205*$F$4)+'Calculs 3D'!$C$6-OffsetX)/Ecran)*'Calculs 3D'!$C$31)+(((($C205*$F$4)+'Calculs 3D'!$D$6-OffsetY)/Ecran)*'Calculs 3D'!$D$31)+(((($D205*$F$4)+'Calculs 3D'!$E$6-OffsetZ)/Ecran)*'Calculs 3D'!$E$31)),0)</f>
        <v>5.1523387518942754E-2</v>
      </c>
      <c r="G205" s="105">
        <f>IF(Body1Actif=TRUE,((((($B205*$F$4)+'Calculs 3D'!$C$6-OffsetX)/Ecran)*'Calculs 3D'!$C$32)+(((($C205*$F$4)+'Calculs 3D'!$D$6-OffsetY)/Ecran)*'Calculs 3D'!$D$32)+(((($D205*$F$4)+'Calculs 3D'!$E$6-OffsetZ)/Ecran)*'Calculs 3D'!$E$32)),0)</f>
        <v>0.26636435043393542</v>
      </c>
      <c r="H205" s="105">
        <f>IF(Body2Actif=TRUE,((((($B205*$H$4)+'Calculs 3D'!$C$7-OffsetX)/Ecran)*'Calculs 3D'!$C$31)+(((($C205*$H$4)+'Calculs 3D'!$D$7-OffsetY)/Ecran)*'Calculs 3D'!$D$31)+(((($D205*$H$4)+'Calculs 3D'!$E$7-OffsetZ)/Ecran)*'Calculs 3D'!$E$31)),0)</f>
        <v>2.8928607112248622E-2</v>
      </c>
      <c r="I205" s="105">
        <f>IF(Body2Actif=TRUE,((((($B205*$H$4)+'Calculs 3D'!$C$7-OffsetX)/Ecran)*'Calculs 3D'!$C$32)+(((($C205*$H$4)+'Calculs 3D'!$D$7-OffsetY)/Ecran)*'Calculs 3D'!$D$32)+(((($D205*$H$4)+'Calculs 3D'!$E$7-OffsetZ)/Ecran)*'Calculs 3D'!$E$32)),0)</f>
        <v>4.0069684229721667E-2</v>
      </c>
      <c r="J205" s="105">
        <f>IF(Body3Actif=TRUE,((((($B205*$J$4)+'Calculs 3D'!$C$8-OffsetX)/Ecran)*'Calculs 3D'!$C$31)+(((($C205*$J$4)+'Calculs 3D'!$D$8-OffsetY)/Ecran)*'Calculs 3D'!$D$31)+(((($D205*$J$4)+'Calculs 3D'!$E$8-OffsetZ)/Ecran)*'Calculs 3D'!$E$31)),0)</f>
        <v>0.22029569550559069</v>
      </c>
      <c r="K205" s="105">
        <f>IF(Body3Actif=TRUE,((((($B205*$J$4)+'Calculs 3D'!$C$8-OffsetX)/Ecran)*'Calculs 3D'!$C$32)+(((($C205*$J$4)+'Calculs 3D'!$D$8-OffsetY)/Ecran)*'Calculs 3D'!$D$32)+(((($D205*$J$4)+'Calculs 3D'!$E$8-OffsetZ)/Ecran)*'Calculs 3D'!$E$32)),0)</f>
        <v>-7.6534243629337168E-2</v>
      </c>
      <c r="L205" s="105">
        <f>IF(Body4Actif=TRUE,((((($B205*$L$4)+'Calculs 3D'!$C$9-OffsetX)/Ecran)*'Calculs 3D'!$C$31)+(((($C205*$L$4)+'Calculs 3D'!$D$9-OffsetY)/Ecran)*'Calculs 3D'!$D$31)+(((($D205*$L$4)+'Calculs 3D'!$E$9-OffsetZ)/Ecran)*'Calculs 3D'!$E$31)),0)</f>
        <v>-9.23991541031432E-2</v>
      </c>
      <c r="M205" s="105">
        <f>IF(Body4Actif=TRUE,((((($B205*$L$4)+'Calculs 3D'!$C$9-OffsetX)/Ecran)*'Calculs 3D'!$C$32)+(((($C205*$L$4)+'Calculs 3D'!$D$9-OffsetY)/Ecran)*'Calculs 3D'!$D$32)+(((($D205*$L$4)+'Calculs 3D'!$E$9-OffsetZ)/Ecran)*'Calculs 3D'!$E$32)),0)</f>
        <v>-0.16647565381681428</v>
      </c>
      <c r="N205" s="105">
        <f>IF(Body5Actif=TRUE,((((($B205*$N$4)+'Calculs 3D'!$C$10-OffsetX)/Ecran)*'Calculs 3D'!$C$31)+(((($C205*$N$4)+'Calculs 3D'!$D$10-OffsetY)/Ecran)*'Calculs 3D'!$D$31)+(((($D205*$N$4)+'Calculs 3D'!$E$10-OffsetZ)/Ecran)*'Calculs 3D'!$E$31)),0)</f>
        <v>3.2837157039599342E-3</v>
      </c>
      <c r="O205" s="105">
        <f>IF(Body5Actif=TRUE,((((($B205*$N$4)+'Calculs 3D'!$C$10-OffsetX)/Ecran)*'Calculs 3D'!$C$32)+(((($C205*$N$4)+'Calculs 3D'!$D$10-OffsetY)/Ecran)*'Calculs 3D'!$D$32)+(((($D205*$N$4)+'Calculs 3D'!$E$10-OffsetZ)/Ecran)*'Calculs 3D'!$E$32)),0)</f>
        <v>1.2362628065673113E-3</v>
      </c>
      <c r="P205" s="105">
        <f>IF(Body6Actif=TRUE,((((($B205*$P$4)+'Calculs 3D'!$C$11-OffsetX)/Ecran)*'Calculs 3D'!$C$31)+(((($C205*$P$4)+'Calculs 3D'!$D$11-OffsetY)/Ecran)*'Calculs 3D'!$D$31)+(((($D205*$P$4)+'Calculs 3D'!$E$11-OffsetZ)/Ecran)*'Calculs 3D'!$E$31)),0)</f>
        <v>0.17419529248505522</v>
      </c>
      <c r="Q205" s="105">
        <f>IF(Body6Actif=TRUE,((((($B205*$P$4)+'Calculs 3D'!$C$11-OffsetX)/Ecran)*'Calculs 3D'!$C$32)+(((($C205*$P$4)+'Calculs 3D'!$D$11-OffsetY)/Ecran)*'Calculs 3D'!$D$32)+(((($D205*$P$4)+'Calculs 3D'!$E$11-OffsetZ)/Ecran)*'Calculs 3D'!$E$32)),0)</f>
        <v>0.14206380656575654</v>
      </c>
      <c r="R205" s="105">
        <f>IF(Body7Actif=TRUE,((((($B205*$R$4)+'Calculs 3D'!$C$12-OffsetX)/Ecran)*'Calculs 3D'!$C$31)+(((($C205*$R$4)+'Calculs 3D'!$D$12-OffsetY)/Ecran)*'Calculs 3D'!$D$31)+(((($D205*$R$4)+'Calculs 3D'!$E$12-OffsetZ)/Ecran)*'Calculs 3D'!$E$31)),0)</f>
        <v>-0.27720480622921617</v>
      </c>
      <c r="S205" s="105">
        <f>IF(Body7Actif=TRUE,((((($B205*$R$4)+'Calculs 3D'!$C$12-OffsetX)/Ecran)*'Calculs 3D'!$C$32)+(((($C205*$R$4)+'Calculs 3D'!$D$12-OffsetY)/Ecran)*'Calculs 3D'!$D$32)+(((($D205*$R$4)+'Calculs 3D'!$E$12-OffsetZ)/Ecran)*'Calculs 3D'!$E$32)),0)</f>
        <v>7.1390945017623011E-2</v>
      </c>
      <c r="T205" s="105">
        <f>IF(Body8Actif=TRUE,((((($B205*$T$4)+'Calculs 3D'!$C$13-OffsetX)/Ecran)*'Calculs 3D'!$C$31)+(((($C205*$T$4)+'Calculs 3D'!$D$13-OffsetY)/Ecran)*'Calculs 3D'!$D$31)+(((($D205*$T$4)+'Calculs 3D'!$E$13-OffsetZ)/Ecran)*'Calculs 3D'!$E$31)),0)</f>
        <v>0.16944522673771156</v>
      </c>
      <c r="U205" s="105">
        <f>IF(Body8Actif=TRUE,((((($B205*$T$4)+'Calculs 3D'!$C$13-OffsetX)/Ecran)*'Calculs 3D'!$C$32)+(((($C205*$T$4)+'Calculs 3D'!$D$13-OffsetY)/Ecran)*'Calculs 3D'!$D$32)+(((($D205*$T$4)+'Calculs 3D'!$E$13-OffsetZ)/Ecran)*'Calculs 3D'!$E$32)),0)</f>
        <v>-0.12730815270896581</v>
      </c>
      <c r="V205" s="105">
        <f>IF(Body9Actif=TRUE,((((($B205*$V$4)+'Calculs 3D'!$C$14-OffsetX)/Ecran)*'Calculs 3D'!$C$31)+(((($C205*$V$4)+'Calculs 3D'!$D$14-OffsetY)/Ecran)*'Calculs 3D'!$D$31)+(((($D205*$V$4)+'Calculs 3D'!$E$14-OffsetZ)/Ecran)*'Calculs 3D'!$E$31)),0)</f>
        <v>-0.17589062732398086</v>
      </c>
      <c r="W205" s="105">
        <f>IF(Body9Actif=TRUE,((((($B205*$V$4)+'Calculs 3D'!$C$14-OffsetX)/Ecran)*'Calculs 3D'!$C$32)+(((($C205*$V$4)+'Calculs 3D'!$D$14-OffsetY)/Ecran)*'Calculs 3D'!$D$32)+(((($D205*$V$4)+'Calculs 3D'!$E$14-OffsetZ)/Ecran)*'Calculs 3D'!$E$32)),0)</f>
        <v>0.2932002543357991</v>
      </c>
      <c r="X205" s="105">
        <f>IF(Body10Actif=TRUE,((((($B205*$X$4)+'Calculs 3D'!$C$15-OffsetX)/Ecran)*'Calculs 3D'!$C$31)+(((($C205*$X$4)+'Calculs 3D'!$D$15-OffsetY)/Ecran)*'Calculs 3D'!$D$31)+(((($D205*$X$4)+'Calculs 3D'!$E$15-OffsetZ)/Ecran)*'Calculs 3D'!$E$31)),0)</f>
        <v>-1.2773331006788097E-2</v>
      </c>
      <c r="Y205" s="105">
        <f>IF(Body10Actif=TRUE,((((($B205*$X$4)+'Calculs 3D'!$C$15-OffsetX)/Ecran)*'Calculs 3D'!$C$32)+(((($C205*$X$4)+'Calculs 3D'!$D$15-OffsetY)/Ecran)*'Calculs 3D'!$D$32)+(((($D205*$X$4)+'Calculs 3D'!$E$15-OffsetZ)/Ecran)*'Calculs 3D'!$E$32)),0)</f>
        <v>0.29937737338814119</v>
      </c>
    </row>
    <row r="206" spans="2:25" x14ac:dyDescent="0.3">
      <c r="B206" s="102">
        <v>0.58778525229247314</v>
      </c>
      <c r="C206" s="102">
        <v>0</v>
      </c>
      <c r="D206" s="102">
        <v>0.80901699437494745</v>
      </c>
      <c r="F206" s="105">
        <f>IF(Body1Actif=TRUE,((((($B206*$F$4)+'Calculs 3D'!$C$6-OffsetX)/Ecran)*'Calculs 3D'!$C$31)+(((($C206*$F$4)+'Calculs 3D'!$D$6-OffsetY)/Ecran)*'Calculs 3D'!$D$31)+(((($D206*$F$4)+'Calculs 3D'!$E$6-OffsetZ)/Ecran)*'Calculs 3D'!$E$31)),0)</f>
        <v>5.2375173714217946E-2</v>
      </c>
      <c r="G206" s="105">
        <f>IF(Body1Actif=TRUE,((((($B206*$F$4)+'Calculs 3D'!$C$6-OffsetX)/Ecran)*'Calculs 3D'!$C$32)+(((($C206*$F$4)+'Calculs 3D'!$D$6-OffsetY)/Ecran)*'Calculs 3D'!$D$32)+(((($D206*$F$4)+'Calculs 3D'!$E$6-OffsetZ)/Ecran)*'Calculs 3D'!$E$32)),0)</f>
        <v>0.26556060515574775</v>
      </c>
      <c r="H206" s="105">
        <f>IF(Body2Actif=TRUE,((((($B206*$H$4)+'Calculs 3D'!$C$7-OffsetX)/Ecran)*'Calculs 3D'!$C$31)+(((($C206*$H$4)+'Calculs 3D'!$D$7-OffsetY)/Ecran)*'Calculs 3D'!$D$31)+(((($D206*$H$4)+'Calculs 3D'!$E$7-OffsetZ)/Ecran)*'Calculs 3D'!$E$31)),0)</f>
        <v>3.2248764456136107E-2</v>
      </c>
      <c r="I206" s="105">
        <f>IF(Body2Actif=TRUE,((((($B206*$H$4)+'Calculs 3D'!$C$7-OffsetX)/Ecran)*'Calculs 3D'!$C$32)+(((($C206*$H$4)+'Calculs 3D'!$D$7-OffsetY)/Ecran)*'Calculs 3D'!$D$32)+(((($D206*$H$4)+'Calculs 3D'!$E$7-OffsetZ)/Ecran)*'Calculs 3D'!$E$32)),0)</f>
        <v>3.6936784444785153E-2</v>
      </c>
      <c r="J206" s="105">
        <f>IF(Body3Actif=TRUE,((((($B206*$J$4)+'Calculs 3D'!$C$8-OffsetX)/Ecran)*'Calculs 3D'!$C$31)+(((($C206*$J$4)+'Calculs 3D'!$D$8-OffsetY)/Ecran)*'Calculs 3D'!$D$31)+(((($D206*$J$4)+'Calculs 3D'!$E$8-OffsetZ)/Ecran)*'Calculs 3D'!$E$31)),0)</f>
        <v>0.22177124718197228</v>
      </c>
      <c r="K206" s="105">
        <f>IF(Body3Actif=TRUE,((((($B206*$J$4)+'Calculs 3D'!$C$8-OffsetX)/Ecran)*'Calculs 3D'!$C$32)+(((($C206*$J$4)+'Calculs 3D'!$D$8-OffsetY)/Ecran)*'Calculs 3D'!$D$32)+(((($D206*$J$4)+'Calculs 3D'!$E$8-OffsetZ)/Ecran)*'Calculs 3D'!$E$32)),0)</f>
        <v>-7.7926573886850176E-2</v>
      </c>
      <c r="L206" s="105">
        <f>IF(Body4Actif=TRUE,((((($B206*$L$4)+'Calculs 3D'!$C$9-OffsetX)/Ecran)*'Calculs 3D'!$C$31)+(((($C206*$L$4)+'Calculs 3D'!$D$9-OffsetY)/Ecran)*'Calculs 3D'!$D$31)+(((($D206*$L$4)+'Calculs 3D'!$E$9-OffsetZ)/Ecran)*'Calculs 3D'!$E$31)),0)</f>
        <v>-9.0480505188962834E-2</v>
      </c>
      <c r="M206" s="105">
        <f>IF(Body4Actif=TRUE,((((($B206*$L$4)+'Calculs 3D'!$C$9-OffsetX)/Ecran)*'Calculs 3D'!$C$32)+(((($C206*$L$4)+'Calculs 3D'!$D$9-OffsetY)/Ecran)*'Calculs 3D'!$D$32)+(((($D206*$L$4)+'Calculs 3D'!$E$9-OffsetZ)/Ecran)*'Calculs 3D'!$E$32)),0)</f>
        <v>-0.16828609053652901</v>
      </c>
      <c r="N206" s="105">
        <f>IF(Body5Actif=TRUE,((((($B206*$N$4)+'Calculs 3D'!$C$10-OffsetX)/Ecran)*'Calculs 3D'!$C$31)+(((($C206*$N$4)+'Calculs 3D'!$D$10-OffsetY)/Ecran)*'Calculs 3D'!$D$31)+(((($D206*$N$4)+'Calculs 3D'!$E$10-OffsetZ)/Ecran)*'Calculs 3D'!$E$31)),0)</f>
        <v>5.4740295766296425E-3</v>
      </c>
      <c r="O206" s="105">
        <f>IF(Body5Actif=TRUE,((((($B206*$N$4)+'Calculs 3D'!$C$10-OffsetX)/Ecran)*'Calculs 3D'!$C$32)+(((($C206*$N$4)+'Calculs 3D'!$D$10-OffsetY)/Ecran)*'Calculs 3D'!$D$32)+(((($D206*$N$4)+'Calculs 3D'!$E$10-OffsetZ)/Ecran)*'Calculs 3D'!$E$32)),0)</f>
        <v>-8.3051691194921829E-4</v>
      </c>
      <c r="P206" s="105">
        <f>IF(Body6Actif=TRUE,((((($B206*$P$4)+'Calculs 3D'!$C$11-OffsetX)/Ecran)*'Calculs 3D'!$C$31)+(((($C206*$P$4)+'Calculs 3D'!$D$11-OffsetY)/Ecran)*'Calculs 3D'!$D$31)+(((($D206*$P$4)+'Calculs 3D'!$E$11-OffsetZ)/Ecran)*'Calculs 3D'!$E$31)),0)</f>
        <v>0.17736943121486082</v>
      </c>
      <c r="Q206" s="105">
        <f>IF(Body6Actif=TRUE,((((($B206*$P$4)+'Calculs 3D'!$C$11-OffsetX)/Ecran)*'Calculs 3D'!$C$32)+(((($C206*$P$4)+'Calculs 3D'!$D$11-OffsetY)/Ecran)*'Calculs 3D'!$D$32)+(((($D206*$P$4)+'Calculs 3D'!$E$11-OffsetZ)/Ecran)*'Calculs 3D'!$E$32)),0)</f>
        <v>0.1390686899149525</v>
      </c>
      <c r="R206" s="105">
        <f>IF(Body7Actif=TRUE,((((($B206*$R$4)+'Calculs 3D'!$C$12-OffsetX)/Ecran)*'Calculs 3D'!$C$31)+(((($C206*$R$4)+'Calculs 3D'!$D$12-OffsetY)/Ecran)*'Calculs 3D'!$D$31)+(((($D206*$R$4)+'Calculs 3D'!$E$12-OffsetZ)/Ecran)*'Calculs 3D'!$E$31)),0)</f>
        <v>-0.27401713454288501</v>
      </c>
      <c r="S206" s="105">
        <f>IF(Body7Actif=TRUE,((((($B206*$R$4)+'Calculs 3D'!$C$12-OffsetX)/Ecran)*'Calculs 3D'!$C$32)+(((($C206*$R$4)+'Calculs 3D'!$D$12-OffsetY)/Ecran)*'Calculs 3D'!$D$32)+(((($D206*$R$4)+'Calculs 3D'!$E$12-OffsetZ)/Ecran)*'Calculs 3D'!$E$32)),0)</f>
        <v>6.8383058671832544E-2</v>
      </c>
      <c r="T206" s="105">
        <f>IF(Body8Actif=TRUE,((((($B206*$T$4)+'Calculs 3D'!$C$13-OffsetX)/Ecran)*'Calculs 3D'!$C$31)+(((($C206*$T$4)+'Calculs 3D'!$D$13-OffsetY)/Ecran)*'Calculs 3D'!$D$31)+(((($D206*$T$4)+'Calculs 3D'!$E$13-OffsetZ)/Ecran)*'Calculs 3D'!$E$31)),0)</f>
        <v>0.17059489395403432</v>
      </c>
      <c r="U206" s="105">
        <f>IF(Body8Actif=TRUE,((((($B206*$T$4)+'Calculs 3D'!$C$13-OffsetX)/Ecran)*'Calculs 3D'!$C$32)+(((($C206*$T$4)+'Calculs 3D'!$D$13-OffsetY)/Ecran)*'Calculs 3D'!$D$32)+(((($D206*$T$4)+'Calculs 3D'!$E$13-OffsetZ)/Ecran)*'Calculs 3D'!$E$32)),0)</f>
        <v>-0.12839297845717831</v>
      </c>
      <c r="V206" s="105">
        <f>IF(Body9Actif=TRUE,((((($B206*$V$4)+'Calculs 3D'!$C$14-OffsetX)/Ecran)*'Calculs 3D'!$C$31)+(((($C206*$V$4)+'Calculs 3D'!$D$14-OffsetY)/Ecran)*'Calculs 3D'!$D$31)+(((($D206*$V$4)+'Calculs 3D'!$E$14-OffsetZ)/Ecran)*'Calculs 3D'!$E$31)),0)</f>
        <v>-0.17429544573449979</v>
      </c>
      <c r="W206" s="105">
        <f>IF(Body9Actif=TRUE,((((($B206*$V$4)+'Calculs 3D'!$C$14-OffsetX)/Ecran)*'Calculs 3D'!$C$32)+(((($C206*$V$4)+'Calculs 3D'!$D$14-OffsetY)/Ecran)*'Calculs 3D'!$D$32)+(((($D206*$V$4)+'Calculs 3D'!$E$14-OffsetZ)/Ecran)*'Calculs 3D'!$E$32)),0)</f>
        <v>0.29169504131695817</v>
      </c>
      <c r="X206" s="105">
        <f>IF(Body10Actif=TRUE,((((($B206*$X$4)+'Calculs 3D'!$C$15-OffsetX)/Ecran)*'Calculs 3D'!$C$31)+(((($C206*$X$4)+'Calculs 3D'!$D$15-OffsetY)/Ecran)*'Calculs 3D'!$D$31)+(((($D206*$X$4)+'Calculs 3D'!$E$15-OffsetZ)/Ecran)*'Calculs 3D'!$E$31)),0)</f>
        <v>-1.0365477622310271E-2</v>
      </c>
      <c r="Y206" s="105">
        <f>IF(Body10Actif=TRUE,((((($B206*$X$4)+'Calculs 3D'!$C$15-OffsetX)/Ecran)*'Calculs 3D'!$C$32)+(((($C206*$X$4)+'Calculs 3D'!$D$15-OffsetY)/Ecran)*'Calculs 3D'!$D$32)+(((($D206*$X$4)+'Calculs 3D'!$E$15-OffsetZ)/Ecran)*'Calculs 3D'!$E$32)),0)</f>
        <v>0.29710532343114832</v>
      </c>
    </row>
    <row r="207" spans="2:25" x14ac:dyDescent="0.3">
      <c r="B207" s="102">
        <v>0.80901699437494745</v>
      </c>
      <c r="C207" s="102">
        <v>0</v>
      </c>
      <c r="D207" s="102">
        <v>0.58778525229247314</v>
      </c>
      <c r="F207" s="105">
        <f>IF(Body1Actif=TRUE,((((($B207*$F$4)+'Calculs 3D'!$C$6-OffsetX)/Ecran)*'Calculs 3D'!$C$31)+(((($C207*$F$4)+'Calculs 3D'!$D$6-OffsetY)/Ecran)*'Calculs 3D'!$D$31)+(((($D207*$F$4)+'Calculs 3D'!$E$6-OffsetZ)/Ecran)*'Calculs 3D'!$E$31)),0)</f>
        <v>5.3051155066148929E-2</v>
      </c>
      <c r="G207" s="105">
        <f>IF(Body1Actif=TRUE,((((($B207*$F$4)+'Calculs 3D'!$C$6-OffsetX)/Ecran)*'Calculs 3D'!$C$32)+(((($C207*$F$4)+'Calculs 3D'!$D$6-OffsetY)/Ecran)*'Calculs 3D'!$D$32)+(((($D207*$F$4)+'Calculs 3D'!$E$6-OffsetZ)/Ecran)*'Calculs 3D'!$E$32)),0)</f>
        <v>0.26459980642725661</v>
      </c>
      <c r="H207" s="105">
        <f>IF(Body2Actif=TRUE,((((($B207*$H$4)+'Calculs 3D'!$C$7-OffsetX)/Ecran)*'Calculs 3D'!$C$31)+(((($C207*$H$4)+'Calculs 3D'!$D$7-OffsetY)/Ecran)*'Calculs 3D'!$D$31)+(((($D207*$H$4)+'Calculs 3D'!$E$7-OffsetZ)/Ecran)*'Calculs 3D'!$E$31)),0)</f>
        <v>3.4883656242823899E-2</v>
      </c>
      <c r="I207" s="105">
        <f>IF(Body2Actif=TRUE,((((($B207*$H$4)+'Calculs 3D'!$C$7-OffsetX)/Ecran)*'Calculs 3D'!$C$32)+(((($C207*$H$4)+'Calculs 3D'!$D$7-OffsetY)/Ecran)*'Calculs 3D'!$D$32)+(((($D207*$H$4)+'Calculs 3D'!$E$7-OffsetZ)/Ecran)*'Calculs 3D'!$E$32)),0)</f>
        <v>3.3191709715830346E-2</v>
      </c>
      <c r="J207" s="105">
        <f>IF(Body3Actif=TRUE,((((($B207*$J$4)+'Calculs 3D'!$C$8-OffsetX)/Ecran)*'Calculs 3D'!$C$31)+(((($C207*$J$4)+'Calculs 3D'!$D$8-OffsetY)/Ecran)*'Calculs 3D'!$D$31)+(((($D207*$J$4)+'Calculs 3D'!$E$8-OffsetZ)/Ecran)*'Calculs 3D'!$E$31)),0)</f>
        <v>0.22294225162249645</v>
      </c>
      <c r="K207" s="105">
        <f>IF(Body3Actif=TRUE,((((($B207*$J$4)+'Calculs 3D'!$C$8-OffsetX)/Ecran)*'Calculs 3D'!$C$32)+(((($C207*$J$4)+'Calculs 3D'!$D$8-OffsetY)/Ecran)*'Calculs 3D'!$D$32)+(((($D207*$J$4)+'Calculs 3D'!$E$8-OffsetZ)/Ecran)*'Calculs 3D'!$E$32)),0)</f>
        <v>-7.9590968288114655E-2</v>
      </c>
      <c r="L207" s="105">
        <f>IF(Body4Actif=TRUE,((((($B207*$L$4)+'Calculs 3D'!$C$9-OffsetX)/Ecran)*'Calculs 3D'!$C$31)+(((($C207*$L$4)+'Calculs 3D'!$D$9-OffsetY)/Ecran)*'Calculs 3D'!$D$31)+(((($D207*$L$4)+'Calculs 3D'!$E$9-OffsetZ)/Ecran)*'Calculs 3D'!$E$31)),0)</f>
        <v>-8.8957856789537271E-2</v>
      </c>
      <c r="M207" s="105">
        <f>IF(Body4Actif=TRUE,((((($B207*$L$4)+'Calculs 3D'!$C$9-OffsetX)/Ecran)*'Calculs 3D'!$C$32)+(((($C207*$L$4)+'Calculs 3D'!$D$9-OffsetY)/Ecran)*'Calculs 3D'!$D$32)+(((($D207*$L$4)+'Calculs 3D'!$E$9-OffsetZ)/Ecran)*'Calculs 3D'!$E$32)),0)</f>
        <v>-0.17045029024696207</v>
      </c>
      <c r="N207" s="105">
        <f>IF(Body5Actif=TRUE,((((($B207*$N$4)+'Calculs 3D'!$C$10-OffsetX)/Ecran)*'Calculs 3D'!$C$31)+(((($C207*$N$4)+'Calculs 3D'!$D$10-OffsetY)/Ecran)*'Calculs 3D'!$D$31)+(((($D207*$N$4)+'Calculs 3D'!$E$10-OffsetZ)/Ecran)*'Calculs 3D'!$E$31)),0)</f>
        <v>7.2122725077939593E-3</v>
      </c>
      <c r="O207" s="105">
        <f>IF(Body5Actif=TRUE,((((($B207*$N$4)+'Calculs 3D'!$C$10-OffsetX)/Ecran)*'Calculs 3D'!$C$32)+(((($C207*$N$4)+'Calculs 3D'!$D$10-OffsetY)/Ecran)*'Calculs 3D'!$D$32)+(((($D207*$N$4)+'Calculs 3D'!$E$10-OffsetZ)/Ecran)*'Calculs 3D'!$E$32)),0)</f>
        <v>-3.3011495607651641E-3</v>
      </c>
      <c r="P207" s="105">
        <f>IF(Body6Actif=TRUE,((((($B207*$P$4)+'Calculs 3D'!$C$11-OffsetX)/Ecran)*'Calculs 3D'!$C$31)+(((($C207*$P$4)+'Calculs 3D'!$D$11-OffsetY)/Ecran)*'Calculs 3D'!$D$31)+(((($D207*$P$4)+'Calculs 3D'!$E$11-OffsetZ)/Ecran)*'Calculs 3D'!$E$31)),0)</f>
        <v>0.17988844197330267</v>
      </c>
      <c r="Q207" s="105">
        <f>IF(Body6Actif=TRUE,((((($B207*$P$4)+'Calculs 3D'!$C$11-OffsetX)/Ecran)*'Calculs 3D'!$C$32)+(((($C207*$P$4)+'Calculs 3D'!$D$11-OffsetY)/Ecran)*'Calculs 3D'!$D$32)+(((($D207*$P$4)+'Calculs 3D'!$E$11-OffsetZ)/Ecran)*'Calculs 3D'!$E$32)),0)</f>
        <v>0.13548832142275538</v>
      </c>
      <c r="R207" s="105">
        <f>IF(Body7Actif=TRUE,((((($B207*$R$4)+'Calculs 3D'!$C$12-OffsetX)/Ecran)*'Calculs 3D'!$C$31)+(((($C207*$R$4)+'Calculs 3D'!$D$12-OffsetY)/Ecran)*'Calculs 3D'!$D$31)+(((($D207*$R$4)+'Calculs 3D'!$E$12-OffsetZ)/Ecran)*'Calculs 3D'!$E$31)),0)</f>
        <v>-0.27148738396933636</v>
      </c>
      <c r="S207" s="105">
        <f>IF(Body7Actif=TRUE,((((($B207*$R$4)+'Calculs 3D'!$C$12-OffsetX)/Ecran)*'Calculs 3D'!$C$32)+(((($C207*$R$4)+'Calculs 3D'!$D$12-OffsetY)/Ecran)*'Calculs 3D'!$D$32)+(((($D207*$R$4)+'Calculs 3D'!$E$12-OffsetZ)/Ecran)*'Calculs 3D'!$E$32)),0)</f>
        <v>6.4787425260463632E-2</v>
      </c>
      <c r="T207" s="105">
        <f>IF(Body8Actif=TRUE,((((($B207*$T$4)+'Calculs 3D'!$C$13-OffsetX)/Ecran)*'Calculs 3D'!$C$31)+(((($C207*$T$4)+'Calculs 3D'!$D$13-OffsetY)/Ecran)*'Calculs 3D'!$D$31)+(((($D207*$T$4)+'Calculs 3D'!$E$13-OffsetZ)/Ecran)*'Calculs 3D'!$E$31)),0)</f>
        <v>0.17150727502274779</v>
      </c>
      <c r="U207" s="105">
        <f>IF(Body8Actif=TRUE,((((($B207*$T$4)+'Calculs 3D'!$C$13-OffsetX)/Ecran)*'Calculs 3D'!$C$32)+(((($C207*$T$4)+'Calculs 3D'!$D$13-OffsetY)/Ecran)*'Calculs 3D'!$D$32)+(((($D207*$T$4)+'Calculs 3D'!$E$13-OffsetZ)/Ecran)*'Calculs 3D'!$E$32)),0)</f>
        <v>-0.12968978134710307</v>
      </c>
      <c r="V207" s="105">
        <f>IF(Body9Actif=TRUE,((((($B207*$V$4)+'Calculs 3D'!$C$14-OffsetX)/Ecran)*'Calculs 3D'!$C$31)+(((($C207*$V$4)+'Calculs 3D'!$D$14-OffsetY)/Ecran)*'Calculs 3D'!$D$31)+(((($D207*$V$4)+'Calculs 3D'!$E$14-OffsetZ)/Ecran)*'Calculs 3D'!$E$31)),0)</f>
        <v>-0.17302950245740265</v>
      </c>
      <c r="W207" s="105">
        <f>IF(Body9Actif=TRUE,((((($B207*$V$4)+'Calculs 3D'!$C$14-OffsetX)/Ecran)*'Calculs 3D'!$C$32)+(((($C207*$V$4)+'Calculs 3D'!$D$14-OffsetY)/Ecran)*'Calculs 3D'!$D$32)+(((($D207*$V$4)+'Calculs 3D'!$E$14-OffsetZ)/Ecran)*'Calculs 3D'!$E$32)),0)</f>
        <v>0.28989570663486608</v>
      </c>
      <c r="X207" s="105">
        <f>IF(Body10Actif=TRUE,((((($B207*$X$4)+'Calculs 3D'!$C$15-OffsetX)/Ecran)*'Calculs 3D'!$C$31)+(((($C207*$X$4)+'Calculs 3D'!$D$15-OffsetY)/Ecran)*'Calculs 3D'!$D$31)+(((($D207*$X$4)+'Calculs 3D'!$E$15-OffsetZ)/Ecran)*'Calculs 3D'!$E$31)),0)</f>
        <v>-8.4545943570971671E-3</v>
      </c>
      <c r="Y207" s="105">
        <f>IF(Body10Actif=TRUE,((((($B207*$X$4)+'Calculs 3D'!$C$15-OffsetX)/Ecran)*'Calculs 3D'!$C$32)+(((($C207*$X$4)+'Calculs 3D'!$D$15-OffsetY)/Ecran)*'Calculs 3D'!$D$32)+(((($D207*$X$4)+'Calculs 3D'!$E$15-OffsetZ)/Ecran)*'Calculs 3D'!$E$32)),0)</f>
        <v>0.29438931032477011</v>
      </c>
    </row>
    <row r="208" spans="2:25" x14ac:dyDescent="0.3">
      <c r="B208" s="102">
        <v>0.95105651629515353</v>
      </c>
      <c r="C208" s="102">
        <v>0</v>
      </c>
      <c r="D208" s="102">
        <v>0.30901699437494745</v>
      </c>
      <c r="F208" s="105">
        <f>IF(Body1Actif=TRUE,((((($B208*$F$4)+'Calculs 3D'!$C$6-OffsetX)/Ecran)*'Calculs 3D'!$C$31)+(((($C208*$F$4)+'Calculs 3D'!$D$6-OffsetY)/Ecran)*'Calculs 3D'!$D$31)+(((($D208*$F$4)+'Calculs 3D'!$E$6-OffsetZ)/Ecran)*'Calculs 3D'!$E$31)),0)</f>
        <v>5.3485161810169664E-2</v>
      </c>
      <c r="G208" s="105">
        <f>IF(Body1Actif=TRUE,((((($B208*$F$4)+'Calculs 3D'!$C$6-OffsetX)/Ecran)*'Calculs 3D'!$C$32)+(((($C208*$F$4)+'Calculs 3D'!$D$6-OffsetY)/Ecran)*'Calculs 3D'!$D$32)+(((($D208*$F$4)+'Calculs 3D'!$E$6-OffsetZ)/Ecran)*'Calculs 3D'!$E$32)),0)</f>
        <v>0.26357600392228497</v>
      </c>
      <c r="H208" s="105">
        <f>IF(Body2Actif=TRUE,((((($B208*$H$4)+'Calculs 3D'!$C$7-OffsetX)/Ecran)*'Calculs 3D'!$C$31)+(((($C208*$H$4)+'Calculs 3D'!$D$7-OffsetY)/Ecran)*'Calculs 3D'!$D$31)+(((($D208*$H$4)+'Calculs 3D'!$E$7-OffsetZ)/Ecran)*'Calculs 3D'!$E$31)),0)</f>
        <v>3.6575360905860395E-2</v>
      </c>
      <c r="I208" s="105">
        <f>IF(Body2Actif=TRUE,((((($B208*$H$4)+'Calculs 3D'!$C$7-OffsetX)/Ecran)*'Calculs 3D'!$C$32)+(((($C208*$H$4)+'Calculs 3D'!$D$7-OffsetY)/Ecran)*'Calculs 3D'!$D$32)+(((($D208*$H$4)+'Calculs 3D'!$E$7-OffsetZ)/Ecran)*'Calculs 3D'!$E$32)),0)</f>
        <v>2.9201054050797287E-2</v>
      </c>
      <c r="J208" s="105">
        <f>IF(Body3Actif=TRUE,((((($B208*$J$4)+'Calculs 3D'!$C$8-OffsetX)/Ecran)*'Calculs 3D'!$C$31)+(((($C208*$J$4)+'Calculs 3D'!$D$8-OffsetY)/Ecran)*'Calculs 3D'!$D$31)+(((($D208*$J$4)+'Calculs 3D'!$E$8-OffsetZ)/Ecran)*'Calculs 3D'!$E$31)),0)</f>
        <v>0.22369408275365704</v>
      </c>
      <c r="K208" s="105">
        <f>IF(Body3Actif=TRUE,((((($B208*$J$4)+'Calculs 3D'!$C$8-OffsetX)/Ecran)*'Calculs 3D'!$C$32)+(((($C208*$J$4)+'Calculs 3D'!$D$8-OffsetY)/Ecran)*'Calculs 3D'!$D$32)+(((($D208*$J$4)+'Calculs 3D'!$E$8-OffsetZ)/Ecran)*'Calculs 3D'!$E$32)),0)</f>
        <v>-8.1364504312617228E-2</v>
      </c>
      <c r="L208" s="105">
        <f>IF(Body4Actif=TRUE,((((($B208*$L$4)+'Calculs 3D'!$C$9-OffsetX)/Ecran)*'Calculs 3D'!$C$31)+(((($C208*$L$4)+'Calculs 3D'!$D$9-OffsetY)/Ecran)*'Calculs 3D'!$D$31)+(((($D208*$L$4)+'Calculs 3D'!$E$9-OffsetZ)/Ecran)*'Calculs 3D'!$E$31)),0)</f>
        <v>-8.7980256339117519E-2</v>
      </c>
      <c r="M208" s="105">
        <f>IF(Body4Actif=TRUE,((((($B208*$L$4)+'Calculs 3D'!$C$9-OffsetX)/Ecran)*'Calculs 3D'!$C$32)+(((($C208*$L$4)+'Calculs 3D'!$D$9-OffsetY)/Ecran)*'Calculs 3D'!$D$32)+(((($D208*$L$4)+'Calculs 3D'!$E$9-OffsetZ)/Ecran)*'Calculs 3D'!$E$32)),0)</f>
        <v>-0.17275640600159023</v>
      </c>
      <c r="N208" s="105">
        <f>IF(Body5Actif=TRUE,((((($B208*$N$4)+'Calculs 3D'!$C$10-OffsetX)/Ecran)*'Calculs 3D'!$C$31)+(((($C208*$N$4)+'Calculs 3D'!$D$10-OffsetY)/Ecran)*'Calculs 3D'!$D$31)+(((($D208*$N$4)+'Calculs 3D'!$E$10-OffsetZ)/Ecran)*'Calculs 3D'!$E$31)),0)</f>
        <v>8.3282931682998745E-3</v>
      </c>
      <c r="O208" s="105">
        <f>IF(Body5Actif=TRUE,((((($B208*$N$4)+'Calculs 3D'!$C$10-OffsetX)/Ecran)*'Calculs 3D'!$C$32)+(((($C208*$N$4)+'Calculs 3D'!$D$10-OffsetY)/Ecran)*'Calculs 3D'!$D$32)+(((($D208*$N$4)+'Calculs 3D'!$E$10-OffsetZ)/Ecran)*'Calculs 3D'!$E$32)),0)</f>
        <v>-5.9337924023045588E-3</v>
      </c>
      <c r="P208" s="105">
        <f>IF(Body6Actif=TRUE,((((($B208*$P$4)+'Calculs 3D'!$C$11-OffsetX)/Ecran)*'Calculs 3D'!$C$31)+(((($C208*$P$4)+'Calculs 3D'!$D$11-OffsetY)/Ecran)*'Calculs 3D'!$D$31)+(((($D208*$P$4)+'Calculs 3D'!$E$11-OffsetZ)/Ecran)*'Calculs 3D'!$E$31)),0)</f>
        <v>0.18150574643636458</v>
      </c>
      <c r="Q208" s="105">
        <f>IF(Body6Actif=TRUE,((((($B208*$P$4)+'Calculs 3D'!$C$11-OffsetX)/Ecran)*'Calculs 3D'!$C$32)+(((($C208*$P$4)+'Calculs 3D'!$D$11-OffsetY)/Ecran)*'Calculs 3D'!$D$32)+(((($D208*$P$4)+'Calculs 3D'!$E$11-OffsetZ)/Ecran)*'Calculs 3D'!$E$32)),0)</f>
        <v>0.13167317250307553</v>
      </c>
      <c r="R208" s="105">
        <f>IF(Body7Actif=TRUE,((((($B208*$R$4)+'Calculs 3D'!$C$12-OffsetX)/Ecran)*'Calculs 3D'!$C$31)+(((($C208*$R$4)+'Calculs 3D'!$D$12-OffsetY)/Ecran)*'Calculs 3D'!$D$31)+(((($D208*$R$4)+'Calculs 3D'!$E$12-OffsetZ)/Ecran)*'Calculs 3D'!$E$31)),0)</f>
        <v>-0.2698631841205178</v>
      </c>
      <c r="S208" s="105">
        <f>IF(Body7Actif=TRUE,((((($B208*$R$4)+'Calculs 3D'!$C$12-OffsetX)/Ecran)*'Calculs 3D'!$C$32)+(((($C208*$R$4)+'Calculs 3D'!$D$12-OffsetY)/Ecran)*'Calculs 3D'!$D$32)+(((($D208*$R$4)+'Calculs 3D'!$E$12-OffsetZ)/Ecran)*'Calculs 3D'!$E$32)),0)</f>
        <v>6.09560104340722E-2</v>
      </c>
      <c r="T208" s="105">
        <f>IF(Body8Actif=TRUE,((((($B208*$T$4)+'Calculs 3D'!$C$13-OffsetX)/Ecran)*'Calculs 3D'!$C$31)+(((($C208*$T$4)+'Calculs 3D'!$D$13-OffsetY)/Ecran)*'Calculs 3D'!$D$31)+(((($D208*$T$4)+'Calculs 3D'!$E$13-OffsetZ)/Ecran)*'Calculs 3D'!$E$31)),0)</f>
        <v>0.17209305972791361</v>
      </c>
      <c r="U208" s="105">
        <f>IF(Body8Actif=TRUE,((((($B208*$T$4)+'Calculs 3D'!$C$13-OffsetX)/Ecran)*'Calculs 3D'!$C$32)+(((($C208*$T$4)+'Calculs 3D'!$D$13-OffsetY)/Ecran)*'Calculs 3D'!$D$32)+(((($D208*$T$4)+'Calculs 3D'!$E$13-OffsetZ)/Ecran)*'Calculs 3D'!$E$32)),0)</f>
        <v>-0.13107162127651711</v>
      </c>
      <c r="V208" s="105">
        <f>IF(Body9Actif=TRUE,((((($B208*$V$4)+'Calculs 3D'!$C$14-OffsetX)/Ecran)*'Calculs 3D'!$C$31)+(((($C208*$V$4)+'Calculs 3D'!$D$14-OffsetY)/Ecran)*'Calculs 3D'!$D$31)+(((($D208*$V$4)+'Calculs 3D'!$E$14-OffsetZ)/Ecran)*'Calculs 3D'!$E$31)),0)</f>
        <v>-0.17221671684099707</v>
      </c>
      <c r="W208" s="105">
        <f>IF(Body9Actif=TRUE,((((($B208*$V$4)+'Calculs 3D'!$C$14-OffsetX)/Ecran)*'Calculs 3D'!$C$32)+(((($C208*$V$4)+'Calculs 3D'!$D$14-OffsetY)/Ecran)*'Calculs 3D'!$D$32)+(((($D208*$V$4)+'Calculs 3D'!$E$14-OffsetZ)/Ecran)*'Calculs 3D'!$E$32)),0)</f>
        <v>0.28797838170490803</v>
      </c>
      <c r="X208" s="105">
        <f>IF(Body10Actif=TRUE,((((($B208*$X$4)+'Calculs 3D'!$C$15-OffsetX)/Ecran)*'Calculs 3D'!$C$31)+(((($C208*$X$4)+'Calculs 3D'!$D$15-OffsetY)/Ecran)*'Calculs 3D'!$D$31)+(((($D208*$X$4)+'Calculs 3D'!$E$15-OffsetZ)/Ecran)*'Calculs 3D'!$E$31)),0)</f>
        <v>-7.2277317790544193E-3</v>
      </c>
      <c r="Y208" s="105">
        <f>IF(Body10Actif=TRUE,((((($B208*$X$4)+'Calculs 3D'!$C$15-OffsetX)/Ecran)*'Calculs 3D'!$C$32)+(((($C208*$X$4)+'Calculs 3D'!$D$15-OffsetY)/Ecran)*'Calculs 3D'!$D$32)+(((($D208*$X$4)+'Calculs 3D'!$E$15-OffsetZ)/Ecran)*'Calculs 3D'!$E$32)),0)</f>
        <v>0.29149519635543503</v>
      </c>
    </row>
    <row r="209" spans="2:25" x14ac:dyDescent="0.3">
      <c r="B209" s="102">
        <v>1</v>
      </c>
      <c r="C209" s="102">
        <v>0</v>
      </c>
      <c r="D209" s="102">
        <v>6.1257422745431001E-17</v>
      </c>
      <c r="F209" s="105">
        <f>IF(Body1Actif=TRUE,((((($B209*$F$4)+'Calculs 3D'!$C$6-OffsetX)/Ecran)*'Calculs 3D'!$C$31)+(((($C209*$F$4)+'Calculs 3D'!$D$6-OffsetY)/Ecran)*'Calculs 3D'!$D$31)+(((($D209*$F$4)+'Calculs 3D'!$E$6-OffsetZ)/Ecran)*'Calculs 3D'!$E$31)),0)</f>
        <v>5.3634710342272629E-2</v>
      </c>
      <c r="G209" s="105">
        <f>IF(Body1Actif=TRUE,((((($B209*$F$4)+'Calculs 3D'!$C$6-OffsetX)/Ecran)*'Calculs 3D'!$C$32)+(((($C209*$F$4)+'Calculs 3D'!$D$6-OffsetY)/Ecran)*'Calculs 3D'!$D$32)+(((($D209*$F$4)+'Calculs 3D'!$E$6-OffsetZ)/Ecran)*'Calculs 3D'!$E$32)),0)</f>
        <v>0.26258941456327106</v>
      </c>
      <c r="H209" s="105">
        <f>IF(Body2Actif=TRUE,((((($B209*$H$4)+'Calculs 3D'!$C$7-OffsetX)/Ecran)*'Calculs 3D'!$C$31)+(((($C209*$H$4)+'Calculs 3D'!$D$7-OffsetY)/Ecran)*'Calculs 3D'!$D$31)+(((($D209*$H$4)+'Calculs 3D'!$E$7-OffsetZ)/Ecran)*'Calculs 3D'!$E$31)),0)</f>
        <v>3.7158282606028138E-2</v>
      </c>
      <c r="I209" s="105">
        <f>IF(Body2Actif=TRUE,((((($B209*$H$4)+'Calculs 3D'!$C$7-OffsetX)/Ecran)*'Calculs 3D'!$C$32)+(((($C209*$H$4)+'Calculs 3D'!$D$7-OffsetY)/Ecran)*'Calculs 3D'!$D$32)+(((($D209*$H$4)+'Calculs 3D'!$E$7-OffsetZ)/Ecran)*'Calculs 3D'!$E$32)),0)</f>
        <v>2.5355450630712401E-2</v>
      </c>
      <c r="J209" s="105">
        <f>IF(Body3Actif=TRUE,((((($B209*$J$4)+'Calculs 3D'!$C$8-OffsetX)/Ecran)*'Calculs 3D'!$C$31)+(((($C209*$J$4)+'Calculs 3D'!$D$8-OffsetY)/Ecran)*'Calculs 3D'!$D$31)+(((($D209*$J$4)+'Calculs 3D'!$E$8-OffsetZ)/Ecran)*'Calculs 3D'!$E$31)),0)</f>
        <v>0.22395314610602049</v>
      </c>
      <c r="K209" s="105">
        <f>IF(Body3Actif=TRUE,((((($B209*$J$4)+'Calculs 3D'!$C$8-OffsetX)/Ecran)*'Calculs 3D'!$C$32)+(((($C209*$J$4)+'Calculs 3D'!$D$8-OffsetY)/Ecran)*'Calculs 3D'!$D$32)+(((($D209*$J$4)+'Calculs 3D'!$E$8-OffsetZ)/Ecran)*'Calculs 3D'!$E$32)),0)</f>
        <v>-8.3073575897327445E-2</v>
      </c>
      <c r="L209" s="105">
        <f>IF(Body4Actif=TRUE,((((($B209*$L$4)+'Calculs 3D'!$C$9-OffsetX)/Ecran)*'Calculs 3D'!$C$31)+(((($C209*$L$4)+'Calculs 3D'!$D$9-OffsetY)/Ecran)*'Calculs 3D'!$D$31)+(((($D209*$L$4)+'Calculs 3D'!$E$9-OffsetZ)/Ecran)*'Calculs 3D'!$E$31)),0)</f>
        <v>-8.7643398181133508E-2</v>
      </c>
      <c r="M209" s="105">
        <f>IF(Body4Actif=TRUE,((((($B209*$L$4)+'Calculs 3D'!$C$9-OffsetX)/Ecran)*'Calculs 3D'!$C$32)+(((($C209*$L$4)+'Calculs 3D'!$D$9-OffsetY)/Ecran)*'Calculs 3D'!$D$32)+(((($D209*$L$4)+'Calculs 3D'!$E$9-OffsetZ)/Ecran)*'Calculs 3D'!$E$32)),0)</f>
        <v>-0.17497869912269728</v>
      </c>
      <c r="N209" s="105">
        <f>IF(Body5Actif=TRUE,((((($B209*$N$4)+'Calculs 3D'!$C$10-OffsetX)/Ecran)*'Calculs 3D'!$C$31)+(((($C209*$N$4)+'Calculs 3D'!$D$10-OffsetY)/Ecran)*'Calculs 3D'!$D$31)+(((($D209*$N$4)+'Calculs 3D'!$E$10-OffsetZ)/Ecran)*'Calculs 3D'!$E$31)),0)</f>
        <v>8.7128476801239044E-3</v>
      </c>
      <c r="O209" s="105">
        <f>IF(Body5Actif=TRUE,((((($B209*$N$4)+'Calculs 3D'!$C$10-OffsetX)/Ecran)*'Calculs 3D'!$C$32)+(((($C209*$N$4)+'Calculs 3D'!$D$10-OffsetY)/Ecran)*'Calculs 3D'!$D$32)+(((($D209*$N$4)+'Calculs 3D'!$E$10-OffsetZ)/Ecran)*'Calculs 3D'!$E$32)),0)</f>
        <v>-8.4707440125362712E-3</v>
      </c>
      <c r="P209" s="105">
        <f>IF(Body6Actif=TRUE,((((($B209*$P$4)+'Calculs 3D'!$C$11-OffsetX)/Ecran)*'Calculs 3D'!$C$31)+(((($C209*$P$4)+'Calculs 3D'!$D$11-OffsetY)/Ecran)*'Calculs 3D'!$D$31)+(((($D209*$P$4)+'Calculs 3D'!$E$11-OffsetZ)/Ecran)*'Calculs 3D'!$E$31)),0)</f>
        <v>0.18206303157477915</v>
      </c>
      <c r="Q209" s="105">
        <f>IF(Body6Actif=TRUE,((((($B209*$P$4)+'Calculs 3D'!$C$11-OffsetX)/Ecran)*'Calculs 3D'!$C$32)+(((($C209*$P$4)+'Calculs 3D'!$D$11-OffsetY)/Ecran)*'Calculs 3D'!$D$32)+(((($D209*$P$4)+'Calculs 3D'!$E$11-OffsetZ)/Ecran)*'Calculs 3D'!$E$32)),0)</f>
        <v>0.12799669651387671</v>
      </c>
      <c r="R209" s="105">
        <f>IF(Body7Actif=TRUE,((((($B209*$R$4)+'Calculs 3D'!$C$12-OffsetX)/Ecran)*'Calculs 3D'!$C$31)+(((($C209*$R$4)+'Calculs 3D'!$D$12-OffsetY)/Ecran)*'Calculs 3D'!$D$31)+(((($D209*$R$4)+'Calculs 3D'!$E$12-OffsetZ)/Ecran)*'Calculs 3D'!$E$31)),0)</f>
        <v>-0.26930352299409743</v>
      </c>
      <c r="S209" s="105">
        <f>IF(Body7Actif=TRUE,((((($B209*$R$4)+'Calculs 3D'!$C$12-OffsetX)/Ecran)*'Calculs 3D'!$C$32)+(((($C209*$R$4)+'Calculs 3D'!$D$12-OffsetY)/Ecran)*'Calculs 3D'!$D$32)+(((($D209*$R$4)+'Calculs 3D'!$E$12-OffsetZ)/Ecran)*'Calculs 3D'!$E$32)),0)</f>
        <v>5.7263859770902203E-2</v>
      </c>
      <c r="T209" s="105">
        <f>IF(Body8Actif=TRUE,((((($B209*$T$4)+'Calculs 3D'!$C$13-OffsetX)/Ecran)*'Calculs 3D'!$C$31)+(((($C209*$T$4)+'Calculs 3D'!$D$13-OffsetY)/Ecran)*'Calculs 3D'!$D$31)+(((($D209*$T$4)+'Calculs 3D'!$E$13-OffsetZ)/Ecran)*'Calculs 3D'!$E$31)),0)</f>
        <v>0.17229490738118819</v>
      </c>
      <c r="U209" s="105">
        <f>IF(Body8Actif=TRUE,((((($B209*$T$4)+'Calculs 3D'!$C$13-OffsetX)/Ecran)*'Calculs 3D'!$C$32)+(((($C209*$T$4)+'Calculs 3D'!$D$13-OffsetY)/Ecran)*'Calculs 3D'!$D$32)+(((($D209*$T$4)+'Calculs 3D'!$E$13-OffsetZ)/Ecran)*'Calculs 3D'!$E$32)),0)</f>
        <v>-0.13240323412528454</v>
      </c>
      <c r="V209" s="105">
        <f>IF(Body9Actif=TRUE,((((($B209*$V$4)+'Calculs 3D'!$C$14-OffsetX)/Ecran)*'Calculs 3D'!$C$31)+(((($C209*$V$4)+'Calculs 3D'!$D$14-OffsetY)/Ecran)*'Calculs 3D'!$D$31)+(((($D209*$V$4)+'Calculs 3D'!$E$14-OffsetZ)/Ecran)*'Calculs 3D'!$E$31)),0)</f>
        <v>-0.17193665000442729</v>
      </c>
      <c r="W209" s="105">
        <f>IF(Body9Actif=TRUE,((((($B209*$V$4)+'Calculs 3D'!$C$14-OffsetX)/Ecran)*'Calculs 3D'!$C$32)+(((($C209*$V$4)+'Calculs 3D'!$D$14-OffsetY)/Ecran)*'Calculs 3D'!$D$32)+(((($D209*$V$4)+'Calculs 3D'!$E$14-OffsetZ)/Ecran)*'Calculs 3D'!$E$32)),0)</f>
        <v>0.28613074765001645</v>
      </c>
      <c r="X209" s="105">
        <f>IF(Body10Actif=TRUE,((((($B209*$X$4)+'Calculs 3D'!$C$15-OffsetX)/Ecran)*'Calculs 3D'!$C$31)+(((($C209*$X$4)+'Calculs 3D'!$D$15-OffsetY)/Ecran)*'Calculs 3D'!$D$31)+(((($D209*$X$4)+'Calculs 3D'!$E$15-OffsetZ)/Ecran)*'Calculs 3D'!$E$31)),0)</f>
        <v>-6.8049837453750817E-3</v>
      </c>
      <c r="Y209" s="105">
        <f>IF(Body10Actif=TRUE,((((($B209*$X$4)+'Calculs 3D'!$C$15-OffsetX)/Ecran)*'Calculs 3D'!$C$32)+(((($C209*$X$4)+'Calculs 3D'!$D$15-OffsetY)/Ecran)*'Calculs 3D'!$D$32)+(((($D209*$X$4)+'Calculs 3D'!$E$15-OffsetZ)/Ecran)*'Calculs 3D'!$E$32)),0)</f>
        <v>0.28870627756293921</v>
      </c>
    </row>
    <row r="210" spans="2:25" x14ac:dyDescent="0.3">
      <c r="B210" s="102">
        <v>0.95105651629515364</v>
      </c>
      <c r="C210" s="102">
        <v>0</v>
      </c>
      <c r="D210" s="102">
        <v>-0.30901699437494734</v>
      </c>
      <c r="F210" s="105">
        <f>IF(Body1Actif=TRUE,((((($B210*$F$4)+'Calculs 3D'!$C$6-OffsetX)/Ecran)*'Calculs 3D'!$C$31)+(((($C210*$F$4)+'Calculs 3D'!$D$6-OffsetY)/Ecran)*'Calculs 3D'!$D$31)+(((($D210*$F$4)+'Calculs 3D'!$E$6-OffsetZ)/Ecran)*'Calculs 3D'!$E$31)),0)</f>
        <v>5.3485161810169664E-2</v>
      </c>
      <c r="G210" s="105">
        <f>IF(Body1Actif=TRUE,((((($B210*$F$4)+'Calculs 3D'!$C$6-OffsetX)/Ecran)*'Calculs 3D'!$C$32)+(((($C210*$F$4)+'Calculs 3D'!$D$6-OffsetY)/Ecran)*'Calculs 3D'!$D$32)+(((($D210*$F$4)+'Calculs 3D'!$E$6-OffsetZ)/Ecran)*'Calculs 3D'!$E$32)),0)</f>
        <v>0.26173661259064734</v>
      </c>
      <c r="H210" s="105">
        <f>IF(Body2Actif=TRUE,((((($B210*$H$4)+'Calculs 3D'!$C$7-OffsetX)/Ecran)*'Calculs 3D'!$C$31)+(((($C210*$H$4)+'Calculs 3D'!$D$7-OffsetY)/Ecran)*'Calculs 3D'!$D$31)+(((($D210*$H$4)+'Calculs 3D'!$E$7-OffsetZ)/Ecran)*'Calculs 3D'!$E$31)),0)</f>
        <v>3.6575360905860395E-2</v>
      </c>
      <c r="I210" s="105">
        <f>IF(Body2Actif=TRUE,((((($B210*$H$4)+'Calculs 3D'!$C$7-OffsetX)/Ecran)*'Calculs 3D'!$C$32)+(((($C210*$H$4)+'Calculs 3D'!$D$7-OffsetY)/Ecran)*'Calculs 3D'!$D$32)+(((($D210*$H$4)+'Calculs 3D'!$E$7-OffsetZ)/Ecran)*'Calculs 3D'!$E$32)),0)</f>
        <v>2.2031333912228116E-2</v>
      </c>
      <c r="J210" s="105">
        <f>IF(Body3Actif=TRUE,((((($B210*$J$4)+'Calculs 3D'!$C$8-OffsetX)/Ecran)*'Calculs 3D'!$C$31)+(((($C210*$J$4)+'Calculs 3D'!$D$8-OffsetY)/Ecran)*'Calculs 3D'!$D$31)+(((($D210*$J$4)+'Calculs 3D'!$E$8-OffsetZ)/Ecran)*'Calculs 3D'!$E$31)),0)</f>
        <v>0.22369408275365704</v>
      </c>
      <c r="K210" s="105">
        <f>IF(Body3Actif=TRUE,((((($B210*$J$4)+'Calculs 3D'!$C$8-OffsetX)/Ecran)*'Calculs 3D'!$C$32)+(((($C210*$J$4)+'Calculs 3D'!$D$8-OffsetY)/Ecran)*'Calculs 3D'!$D$32)+(((($D210*$J$4)+'Calculs 3D'!$E$8-OffsetZ)/Ecran)*'Calculs 3D'!$E$32)),0)</f>
        <v>-8.455088720773192E-2</v>
      </c>
      <c r="L210" s="105">
        <f>IF(Body4Actif=TRUE,((((($B210*$L$4)+'Calculs 3D'!$C$9-OffsetX)/Ecran)*'Calculs 3D'!$C$31)+(((($C210*$L$4)+'Calculs 3D'!$D$9-OffsetY)/Ecran)*'Calculs 3D'!$D$31)+(((($D210*$L$4)+'Calculs 3D'!$E$9-OffsetZ)/Ecran)*'Calculs 3D'!$E$31)),0)</f>
        <v>-8.7980256339117519E-2</v>
      </c>
      <c r="M210" s="105">
        <f>IF(Body4Actif=TRUE,((((($B210*$L$4)+'Calculs 3D'!$C$9-OffsetX)/Ecran)*'Calculs 3D'!$C$32)+(((($C210*$L$4)+'Calculs 3D'!$D$9-OffsetY)/Ecran)*'Calculs 3D'!$D$32)+(((($D210*$L$4)+'Calculs 3D'!$E$9-OffsetZ)/Ecran)*'Calculs 3D'!$E$32)),0)</f>
        <v>-0.17689963607596257</v>
      </c>
      <c r="N210" s="105">
        <f>IF(Body5Actif=TRUE,((((($B210*$N$4)+'Calculs 3D'!$C$10-OffsetX)/Ecran)*'Calculs 3D'!$C$31)+(((($C210*$N$4)+'Calculs 3D'!$D$10-OffsetY)/Ecran)*'Calculs 3D'!$D$31)+(((($D210*$N$4)+'Calculs 3D'!$E$10-OffsetZ)/Ecran)*'Calculs 3D'!$E$31)),0)</f>
        <v>8.3282931682998745E-3</v>
      </c>
      <c r="O210" s="105">
        <f>IF(Body5Actif=TRUE,((((($B210*$N$4)+'Calculs 3D'!$C$10-OffsetX)/Ecran)*'Calculs 3D'!$C$32)+(((($C210*$N$4)+'Calculs 3D'!$D$10-OffsetY)/Ecran)*'Calculs 3D'!$D$32)+(((($D210*$N$4)+'Calculs 3D'!$E$10-OffsetZ)/Ecran)*'Calculs 3D'!$E$32)),0)</f>
        <v>-1.0663669891869582E-2</v>
      </c>
      <c r="P210" s="105">
        <f>IF(Body6Actif=TRUE,((((($B210*$P$4)+'Calculs 3D'!$C$11-OffsetX)/Ecran)*'Calculs 3D'!$C$31)+(((($C210*$P$4)+'Calculs 3D'!$D$11-OffsetY)/Ecran)*'Calculs 3D'!$D$31)+(((($D210*$P$4)+'Calculs 3D'!$E$11-OffsetZ)/Ecran)*'Calculs 3D'!$E$31)),0)</f>
        <v>0.18150574643636458</v>
      </c>
      <c r="Q210" s="105">
        <f>IF(Body6Actif=TRUE,((((($B210*$P$4)+'Calculs 3D'!$C$11-OffsetX)/Ecran)*'Calculs 3D'!$C$32)+(((($C210*$P$4)+'Calculs 3D'!$D$11-OffsetY)/Ecran)*'Calculs 3D'!$D$32)+(((($D210*$P$4)+'Calculs 3D'!$E$11-OffsetZ)/Ecran)*'Calculs 3D'!$E$32)),0)</f>
        <v>0.12481877254049628</v>
      </c>
      <c r="R210" s="105">
        <f>IF(Body7Actif=TRUE,((((($B210*$R$4)+'Calculs 3D'!$C$12-OffsetX)/Ecran)*'Calculs 3D'!$C$31)+(((($C210*$R$4)+'Calculs 3D'!$D$12-OffsetY)/Ecran)*'Calculs 3D'!$D$31)+(((($D210*$R$4)+'Calculs 3D'!$E$12-OffsetZ)/Ecran)*'Calculs 3D'!$E$31)),0)</f>
        <v>-0.2698631841205178</v>
      </c>
      <c r="S210" s="105">
        <f>IF(Body7Actif=TRUE,((((($B210*$R$4)+'Calculs 3D'!$C$12-OffsetX)/Ecran)*'Calculs 3D'!$C$32)+(((($C210*$R$4)+'Calculs 3D'!$D$12-OffsetY)/Ecran)*'Calculs 3D'!$D$32)+(((($D210*$R$4)+'Calculs 3D'!$E$12-OffsetZ)/Ecran)*'Calculs 3D'!$E$32)),0)</f>
        <v>5.4072386702591041E-2</v>
      </c>
      <c r="T210" s="105">
        <f>IF(Body8Actif=TRUE,((((($B210*$T$4)+'Calculs 3D'!$C$13-OffsetX)/Ecran)*'Calculs 3D'!$C$31)+(((($C210*$T$4)+'Calculs 3D'!$D$13-OffsetY)/Ecran)*'Calculs 3D'!$D$31)+(((($D210*$T$4)+'Calculs 3D'!$E$13-OffsetZ)/Ecran)*'Calculs 3D'!$E$31)),0)</f>
        <v>0.17209305972791361</v>
      </c>
      <c r="U210" s="105">
        <f>IF(Body8Actif=TRUE,((((($B210*$T$4)+'Calculs 3D'!$C$13-OffsetX)/Ecran)*'Calculs 3D'!$C$32)+(((($C210*$T$4)+'Calculs 3D'!$D$13-OffsetY)/Ecran)*'Calculs 3D'!$D$32)+(((($D210*$T$4)+'Calculs 3D'!$E$13-OffsetZ)/Ecran)*'Calculs 3D'!$E$32)),0)</f>
        <v>-0.13355427234987571</v>
      </c>
      <c r="V210" s="105">
        <f>IF(Body9Actif=TRUE,((((($B210*$V$4)+'Calculs 3D'!$C$14-OffsetX)/Ecran)*'Calculs 3D'!$C$31)+(((($C210*$V$4)+'Calculs 3D'!$D$14-OffsetY)/Ecran)*'Calculs 3D'!$D$31)+(((($D210*$V$4)+'Calculs 3D'!$E$14-OffsetZ)/Ecran)*'Calculs 3D'!$E$31)),0)</f>
        <v>-0.17221671684099707</v>
      </c>
      <c r="W210" s="105">
        <f>IF(Body9Actif=TRUE,((((($B210*$V$4)+'Calculs 3D'!$C$14-OffsetX)/Ecran)*'Calculs 3D'!$C$32)+(((($C210*$V$4)+'Calculs 3D'!$D$14-OffsetY)/Ecran)*'Calculs 3D'!$D$32)+(((($D210*$V$4)+'Calculs 3D'!$E$14-OffsetZ)/Ecran)*'Calculs 3D'!$E$32)),0)</f>
        <v>0.28453366376470768</v>
      </c>
      <c r="X210" s="105">
        <f>IF(Body10Actif=TRUE,((((($B210*$X$4)+'Calculs 3D'!$C$15-OffsetX)/Ecran)*'Calculs 3D'!$C$31)+(((($C210*$X$4)+'Calculs 3D'!$D$15-OffsetY)/Ecran)*'Calculs 3D'!$D$31)+(((($D210*$X$4)+'Calculs 3D'!$E$15-OffsetZ)/Ecran)*'Calculs 3D'!$E$31)),0)</f>
        <v>-7.2277317790544193E-3</v>
      </c>
      <c r="Y210" s="105">
        <f>IF(Body10Actif=TRUE,((((($B210*$X$4)+'Calculs 3D'!$C$15-OffsetX)/Ecran)*'Calculs 3D'!$C$32)+(((($C210*$X$4)+'Calculs 3D'!$D$15-OffsetY)/Ecran)*'Calculs 3D'!$D$32)+(((($D210*$X$4)+'Calculs 3D'!$E$15-OffsetZ)/Ecran)*'Calculs 3D'!$E$32)),0)</f>
        <v>0.286295552750232</v>
      </c>
    </row>
    <row r="211" spans="2:25" x14ac:dyDescent="0.3">
      <c r="B211" s="102">
        <v>0.80901699437494745</v>
      </c>
      <c r="C211" s="102">
        <v>0</v>
      </c>
      <c r="D211" s="102">
        <v>-0.58778525229247303</v>
      </c>
      <c r="F211" s="105">
        <f>IF(Body1Actif=TRUE,((((($B211*$F$4)+'Calculs 3D'!$C$6-OffsetX)/Ecran)*'Calculs 3D'!$C$31)+(((($C211*$F$4)+'Calculs 3D'!$D$6-OffsetY)/Ecran)*'Calculs 3D'!$D$31)+(((($D211*$F$4)+'Calculs 3D'!$E$6-OffsetZ)/Ecran)*'Calculs 3D'!$E$31)),0)</f>
        <v>5.3051155066148929E-2</v>
      </c>
      <c r="G211" s="105">
        <f>IF(Body1Actif=TRUE,((((($B211*$F$4)+'Calculs 3D'!$C$6-OffsetX)/Ecran)*'Calculs 3D'!$C$32)+(((($C211*$F$4)+'Calculs 3D'!$D$6-OffsetY)/Ecran)*'Calculs 3D'!$D$32)+(((($D211*$F$4)+'Calculs 3D'!$E$6-OffsetZ)/Ecran)*'Calculs 3D'!$E$32)),0)</f>
        <v>0.26110107620331502</v>
      </c>
      <c r="H211" s="105">
        <f>IF(Body2Actif=TRUE,((((($B211*$H$4)+'Calculs 3D'!$C$7-OffsetX)/Ecran)*'Calculs 3D'!$C$31)+(((($C211*$H$4)+'Calculs 3D'!$D$7-OffsetY)/Ecran)*'Calculs 3D'!$D$31)+(((($D211*$H$4)+'Calculs 3D'!$E$7-OffsetZ)/Ecran)*'Calculs 3D'!$E$31)),0)</f>
        <v>3.4883656242823899E-2</v>
      </c>
      <c r="I211" s="105">
        <f>IF(Body2Actif=TRUE,((((($B211*$H$4)+'Calculs 3D'!$C$7-OffsetX)/Ecran)*'Calculs 3D'!$C$32)+(((($C211*$H$4)+'Calculs 3D'!$D$7-OffsetY)/Ecran)*'Calculs 3D'!$D$32)+(((($D211*$H$4)+'Calculs 3D'!$E$7-OffsetZ)/Ecran)*'Calculs 3D'!$E$32)),0)</f>
        <v>1.9554091600232727E-2</v>
      </c>
      <c r="J211" s="105">
        <f>IF(Body3Actif=TRUE,((((($B211*$J$4)+'Calculs 3D'!$C$8-OffsetX)/Ecran)*'Calculs 3D'!$C$31)+(((($C211*$J$4)+'Calculs 3D'!$D$8-OffsetY)/Ecran)*'Calculs 3D'!$D$31)+(((($D211*$J$4)+'Calculs 3D'!$E$8-OffsetZ)/Ecran)*'Calculs 3D'!$E$31)),0)</f>
        <v>0.22294225162249645</v>
      </c>
      <c r="K211" s="105">
        <f>IF(Body3Actif=TRUE,((((($B211*$J$4)+'Calculs 3D'!$C$8-OffsetX)/Ecran)*'Calculs 3D'!$C$32)+(((($C211*$J$4)+'Calculs 3D'!$D$8-OffsetY)/Ecran)*'Calculs 3D'!$D$32)+(((($D211*$J$4)+'Calculs 3D'!$E$8-OffsetZ)/Ecran)*'Calculs 3D'!$E$32)),0)</f>
        <v>-8.5651828719735174E-2</v>
      </c>
      <c r="L211" s="105">
        <f>IF(Body4Actif=TRUE,((((($B211*$L$4)+'Calculs 3D'!$C$9-OffsetX)/Ecran)*'Calculs 3D'!$C$31)+(((($C211*$L$4)+'Calculs 3D'!$D$9-OffsetY)/Ecran)*'Calculs 3D'!$D$31)+(((($D211*$L$4)+'Calculs 3D'!$E$9-OffsetZ)/Ecran)*'Calculs 3D'!$E$31)),0)</f>
        <v>-8.8957856789537271E-2</v>
      </c>
      <c r="M211" s="105">
        <f>IF(Body4Actif=TRUE,((((($B211*$L$4)+'Calculs 3D'!$C$9-OffsetX)/Ecran)*'Calculs 3D'!$C$32)+(((($C211*$L$4)+'Calculs 3D'!$D$9-OffsetY)/Ecran)*'Calculs 3D'!$D$32)+(((($D211*$L$4)+'Calculs 3D'!$E$9-OffsetZ)/Ecran)*'Calculs 3D'!$E$32)),0)</f>
        <v>-0.17833118216844579</v>
      </c>
      <c r="N211" s="105">
        <f>IF(Body5Actif=TRUE,((((($B211*$N$4)+'Calculs 3D'!$C$10-OffsetX)/Ecran)*'Calculs 3D'!$C$31)+(((($C211*$N$4)+'Calculs 3D'!$D$10-OffsetY)/Ecran)*'Calculs 3D'!$D$31)+(((($D211*$N$4)+'Calculs 3D'!$E$10-OffsetZ)/Ecran)*'Calculs 3D'!$E$31)),0)</f>
        <v>7.2122725077939593E-3</v>
      </c>
      <c r="O211" s="105">
        <f>IF(Body5Actif=TRUE,((((($B211*$N$4)+'Calculs 3D'!$C$10-OffsetX)/Ecran)*'Calculs 3D'!$C$32)+(((($C211*$N$4)+'Calculs 3D'!$D$10-OffsetY)/Ecran)*'Calculs 3D'!$D$32)+(((($D211*$N$4)+'Calculs 3D'!$E$10-OffsetZ)/Ecran)*'Calculs 3D'!$E$32)),0)</f>
        <v>-1.229791117622232E-2</v>
      </c>
      <c r="P211" s="105">
        <f>IF(Body6Actif=TRUE,((((($B211*$P$4)+'Calculs 3D'!$C$11-OffsetX)/Ecran)*'Calculs 3D'!$C$31)+(((($C211*$P$4)+'Calculs 3D'!$D$11-OffsetY)/Ecran)*'Calculs 3D'!$D$31)+(((($D211*$P$4)+'Calculs 3D'!$E$11-OffsetZ)/Ecran)*'Calculs 3D'!$E$31)),0)</f>
        <v>0.17988844197330267</v>
      </c>
      <c r="Q211" s="105">
        <f>IF(Body6Actif=TRUE,((((($B211*$P$4)+'Calculs 3D'!$C$11-OffsetX)/Ecran)*'Calculs 3D'!$C$32)+(((($C211*$P$4)+'Calculs 3D'!$D$11-OffsetY)/Ecran)*'Calculs 3D'!$D$32)+(((($D211*$P$4)+'Calculs 3D'!$E$11-OffsetZ)/Ecran)*'Calculs 3D'!$E$32)),0)</f>
        <v>0.12245047792334687</v>
      </c>
      <c r="R211" s="105">
        <f>IF(Body7Actif=TRUE,((((($B211*$R$4)+'Calculs 3D'!$C$12-OffsetX)/Ecran)*'Calculs 3D'!$C$31)+(((($C211*$R$4)+'Calculs 3D'!$D$12-OffsetY)/Ecran)*'Calculs 3D'!$D$31)+(((($D211*$R$4)+'Calculs 3D'!$E$12-OffsetZ)/Ecran)*'Calculs 3D'!$E$31)),0)</f>
        <v>-0.27148738396933636</v>
      </c>
      <c r="S211" s="105">
        <f>IF(Body7Actif=TRUE,((((($B211*$R$4)+'Calculs 3D'!$C$12-OffsetX)/Ecran)*'Calculs 3D'!$C$32)+(((($C211*$R$4)+'Calculs 3D'!$D$12-OffsetY)/Ecran)*'Calculs 3D'!$D$32)+(((($D211*$R$4)+'Calculs 3D'!$E$12-OffsetZ)/Ecran)*'Calculs 3D'!$E$32)),0)</f>
        <v>5.1693994849365418E-2</v>
      </c>
      <c r="T211" s="105">
        <f>IF(Body8Actif=TRUE,((((($B211*$T$4)+'Calculs 3D'!$C$13-OffsetX)/Ecran)*'Calculs 3D'!$C$31)+(((($C211*$T$4)+'Calculs 3D'!$D$13-OffsetY)/Ecran)*'Calculs 3D'!$D$31)+(((($D211*$T$4)+'Calculs 3D'!$E$13-OffsetZ)/Ecran)*'Calculs 3D'!$E$31)),0)</f>
        <v>0.17150727502274779</v>
      </c>
      <c r="U211" s="105">
        <f>IF(Body8Actif=TRUE,((((($B211*$T$4)+'Calculs 3D'!$C$13-OffsetX)/Ecran)*'Calculs 3D'!$C$32)+(((($C211*$T$4)+'Calculs 3D'!$D$13-OffsetY)/Ecran)*'Calculs 3D'!$D$32)+(((($D211*$T$4)+'Calculs 3D'!$E$13-OffsetZ)/Ecran)*'Calculs 3D'!$E$32)),0)</f>
        <v>-0.13441206430911279</v>
      </c>
      <c r="V211" s="105">
        <f>IF(Body9Actif=TRUE,((((($B211*$V$4)+'Calculs 3D'!$C$14-OffsetX)/Ecran)*'Calculs 3D'!$C$31)+(((($C211*$V$4)+'Calculs 3D'!$D$14-OffsetY)/Ecran)*'Calculs 3D'!$D$31)+(((($D211*$V$4)+'Calculs 3D'!$E$14-OffsetZ)/Ecran)*'Calculs 3D'!$E$31)),0)</f>
        <v>-0.17302950245740265</v>
      </c>
      <c r="W211" s="105">
        <f>IF(Body9Actif=TRUE,((((($B211*$V$4)+'Calculs 3D'!$C$14-OffsetX)/Ecran)*'Calculs 3D'!$C$32)+(((($C211*$V$4)+'Calculs 3D'!$D$14-OffsetY)/Ecran)*'Calculs 3D'!$D$32)+(((($D211*$V$4)+'Calculs 3D'!$E$14-OffsetZ)/Ecran)*'Calculs 3D'!$E$32)),0)</f>
        <v>0.28334346374721353</v>
      </c>
      <c r="X211" s="105">
        <f>IF(Body10Actif=TRUE,((((($B211*$X$4)+'Calculs 3D'!$C$15-OffsetX)/Ecran)*'Calculs 3D'!$C$31)+(((($C211*$X$4)+'Calculs 3D'!$D$15-OffsetY)/Ecran)*'Calculs 3D'!$D$31)+(((($D211*$X$4)+'Calculs 3D'!$E$15-OffsetZ)/Ecran)*'Calculs 3D'!$E$31)),0)</f>
        <v>-8.4545943570971671E-3</v>
      </c>
      <c r="Y211" s="105">
        <f>IF(Body10Actif=TRUE,((((($B211*$X$4)+'Calculs 3D'!$C$15-OffsetX)/Ecran)*'Calculs 3D'!$C$32)+(((($C211*$X$4)+'Calculs 3D'!$D$15-OffsetY)/Ecran)*'Calculs 3D'!$D$32)+(((($D211*$X$4)+'Calculs 3D'!$E$15-OffsetZ)/Ecran)*'Calculs 3D'!$E$32)),0)</f>
        <v>0.28449900045848858</v>
      </c>
    </row>
    <row r="212" spans="2:25" x14ac:dyDescent="0.3">
      <c r="B212" s="102">
        <v>0.58778525229247325</v>
      </c>
      <c r="C212" s="102">
        <v>0</v>
      </c>
      <c r="D212" s="102">
        <v>-0.80901699437494734</v>
      </c>
      <c r="F212" s="105">
        <f>IF(Body1Actif=TRUE,((((($B212*$F$4)+'Calculs 3D'!$C$6-OffsetX)/Ecran)*'Calculs 3D'!$C$31)+(((($C212*$F$4)+'Calculs 3D'!$D$6-OffsetY)/Ecran)*'Calculs 3D'!$D$31)+(((($D212*$F$4)+'Calculs 3D'!$E$6-OffsetZ)/Ecran)*'Calculs 3D'!$E$31)),0)</f>
        <v>5.2375173714217946E-2</v>
      </c>
      <c r="G212" s="105">
        <f>IF(Body1Actif=TRUE,((((($B212*$F$4)+'Calculs 3D'!$C$6-OffsetX)/Ecran)*'Calculs 3D'!$C$32)+(((($C212*$F$4)+'Calculs 3D'!$D$6-OffsetY)/Ecran)*'Calculs 3D'!$D$32)+(((($D212*$F$4)+'Calculs 3D'!$E$6-OffsetZ)/Ecran)*'Calculs 3D'!$E$32)),0)</f>
        <v>0.2607450161309085</v>
      </c>
      <c r="H212" s="105">
        <f>IF(Body2Actif=TRUE,((((($B212*$H$4)+'Calculs 3D'!$C$7-OffsetX)/Ecran)*'Calculs 3D'!$C$31)+(((($C212*$H$4)+'Calculs 3D'!$D$7-OffsetY)/Ecran)*'Calculs 3D'!$D$31)+(((($D212*$H$4)+'Calculs 3D'!$E$7-OffsetZ)/Ecran)*'Calculs 3D'!$E$31)),0)</f>
        <v>3.2248764456136114E-2</v>
      </c>
      <c r="I212" s="105">
        <f>IF(Body2Actif=TRUE,((((($B212*$H$4)+'Calculs 3D'!$C$7-OffsetX)/Ecran)*'Calculs 3D'!$C$32)+(((($C212*$H$4)+'Calculs 3D'!$D$7-OffsetY)/Ecran)*'Calculs 3D'!$D$32)+(((($D212*$H$4)+'Calculs 3D'!$E$7-OffsetZ)/Ecran)*'Calculs 3D'!$E$32)),0)</f>
        <v>1.816621343218644E-2</v>
      </c>
      <c r="J212" s="105">
        <f>IF(Body3Actif=TRUE,((((($B212*$J$4)+'Calculs 3D'!$C$8-OffsetX)/Ecran)*'Calculs 3D'!$C$31)+(((($C212*$J$4)+'Calculs 3D'!$D$8-OffsetY)/Ecran)*'Calculs 3D'!$D$31)+(((($D212*$J$4)+'Calculs 3D'!$E$8-OffsetZ)/Ecran)*'Calculs 3D'!$E$31)),0)</f>
        <v>0.22177124718197228</v>
      </c>
      <c r="K212" s="105">
        <f>IF(Body3Actif=TRUE,((((($B212*$J$4)+'Calculs 3D'!$C$8-OffsetX)/Ecran)*'Calculs 3D'!$C$32)+(((($C212*$J$4)+'Calculs 3D'!$D$8-OffsetY)/Ecran)*'Calculs 3D'!$D$32)+(((($D212*$J$4)+'Calculs 3D'!$E$8-OffsetZ)/Ecran)*'Calculs 3D'!$E$32)),0)</f>
        <v>-8.6268632607431728E-2</v>
      </c>
      <c r="L212" s="105">
        <f>IF(Body4Actif=TRUE,((((($B212*$L$4)+'Calculs 3D'!$C$9-OffsetX)/Ecran)*'Calculs 3D'!$C$31)+(((($C212*$L$4)+'Calculs 3D'!$D$9-OffsetY)/Ecran)*'Calculs 3D'!$D$31)+(((($D212*$L$4)+'Calculs 3D'!$E$9-OffsetZ)/Ecran)*'Calculs 3D'!$E$31)),0)</f>
        <v>-9.0480505188962834E-2</v>
      </c>
      <c r="M212" s="105">
        <f>IF(Body4Actif=TRUE,((((($B212*$L$4)+'Calculs 3D'!$C$9-OffsetX)/Ecran)*'Calculs 3D'!$C$32)+(((($C212*$L$4)+'Calculs 3D'!$D$9-OffsetY)/Ecran)*'Calculs 3D'!$D$32)+(((($D212*$L$4)+'Calculs 3D'!$E$9-OffsetZ)/Ecran)*'Calculs 3D'!$E$32)),0)</f>
        <v>-0.17913320769444654</v>
      </c>
      <c r="N212" s="105">
        <f>IF(Body5Actif=TRUE,((((($B212*$N$4)+'Calculs 3D'!$C$10-OffsetX)/Ecran)*'Calculs 3D'!$C$31)+(((($C212*$N$4)+'Calculs 3D'!$D$10-OffsetY)/Ecran)*'Calculs 3D'!$D$31)+(((($D212*$N$4)+'Calculs 3D'!$E$10-OffsetZ)/Ecran)*'Calculs 3D'!$E$31)),0)</f>
        <v>5.4740295766296434E-3</v>
      </c>
      <c r="O212" s="105">
        <f>IF(Body5Actif=TRUE,((((($B212*$N$4)+'Calculs 3D'!$C$10-OffsetX)/Ecran)*'Calculs 3D'!$C$32)+(((($C212*$N$4)+'Calculs 3D'!$D$10-OffsetY)/Ecran)*'Calculs 3D'!$D$32)+(((($D212*$N$4)+'Calculs 3D'!$E$10-OffsetZ)/Ecran)*'Calculs 3D'!$E$32)),0)</f>
        <v>-1.3213496942253478E-2</v>
      </c>
      <c r="P212" s="105">
        <f>IF(Body6Actif=TRUE,((((($B212*$P$4)+'Calculs 3D'!$C$11-OffsetX)/Ecran)*'Calculs 3D'!$C$31)+(((($C212*$P$4)+'Calculs 3D'!$D$11-OffsetY)/Ecran)*'Calculs 3D'!$D$31)+(((($D212*$P$4)+'Calculs 3D'!$E$11-OffsetZ)/Ecran)*'Calculs 3D'!$E$31)),0)</f>
        <v>0.17736943121486082</v>
      </c>
      <c r="Q212" s="105">
        <f>IF(Body6Actif=TRUE,((((($B212*$P$4)+'Calculs 3D'!$C$11-OffsetX)/Ecran)*'Calculs 3D'!$C$32)+(((($C212*$P$4)+'Calculs 3D'!$D$11-OffsetY)/Ecran)*'Calculs 3D'!$D$32)+(((($D212*$P$4)+'Calculs 3D'!$E$11-OffsetZ)/Ecran)*'Calculs 3D'!$E$32)),0)</f>
        <v>0.12112363784043403</v>
      </c>
      <c r="R212" s="105">
        <f>IF(Body7Actif=TRUE,((((($B212*$R$4)+'Calculs 3D'!$C$12-OffsetX)/Ecran)*'Calculs 3D'!$C$31)+(((($C212*$R$4)+'Calculs 3D'!$D$12-OffsetY)/Ecran)*'Calculs 3D'!$D$31)+(((($D212*$R$4)+'Calculs 3D'!$E$12-OffsetZ)/Ecran)*'Calculs 3D'!$E$31)),0)</f>
        <v>-0.27401713454288501</v>
      </c>
      <c r="S212" s="105">
        <f>IF(Body7Actif=TRUE,((((($B212*$R$4)+'Calculs 3D'!$C$12-OffsetX)/Ecran)*'Calculs 3D'!$C$32)+(((($C212*$R$4)+'Calculs 3D'!$D$12-OffsetY)/Ecran)*'Calculs 3D'!$D$32)+(((($D212*$R$4)+'Calculs 3D'!$E$12-OffsetZ)/Ecran)*'Calculs 3D'!$E$32)),0)</f>
        <v>5.0361497777049485E-2</v>
      </c>
      <c r="T212" s="105">
        <f>IF(Body8Actif=TRUE,((((($B212*$T$4)+'Calculs 3D'!$C$13-OffsetX)/Ecran)*'Calculs 3D'!$C$31)+(((($C212*$T$4)+'Calculs 3D'!$D$13-OffsetY)/Ecran)*'Calculs 3D'!$D$31)+(((($D212*$T$4)+'Calculs 3D'!$E$13-OffsetZ)/Ecran)*'Calculs 3D'!$E$31)),0)</f>
        <v>0.17059489395403432</v>
      </c>
      <c r="U212" s="105">
        <f>IF(Body8Actif=TRUE,((((($B212*$T$4)+'Calculs 3D'!$C$13-OffsetX)/Ecran)*'Calculs 3D'!$C$32)+(((($C212*$T$4)+'Calculs 3D'!$D$13-OffsetY)/Ecran)*'Calculs 3D'!$D$32)+(((($D212*$T$4)+'Calculs 3D'!$E$13-OffsetZ)/Ecran)*'Calculs 3D'!$E$32)),0)</f>
        <v>-0.13489264334943762</v>
      </c>
      <c r="V212" s="105">
        <f>IF(Body9Actif=TRUE,((((($B212*$V$4)+'Calculs 3D'!$C$14-OffsetX)/Ecran)*'Calculs 3D'!$C$31)+(((($C212*$V$4)+'Calculs 3D'!$D$14-OffsetY)/Ecran)*'Calculs 3D'!$D$31)+(((($D212*$V$4)+'Calculs 3D'!$E$14-OffsetZ)/Ecran)*'Calculs 3D'!$E$31)),0)</f>
        <v>-0.17429544573449979</v>
      </c>
      <c r="W212" s="105">
        <f>IF(Body9Actif=TRUE,((((($B212*$V$4)+'Calculs 3D'!$C$14-OffsetX)/Ecran)*'Calculs 3D'!$C$32)+(((($C212*$V$4)+'Calculs 3D'!$D$14-OffsetY)/Ecran)*'Calculs 3D'!$D$32)+(((($D212*$V$4)+'Calculs 3D'!$E$14-OffsetZ)/Ecran)*'Calculs 3D'!$E$32)),0)</f>
        <v>0.28267665266785724</v>
      </c>
      <c r="X212" s="105">
        <f>IF(Body10Actif=TRUE,((((($B212*$X$4)+'Calculs 3D'!$C$15-OffsetX)/Ecran)*'Calculs 3D'!$C$31)+(((($C212*$X$4)+'Calculs 3D'!$D$15-OffsetY)/Ecran)*'Calculs 3D'!$D$31)+(((($D212*$X$4)+'Calculs 3D'!$E$15-OffsetZ)/Ecran)*'Calculs 3D'!$E$31)),0)</f>
        <v>-1.0365477622310271E-2</v>
      </c>
      <c r="Y212" s="105">
        <f>IF(Body10Actif=TRUE,((((($B212*$X$4)+'Calculs 3D'!$C$15-OffsetX)/Ecran)*'Calculs 3D'!$C$32)+(((($C212*$X$4)+'Calculs 3D'!$D$15-OffsetY)/Ecran)*'Calculs 3D'!$D$32)+(((($D212*$X$4)+'Calculs 3D'!$E$15-OffsetZ)/Ecran)*'Calculs 3D'!$E$32)),0)</f>
        <v>0.28349247974334069</v>
      </c>
    </row>
    <row r="213" spans="2:25" x14ac:dyDescent="0.3">
      <c r="B213" s="102">
        <v>0.30901699437494751</v>
      </c>
      <c r="C213" s="102">
        <v>0</v>
      </c>
      <c r="D213" s="102">
        <v>-0.95105651629515353</v>
      </c>
      <c r="F213" s="105">
        <f>IF(Body1Actif=TRUE,((((($B213*$F$4)+'Calculs 3D'!$C$6-OffsetX)/Ecran)*'Calculs 3D'!$C$31)+(((($C213*$F$4)+'Calculs 3D'!$D$6-OffsetY)/Ecran)*'Calculs 3D'!$D$31)+(((($D213*$F$4)+'Calculs 3D'!$E$6-OffsetZ)/Ecran)*'Calculs 3D'!$E$31)),0)</f>
        <v>5.1523387518942754E-2</v>
      </c>
      <c r="G213" s="105">
        <f>IF(Body1Actif=TRUE,((((($B213*$F$4)+'Calculs 3D'!$C$6-OffsetX)/Ecran)*'Calculs 3D'!$C$32)+(((($C213*$F$4)+'Calculs 3D'!$D$6-OffsetY)/Ecran)*'Calculs 3D'!$D$32)+(((($D213*$F$4)+'Calculs 3D'!$E$6-OffsetZ)/Ecran)*'Calculs 3D'!$E$32)),0)</f>
        <v>0.26070328601413134</v>
      </c>
      <c r="H213" s="105">
        <f>IF(Body2Actif=TRUE,((((($B213*$H$4)+'Calculs 3D'!$C$7-OffsetX)/Ecran)*'Calculs 3D'!$C$31)+(((($C213*$H$4)+'Calculs 3D'!$D$7-OffsetY)/Ecran)*'Calculs 3D'!$D$31)+(((($D213*$H$4)+'Calculs 3D'!$E$7-OffsetZ)/Ecran)*'Calculs 3D'!$E$31)),0)</f>
        <v>2.8928607112248622E-2</v>
      </c>
      <c r="I213" s="105">
        <f>IF(Body2Actif=TRUE,((((($B213*$H$4)+'Calculs 3D'!$C$7-OffsetX)/Ecran)*'Calculs 3D'!$C$32)+(((($C213*$H$4)+'Calculs 3D'!$D$7-OffsetY)/Ecran)*'Calculs 3D'!$D$32)+(((($D213*$H$4)+'Calculs 3D'!$E$7-OffsetZ)/Ecran)*'Calculs 3D'!$E$32)),0)</f>
        <v>1.8003554593093433E-2</v>
      </c>
      <c r="J213" s="105">
        <f>IF(Body3Actif=TRUE,((((($B213*$J$4)+'Calculs 3D'!$C$8-OffsetX)/Ecran)*'Calculs 3D'!$C$31)+(((($C213*$J$4)+'Calculs 3D'!$D$8-OffsetY)/Ecran)*'Calculs 3D'!$D$31)+(((($D213*$J$4)+'Calculs 3D'!$E$8-OffsetZ)/Ecran)*'Calculs 3D'!$E$31)),0)</f>
        <v>0.22029569550559069</v>
      </c>
      <c r="K213" s="105">
        <f>IF(Body3Actif=TRUE,((((($B213*$J$4)+'Calculs 3D'!$C$8-OffsetX)/Ecran)*'Calculs 3D'!$C$32)+(((($C213*$J$4)+'Calculs 3D'!$D$8-OffsetY)/Ecran)*'Calculs 3D'!$D$32)+(((($D213*$J$4)+'Calculs 3D'!$E$8-OffsetZ)/Ecran)*'Calculs 3D'!$E$32)),0)</f>
        <v>-8.6340921808768484E-2</v>
      </c>
      <c r="L213" s="105">
        <f>IF(Body4Actif=TRUE,((((($B213*$L$4)+'Calculs 3D'!$C$9-OffsetX)/Ecran)*'Calculs 3D'!$C$31)+(((($C213*$L$4)+'Calculs 3D'!$D$9-OffsetY)/Ecran)*'Calculs 3D'!$D$31)+(((($D213*$L$4)+'Calculs 3D'!$E$9-OffsetZ)/Ecran)*'Calculs 3D'!$E$31)),0)</f>
        <v>-9.23991541031432E-2</v>
      </c>
      <c r="M213" s="105">
        <f>IF(Body4Actif=TRUE,((((($B213*$L$4)+'Calculs 3D'!$C$9-OffsetX)/Ecran)*'Calculs 3D'!$C$32)+(((($C213*$L$4)+'Calculs 3D'!$D$9-OffsetY)/Ecran)*'Calculs 3D'!$D$32)+(((($D213*$L$4)+'Calculs 3D'!$E$9-OffsetZ)/Ecran)*'Calculs 3D'!$E$32)),0)</f>
        <v>-0.17922720480743948</v>
      </c>
      <c r="N213" s="105">
        <f>IF(Body5Actif=TRUE,((((($B213*$N$4)+'Calculs 3D'!$C$10-OffsetX)/Ecran)*'Calculs 3D'!$C$31)+(((($C213*$N$4)+'Calculs 3D'!$D$10-OffsetY)/Ecran)*'Calculs 3D'!$D$31)+(((($D213*$N$4)+'Calculs 3D'!$E$10-OffsetZ)/Ecran)*'Calculs 3D'!$E$31)),0)</f>
        <v>3.2837157039599346E-3</v>
      </c>
      <c r="O213" s="105">
        <f>IF(Body5Actif=TRUE,((((($B213*$N$4)+'Calculs 3D'!$C$10-OffsetX)/Ecran)*'Calculs 3D'!$C$32)+(((($C213*$N$4)+'Calculs 3D'!$D$10-OffsetY)/Ecran)*'Calculs 3D'!$D$32)+(((($D213*$N$4)+'Calculs 3D'!$E$10-OffsetZ)/Ecran)*'Calculs 3D'!$E$32)),0)</f>
        <v>-1.3320803275922784E-2</v>
      </c>
      <c r="P213" s="105">
        <f>IF(Body6Actif=TRUE,((((($B213*$P$4)+'Calculs 3D'!$C$11-OffsetX)/Ecran)*'Calculs 3D'!$C$31)+(((($C213*$P$4)+'Calculs 3D'!$D$11-OffsetY)/Ecran)*'Calculs 3D'!$D$31)+(((($D213*$P$4)+'Calculs 3D'!$E$11-OffsetZ)/Ecran)*'Calculs 3D'!$E$31)),0)</f>
        <v>0.17419529248505522</v>
      </c>
      <c r="Q213" s="105">
        <f>IF(Body6Actif=TRUE,((((($B213*$P$4)+'Calculs 3D'!$C$11-OffsetX)/Ecran)*'Calculs 3D'!$C$32)+(((($C213*$P$4)+'Calculs 3D'!$D$11-OffsetY)/Ecran)*'Calculs 3D'!$D$32)+(((($D213*$P$4)+'Calculs 3D'!$E$11-OffsetZ)/Ecran)*'Calculs 3D'!$E$32)),0)</f>
        <v>0.12096813264371167</v>
      </c>
      <c r="R213" s="105">
        <f>IF(Body7Actif=TRUE,((((($B213*$R$4)+'Calculs 3D'!$C$12-OffsetX)/Ecran)*'Calculs 3D'!$C$31)+(((($C213*$R$4)+'Calculs 3D'!$D$12-OffsetY)/Ecran)*'Calculs 3D'!$D$31)+(((($D213*$R$4)+'Calculs 3D'!$E$12-OffsetZ)/Ecran)*'Calculs 3D'!$E$31)),0)</f>
        <v>-0.27720480622921617</v>
      </c>
      <c r="S213" s="105">
        <f>IF(Body7Actif=TRUE,((((($B213*$R$4)+'Calculs 3D'!$C$12-OffsetX)/Ecran)*'Calculs 3D'!$C$32)+(((($C213*$R$4)+'Calculs 3D'!$D$12-OffsetY)/Ecran)*'Calculs 3D'!$D$32)+(((($D213*$R$4)+'Calculs 3D'!$E$12-OffsetZ)/Ecran)*'Calculs 3D'!$E$32)),0)</f>
        <v>5.0205329583134561E-2</v>
      </c>
      <c r="T213" s="105">
        <f>IF(Body8Actif=TRUE,((((($B213*$T$4)+'Calculs 3D'!$C$13-OffsetX)/Ecran)*'Calculs 3D'!$C$31)+(((($C213*$T$4)+'Calculs 3D'!$D$13-OffsetY)/Ecran)*'Calculs 3D'!$D$31)+(((($D213*$T$4)+'Calculs 3D'!$E$13-OffsetZ)/Ecran)*'Calculs 3D'!$E$31)),0)</f>
        <v>0.16944522673771156</v>
      </c>
      <c r="U213" s="105">
        <f>IF(Body8Actif=TRUE,((((($B213*$T$4)+'Calculs 3D'!$C$13-OffsetX)/Ecran)*'Calculs 3D'!$C$32)+(((($C213*$T$4)+'Calculs 3D'!$D$13-OffsetY)/Ecran)*'Calculs 3D'!$D$32)+(((($D213*$T$4)+'Calculs 3D'!$E$13-OffsetZ)/Ecran)*'Calculs 3D'!$E$32)),0)</f>
        <v>-0.13494896704599213</v>
      </c>
      <c r="V213" s="105">
        <f>IF(Body9Actif=TRUE,((((($B213*$V$4)+'Calculs 3D'!$C$14-OffsetX)/Ecran)*'Calculs 3D'!$C$31)+(((($C213*$V$4)+'Calculs 3D'!$D$14-OffsetY)/Ecran)*'Calculs 3D'!$D$31)+(((($D213*$V$4)+'Calculs 3D'!$E$14-OffsetZ)/Ecran)*'Calculs 3D'!$E$31)),0)</f>
        <v>-0.17589062732398086</v>
      </c>
      <c r="W213" s="105">
        <f>IF(Body9Actif=TRUE,((((($B213*$V$4)+'Calculs 3D'!$C$14-OffsetX)/Ecran)*'Calculs 3D'!$C$32)+(((($C213*$V$4)+'Calculs 3D'!$D$14-OffsetY)/Ecran)*'Calculs 3D'!$D$32)+(((($D213*$V$4)+'Calculs 3D'!$E$14-OffsetZ)/Ecran)*'Calculs 3D'!$E$32)),0)</f>
        <v>0.28259850264103242</v>
      </c>
      <c r="X213" s="105">
        <f>IF(Body10Actif=TRUE,((((($B213*$X$4)+'Calculs 3D'!$C$15-OffsetX)/Ecran)*'Calculs 3D'!$C$31)+(((($C213*$X$4)+'Calculs 3D'!$D$15-OffsetY)/Ecran)*'Calculs 3D'!$D$31)+(((($D213*$X$4)+'Calculs 3D'!$E$15-OffsetZ)/Ecran)*'Calculs 3D'!$E$31)),0)</f>
        <v>-1.2773331006788097E-2</v>
      </c>
      <c r="Y213" s="105">
        <f>IF(Body10Actif=TRUE,((((($B213*$X$4)+'Calculs 3D'!$C$15-OffsetX)/Ecran)*'Calculs 3D'!$C$32)+(((($C213*$X$4)+'Calculs 3D'!$D$15-OffsetY)/Ecran)*'Calculs 3D'!$D$32)+(((($D213*$X$4)+'Calculs 3D'!$E$15-OffsetZ)/Ecran)*'Calculs 3D'!$E$32)),0)</f>
        <v>0.28337451586522922</v>
      </c>
    </row>
    <row r="214" spans="2:25" x14ac:dyDescent="0.3">
      <c r="B214" s="102">
        <v>1.22514845490862E-16</v>
      </c>
      <c r="C214" s="102">
        <v>0</v>
      </c>
      <c r="D214" s="102">
        <v>-1</v>
      </c>
      <c r="F214" s="105">
        <f>IF(Body1Actif=TRUE,((((($B214*$F$4)+'Calculs 3D'!$C$6-OffsetX)/Ecran)*'Calculs 3D'!$C$31)+(((($C214*$F$4)+'Calculs 3D'!$D$6-OffsetY)/Ecran)*'Calculs 3D'!$D$31)+(((($D214*$F$4)+'Calculs 3D'!$E$6-OffsetZ)/Ecran)*'Calculs 3D'!$E$31)),0)</f>
        <v>5.0579175247860285E-2</v>
      </c>
      <c r="G214" s="105">
        <f>IF(Body1Actif=TRUE,((((($B214*$F$4)+'Calculs 3D'!$C$6-OffsetX)/Ecran)*'Calculs 3D'!$C$32)+(((($C214*$F$4)+'Calculs 3D'!$D$6-OffsetY)/Ecran)*'Calculs 3D'!$D$32)+(((($D214*$F$4)+'Calculs 3D'!$E$6-OffsetZ)/Ecran)*'Calculs 3D'!$E$32)),0)</f>
        <v>0.26097997068756451</v>
      </c>
      <c r="H214" s="105">
        <f>IF(Body2Actif=TRUE,((((($B214*$H$4)+'Calculs 3D'!$C$7-OffsetX)/Ecran)*'Calculs 3D'!$C$31)+(((($C214*$H$4)+'Calculs 3D'!$D$7-OffsetY)/Ecran)*'Calculs 3D'!$D$31)+(((($D214*$H$4)+'Calculs 3D'!$E$7-OffsetZ)/Ecran)*'Calculs 3D'!$E$31)),0)</f>
        <v>2.5248184344877585E-2</v>
      </c>
      <c r="I214" s="105">
        <f>IF(Body2Actif=TRUE,((((($B214*$H$4)+'Calculs 3D'!$C$7-OffsetX)/Ecran)*'Calculs 3D'!$C$32)+(((($C214*$H$4)+'Calculs 3D'!$D$7-OffsetY)/Ecran)*'Calculs 3D'!$D$32)+(((($D214*$H$4)+'Calculs 3D'!$E$7-OffsetZ)/Ecran)*'Calculs 3D'!$E$32)),0)</f>
        <v>1.9082037263434888E-2</v>
      </c>
      <c r="J214" s="105">
        <f>IF(Body3Actif=TRUE,((((($B214*$J$4)+'Calculs 3D'!$C$8-OffsetX)/Ecran)*'Calculs 3D'!$C$31)+(((($C214*$J$4)+'Calculs 3D'!$D$8-OffsetY)/Ecran)*'Calculs 3D'!$D$31)+(((($D214*$J$4)+'Calculs 3D'!$E$8-OffsetZ)/Ecran)*'Calculs 3D'!$E$31)),0)</f>
        <v>0.21866003387220898</v>
      </c>
      <c r="K214" s="105">
        <f>IF(Body3Actif=TRUE,((((($B214*$J$4)+'Calculs 3D'!$C$8-OffsetX)/Ecran)*'Calculs 3D'!$C$32)+(((($C214*$J$4)+'Calculs 3D'!$D$8-OffsetY)/Ecran)*'Calculs 3D'!$D$32)+(((($D214*$J$4)+'Calculs 3D'!$E$8-OffsetZ)/Ecran)*'Calculs 3D'!$E$32)),0)</f>
        <v>-8.5861620153050128E-2</v>
      </c>
      <c r="L214" s="105">
        <f>IF(Body4Actif=TRUE,((((($B214*$L$4)+'Calculs 3D'!$C$9-OffsetX)/Ecran)*'Calculs 3D'!$C$31)+(((($C214*$L$4)+'Calculs 3D'!$D$9-OffsetY)/Ecran)*'Calculs 3D'!$D$31)+(((($D214*$L$4)+'Calculs 3D'!$E$9-OffsetZ)/Ecran)*'Calculs 3D'!$E$31)),0)</f>
        <v>-9.4525992808345366E-2</v>
      </c>
      <c r="M214" s="105">
        <f>IF(Body4Actif=TRUE,((((($B214*$L$4)+'Calculs 3D'!$C$9-OffsetX)/Ecran)*'Calculs 3D'!$C$32)+(((($C214*$L$4)+'Calculs 3D'!$D$9-OffsetY)/Ecran)*'Calculs 3D'!$D$32)+(((($D214*$L$4)+'Calculs 3D'!$E$9-OffsetZ)/Ecran)*'Calculs 3D'!$E$32)),0)</f>
        <v>-0.17860397241508841</v>
      </c>
      <c r="N214" s="105">
        <f>IF(Body5Actif=TRUE,((((($B214*$N$4)+'Calculs 3D'!$C$10-OffsetX)/Ecran)*'Calculs 3D'!$C$31)+(((($C214*$N$4)+'Calculs 3D'!$D$10-OffsetY)/Ecran)*'Calculs 3D'!$D$31)+(((($D214*$N$4)+'Calculs 3D'!$E$10-OffsetZ)/Ecran)*'Calculs 3D'!$E$31)),0)</f>
        <v>8.5573407245585417E-4</v>
      </c>
      <c r="O214" s="105">
        <f>IF(Body5Actif=TRUE,((((($B214*$N$4)+'Calculs 3D'!$C$10-OffsetX)/Ecran)*'Calculs 3D'!$C$32)+(((($C214*$N$4)+'Calculs 3D'!$D$10-OffsetY)/Ecran)*'Calculs 3D'!$D$32)+(((($D214*$N$4)+'Calculs 3D'!$E$10-OffsetZ)/Ecran)*'Calculs 3D'!$E$32)),0)</f>
        <v>-1.260932628564349E-2</v>
      </c>
      <c r="P214" s="105">
        <f>IF(Body6Actif=TRUE,((((($B214*$P$4)+'Calculs 3D'!$C$11-OffsetX)/Ecran)*'Calculs 3D'!$C$31)+(((($C214*$P$4)+'Calculs 3D'!$D$11-OffsetY)/Ecran)*'Calculs 3D'!$D$31)+(((($D214*$P$4)+'Calculs 3D'!$E$11-OffsetZ)/Ecran)*'Calculs 3D'!$E$31)),0)</f>
        <v>0.1706767325982842</v>
      </c>
      <c r="Q214" s="105">
        <f>IF(Body6Actif=TRUE,((((($B214*$P$4)+'Calculs 3D'!$C$11-OffsetX)/Ecran)*'Calculs 3D'!$C$32)+(((($C214*$P$4)+'Calculs 3D'!$D$11-OffsetY)/Ecran)*'Calculs 3D'!$D$32)+(((($D214*$P$4)+'Calculs 3D'!$E$11-OffsetZ)/Ecran)*'Calculs 3D'!$E$32)),0)</f>
        <v>0.12199918426530344</v>
      </c>
      <c r="R214" s="105">
        <f>IF(Body7Actif=TRUE,((((($B214*$R$4)+'Calculs 3D'!$C$12-OffsetX)/Ecran)*'Calculs 3D'!$C$31)+(((($C214*$R$4)+'Calculs 3D'!$D$12-OffsetY)/Ecran)*'Calculs 3D'!$D$31)+(((($D214*$R$4)+'Calculs 3D'!$E$12-OffsetZ)/Ecran)*'Calculs 3D'!$E$31)),0)</f>
        <v>-0.28073836751385717</v>
      </c>
      <c r="S214" s="105">
        <f>IF(Body7Actif=TRUE,((((($B214*$R$4)+'Calculs 3D'!$C$12-OffsetX)/Ecran)*'Calculs 3D'!$C$32)+(((($C214*$R$4)+'Calculs 3D'!$D$12-OffsetY)/Ecran)*'Calculs 3D'!$D$32)+(((($D214*$R$4)+'Calculs 3D'!$E$12-OffsetZ)/Ecran)*'Calculs 3D'!$E$32)),0)</f>
        <v>5.1240777098528811E-2</v>
      </c>
      <c r="T214" s="105">
        <f>IF(Body8Actif=TRUE,((((($B214*$T$4)+'Calculs 3D'!$C$13-OffsetX)/Ecran)*'Calculs 3D'!$C$31)+(((($C214*$T$4)+'Calculs 3D'!$D$13-OffsetY)/Ecran)*'Calculs 3D'!$D$31)+(((($D214*$T$4)+'Calculs 3D'!$E$13-OffsetZ)/Ecran)*'Calculs 3D'!$E$31)),0)</f>
        <v>0.16817081081111579</v>
      </c>
      <c r="U214" s="105">
        <f>IF(Body8Actif=TRUE,((((($B214*$T$4)+'Calculs 3D'!$C$13-OffsetX)/Ecran)*'Calculs 3D'!$C$32)+(((($C214*$T$4)+'Calculs 3D'!$D$13-OffsetY)/Ecran)*'Calculs 3D'!$D$32)+(((($D214*$T$4)+'Calculs 3D'!$E$13-OffsetZ)/Ecran)*'Calculs 3D'!$E$32)),0)</f>
        <v>-0.13457552204292733</v>
      </c>
      <c r="V214" s="105">
        <f>IF(Body9Actif=TRUE,((((($B214*$V$4)+'Calculs 3D'!$C$14-OffsetX)/Ecran)*'Calculs 3D'!$C$31)+(((($C214*$V$4)+'Calculs 3D'!$D$14-OffsetY)/Ecran)*'Calculs 3D'!$D$31)+(((($D214*$V$4)+'Calculs 3D'!$E$14-OffsetZ)/Ecran)*'Calculs 3D'!$E$31)),0)</f>
        <v>-0.17765889973758367</v>
      </c>
      <c r="W214" s="105">
        <f>IF(Body9Actif=TRUE,((((($B214*$V$4)+'Calculs 3D'!$C$14-OffsetX)/Ecran)*'Calculs 3D'!$C$32)+(((($C214*$V$4)+'Calculs 3D'!$D$14-OffsetY)/Ecran)*'Calculs 3D'!$D$32)+(((($D214*$V$4)+'Calculs 3D'!$E$14-OffsetZ)/Ecran)*'Calculs 3D'!$E$32)),0)</f>
        <v>0.28311666353586784</v>
      </c>
      <c r="X214" s="105">
        <f>IF(Body10Actif=TRUE,((((($B214*$X$4)+'Calculs 3D'!$C$15-OffsetX)/Ecran)*'Calculs 3D'!$C$31)+(((($C214*$X$4)+'Calculs 3D'!$D$15-OffsetY)/Ecran)*'Calculs 3D'!$D$31)+(((($D214*$X$4)+'Calculs 3D'!$E$15-OffsetZ)/Ecran)*'Calculs 3D'!$E$31)),0)</f>
        <v>-1.5442457044756913E-2</v>
      </c>
      <c r="Y214" s="105">
        <f>IF(Body10Actif=TRUE,((((($B214*$X$4)+'Calculs 3D'!$C$15-OffsetX)/Ecran)*'Calculs 3D'!$C$32)+(((($C214*$X$4)+'Calculs 3D'!$D$15-OffsetY)/Ecran)*'Calculs 3D'!$D$32)+(((($D214*$X$4)+'Calculs 3D'!$E$15-OffsetZ)/Ecran)*'Calculs 3D'!$E$32)),0)</f>
        <v>0.28415665595044626</v>
      </c>
    </row>
    <row r="215" spans="2:25" x14ac:dyDescent="0.3">
      <c r="B215" s="102">
        <v>-0.30901699437494773</v>
      </c>
      <c r="C215" s="102">
        <v>0</v>
      </c>
      <c r="D215" s="102">
        <v>-0.95105651629515353</v>
      </c>
      <c r="F215" s="105">
        <f>IF(Body1Actif=TRUE,((((($B215*$F$4)+'Calculs 3D'!$C$6-OffsetX)/Ecran)*'Calculs 3D'!$C$31)+(((($C215*$F$4)+'Calculs 3D'!$D$6-OffsetY)/Ecran)*'Calculs 3D'!$D$31)+(((($D215*$F$4)+'Calculs 3D'!$E$6-OffsetZ)/Ecran)*'Calculs 3D'!$E$31)),0)</f>
        <v>4.9634962976777809E-2</v>
      </c>
      <c r="G215" s="105">
        <f>IF(Body1Actif=TRUE,((((($B215*$F$4)+'Calculs 3D'!$C$6-OffsetX)/Ecran)*'Calculs 3D'!$C$32)+(((($C215*$F$4)+'Calculs 3D'!$D$6-OffsetY)/Ecran)*'Calculs 3D'!$D$32)+(((($D215*$F$4)+'Calculs 3D'!$E$6-OffsetZ)/Ecran)*'Calculs 3D'!$E$32)),0)</f>
        <v>0.26154798632759696</v>
      </c>
      <c r="H215" s="105">
        <f>IF(Body2Actif=TRUE,((((($B215*$H$4)+'Calculs 3D'!$C$7-OffsetX)/Ecran)*'Calculs 3D'!$C$31)+(((($C215*$H$4)+'Calculs 3D'!$D$7-OffsetY)/Ecran)*'Calculs 3D'!$D$31)+(((($D215*$H$4)+'Calculs 3D'!$E$7-OffsetZ)/Ecran)*'Calculs 3D'!$E$31)),0)</f>
        <v>2.1567761577506554E-2</v>
      </c>
      <c r="I215" s="105">
        <f>IF(Body2Actif=TRUE,((((($B215*$H$4)+'Calculs 3D'!$C$7-OffsetX)/Ecran)*'Calculs 3D'!$C$32)+(((($C215*$H$4)+'Calculs 3D'!$D$7-OffsetY)/Ecran)*'Calculs 3D'!$D$32)+(((($D215*$H$4)+'Calculs 3D'!$E$7-OffsetZ)/Ecran)*'Calculs 3D'!$E$32)),0)</f>
        <v>2.1296092045207181E-2</v>
      </c>
      <c r="J215" s="105">
        <f>IF(Body3Actif=TRUE,((((($B215*$J$4)+'Calculs 3D'!$C$8-OffsetX)/Ecran)*'Calculs 3D'!$C$31)+(((($C215*$J$4)+'Calculs 3D'!$D$8-OffsetY)/Ecran)*'Calculs 3D'!$D$31)+(((($D215*$J$4)+'Calculs 3D'!$E$8-OffsetZ)/Ecran)*'Calculs 3D'!$E$31)),0)</f>
        <v>0.21702437223882726</v>
      </c>
      <c r="K215" s="105">
        <f>IF(Body3Actif=TRUE,((((($B215*$J$4)+'Calculs 3D'!$C$8-OffsetX)/Ecran)*'Calculs 3D'!$C$32)+(((($C215*$J$4)+'Calculs 3D'!$D$8-OffsetY)/Ecran)*'Calculs 3D'!$D$32)+(((($D215*$J$4)+'Calculs 3D'!$E$8-OffsetZ)/Ecran)*'Calculs 3D'!$E$32)),0)</f>
        <v>-8.4877645025829285E-2</v>
      </c>
      <c r="L215" s="105">
        <f>IF(Body4Actif=TRUE,((((($B215*$L$4)+'Calculs 3D'!$C$9-OffsetX)/Ecran)*'Calculs 3D'!$C$31)+(((($C215*$L$4)+'Calculs 3D'!$D$9-OffsetY)/Ecran)*'Calculs 3D'!$D$31)+(((($D215*$L$4)+'Calculs 3D'!$E$9-OffsetZ)/Ecran)*'Calculs 3D'!$E$31)),0)</f>
        <v>-9.6652831513547519E-2</v>
      </c>
      <c r="M215" s="105">
        <f>IF(Body4Actif=TRUE,((((($B215*$L$4)+'Calculs 3D'!$C$9-OffsetX)/Ecran)*'Calculs 3D'!$C$32)+(((($C215*$L$4)+'Calculs 3D'!$D$9-OffsetY)/Ecran)*'Calculs 3D'!$D$32)+(((($D215*$L$4)+'Calculs 3D'!$E$9-OffsetZ)/Ecran)*'Calculs 3D'!$E$32)),0)</f>
        <v>-0.1773245168462721</v>
      </c>
      <c r="N215" s="105">
        <f>IF(Body5Actif=TRUE,((((($B215*$N$4)+'Calculs 3D'!$C$10-OffsetX)/Ecran)*'Calculs 3D'!$C$31)+(((($C215*$N$4)+'Calculs 3D'!$D$10-OffsetY)/Ecran)*'Calculs 3D'!$D$31)+(((($D215*$N$4)+'Calculs 3D'!$E$10-OffsetZ)/Ecran)*'Calculs 3D'!$E$31)),0)</f>
        <v>-1.5722475590482293E-3</v>
      </c>
      <c r="O215" s="105">
        <f>IF(Body5Actif=TRUE,((((($B215*$N$4)+'Calculs 3D'!$C$10-OffsetX)/Ecran)*'Calculs 3D'!$C$32)+(((($C215*$N$4)+'Calculs 3D'!$D$10-OffsetY)/Ecran)*'Calculs 3D'!$D$32)+(((($D215*$N$4)+'Calculs 3D'!$E$10-OffsetZ)/Ecran)*'Calculs 3D'!$E$32)),0)</f>
        <v>-1.1148710296375819E-2</v>
      </c>
      <c r="P215" s="105">
        <f>IF(Body6Actif=TRUE,((((($B215*$P$4)+'Calculs 3D'!$C$11-OffsetX)/Ecran)*'Calculs 3D'!$C$31)+(((($C215*$P$4)+'Calculs 3D'!$D$11-OffsetY)/Ecran)*'Calculs 3D'!$D$31)+(((($D215*$P$4)+'Calculs 3D'!$E$11-OffsetZ)/Ecran)*'Calculs 3D'!$E$31)),0)</f>
        <v>0.16715817271151318</v>
      </c>
      <c r="Q215" s="105">
        <f>IF(Body6Actif=TRUE,((((($B215*$P$4)+'Calculs 3D'!$C$11-OffsetX)/Ecran)*'Calculs 3D'!$C$32)+(((($C215*$P$4)+'Calculs 3D'!$D$11-OffsetY)/Ecran)*'Calculs 3D'!$D$32)+(((($D215*$P$4)+'Calculs 3D'!$E$11-OffsetZ)/Ecran)*'Calculs 3D'!$E$32)),0)</f>
        <v>0.12411586618872883</v>
      </c>
      <c r="R215" s="105">
        <f>IF(Body7Actif=TRUE,((((($B215*$R$4)+'Calculs 3D'!$C$12-OffsetX)/Ecran)*'Calculs 3D'!$C$31)+(((($C215*$R$4)+'Calculs 3D'!$D$12-OffsetY)/Ecran)*'Calculs 3D'!$D$31)+(((($D215*$R$4)+'Calculs 3D'!$E$12-OffsetZ)/Ecran)*'Calculs 3D'!$E$31)),0)</f>
        <v>-0.28427192879849811</v>
      </c>
      <c r="S215" s="105">
        <f>IF(Body7Actif=TRUE,((((($B215*$R$4)+'Calculs 3D'!$C$12-OffsetX)/Ecran)*'Calculs 3D'!$C$32)+(((($C215*$R$4)+'Calculs 3D'!$D$12-OffsetY)/Ecran)*'Calculs 3D'!$D$32)+(((($D215*$R$4)+'Calculs 3D'!$E$12-OffsetZ)/Ecran)*'Calculs 3D'!$E$32)),0)</f>
        <v>5.3366483506038398E-2</v>
      </c>
      <c r="T215" s="105">
        <f>IF(Body8Actif=TRUE,((((($B215*$T$4)+'Calculs 3D'!$C$13-OffsetX)/Ecran)*'Calculs 3D'!$C$31)+(((($C215*$T$4)+'Calculs 3D'!$D$13-OffsetY)/Ecran)*'Calculs 3D'!$D$31)+(((($D215*$T$4)+'Calculs 3D'!$E$13-OffsetZ)/Ecran)*'Calculs 3D'!$E$31)),0)</f>
        <v>0.16689639488451999</v>
      </c>
      <c r="U215" s="105">
        <f>IF(Body8Actif=TRUE,((((($B215*$T$4)+'Calculs 3D'!$C$13-OffsetX)/Ecran)*'Calculs 3D'!$C$32)+(((($C215*$T$4)+'Calculs 3D'!$D$13-OffsetY)/Ecran)*'Calculs 3D'!$D$32)+(((($D215*$T$4)+'Calculs 3D'!$E$13-OffsetZ)/Ecran)*'Calculs 3D'!$E$32)),0)</f>
        <v>-0.13380886373908746</v>
      </c>
      <c r="V215" s="105">
        <f>IF(Body9Actif=TRUE,((((($B215*$V$4)+'Calculs 3D'!$C$14-OffsetX)/Ecran)*'Calculs 3D'!$C$31)+(((($C215*$V$4)+'Calculs 3D'!$D$14-OffsetY)/Ecran)*'Calculs 3D'!$D$31)+(((($D215*$V$4)+'Calculs 3D'!$E$14-OffsetZ)/Ecran)*'Calculs 3D'!$E$31)),0)</f>
        <v>-0.17942717215118653</v>
      </c>
      <c r="W215" s="105">
        <f>IF(Body9Actif=TRUE,((((($B215*$V$4)+'Calculs 3D'!$C$14-OffsetX)/Ecran)*'Calculs 3D'!$C$32)+(((($C215*$V$4)+'Calculs 3D'!$D$14-OffsetY)/Ecran)*'Calculs 3D'!$D$32)+(((($D215*$V$4)+'Calculs 3D'!$E$14-OffsetZ)/Ecran)*'Calculs 3D'!$E$32)),0)</f>
        <v>0.28418041415373774</v>
      </c>
      <c r="X215" s="105">
        <f>IF(Body10Actif=TRUE,((((($B215*$X$4)+'Calculs 3D'!$C$15-OffsetX)/Ecran)*'Calculs 3D'!$C$31)+(((($C215*$X$4)+'Calculs 3D'!$D$15-OffsetY)/Ecran)*'Calculs 3D'!$D$31)+(((($D215*$X$4)+'Calculs 3D'!$E$15-OffsetZ)/Ecran)*'Calculs 3D'!$E$31)),0)</f>
        <v>-1.8111583082725757E-2</v>
      </c>
      <c r="Y215" s="105">
        <f>IF(Body10Actif=TRUE,((((($B215*$X$4)+'Calculs 3D'!$C$15-OffsetX)/Ecran)*'Calculs 3D'!$C$32)+(((($C215*$X$4)+'Calculs 3D'!$D$15-OffsetY)/Ecran)*'Calculs 3D'!$D$32)+(((($D215*$X$4)+'Calculs 3D'!$E$15-OffsetZ)/Ecran)*'Calculs 3D'!$E$32)),0)</f>
        <v>0.28576233867796053</v>
      </c>
    </row>
    <row r="216" spans="2:25" x14ac:dyDescent="0.3">
      <c r="B216" s="102">
        <v>-0.58778525229247303</v>
      </c>
      <c r="C216" s="102">
        <v>0</v>
      </c>
      <c r="D216" s="102">
        <v>-0.80901699437494756</v>
      </c>
      <c r="F216" s="105">
        <f>IF(Body1Actif=TRUE,((((($B216*$F$4)+'Calculs 3D'!$C$6-OffsetX)/Ecran)*'Calculs 3D'!$C$31)+(((($C216*$F$4)+'Calculs 3D'!$D$6-OffsetY)/Ecran)*'Calculs 3D'!$D$31)+(((($D216*$F$4)+'Calculs 3D'!$E$6-OffsetZ)/Ecran)*'Calculs 3D'!$E$31)),0)</f>
        <v>4.8783176781502624E-2</v>
      </c>
      <c r="G216" s="105">
        <f>IF(Body1Actif=TRUE,((((($B216*$F$4)+'Calculs 3D'!$C$6-OffsetX)/Ecran)*'Calculs 3D'!$C$32)+(((($C216*$F$4)+'Calculs 3D'!$D$6-OffsetY)/Ecran)*'Calculs 3D'!$D$32)+(((($D216*$F$4)+'Calculs 3D'!$E$6-OffsetZ)/Ecran)*'Calculs 3D'!$E$32)),0)</f>
        <v>0.26235173160578462</v>
      </c>
      <c r="H216" s="105">
        <f>IF(Body2Actif=TRUE,((((($B216*$H$4)+'Calculs 3D'!$C$7-OffsetX)/Ecran)*'Calculs 3D'!$C$31)+(((($C216*$H$4)+'Calculs 3D'!$D$7-OffsetY)/Ecran)*'Calculs 3D'!$D$31)+(((($D216*$H$4)+'Calculs 3D'!$E$7-OffsetZ)/Ecran)*'Calculs 3D'!$E$31)),0)</f>
        <v>1.8247604233619069E-2</v>
      </c>
      <c r="I216" s="105">
        <f>IF(Body2Actif=TRUE,((((($B216*$H$4)+'Calculs 3D'!$C$7-OffsetX)/Ecran)*'Calculs 3D'!$C$32)+(((($C216*$H$4)+'Calculs 3D'!$D$7-OffsetY)/Ecran)*'Calculs 3D'!$D$32)+(((($D216*$H$4)+'Calculs 3D'!$E$7-OffsetZ)/Ecran)*'Calculs 3D'!$E$32)),0)</f>
        <v>2.442899183014368E-2</v>
      </c>
      <c r="J216" s="105">
        <f>IF(Body3Actif=TRUE,((((($B216*$J$4)+'Calculs 3D'!$C$8-OffsetX)/Ecran)*'Calculs 3D'!$C$31)+(((($C216*$J$4)+'Calculs 3D'!$D$8-OffsetY)/Ecran)*'Calculs 3D'!$D$31)+(((($D216*$J$4)+'Calculs 3D'!$E$8-OffsetZ)/Ecran)*'Calculs 3D'!$E$31)),0)</f>
        <v>0.21554882056244568</v>
      </c>
      <c r="K216" s="105">
        <f>IF(Body3Actif=TRUE,((((($B216*$J$4)+'Calculs 3D'!$C$8-OffsetX)/Ecran)*'Calculs 3D'!$C$32)+(((($C216*$J$4)+'Calculs 3D'!$D$8-OffsetY)/Ecran)*'Calculs 3D'!$D$32)+(((($D216*$J$4)+'Calculs 3D'!$E$8-OffsetZ)/Ecran)*'Calculs 3D'!$E$32)),0)</f>
        <v>-8.3485314768316304E-2</v>
      </c>
      <c r="L216" s="105">
        <f>IF(Body4Actif=TRUE,((((($B216*$L$4)+'Calculs 3D'!$C$9-OffsetX)/Ecran)*'Calculs 3D'!$C$31)+(((($C216*$L$4)+'Calculs 3D'!$D$9-OffsetY)/Ecran)*'Calculs 3D'!$D$31)+(((($D216*$L$4)+'Calculs 3D'!$E$9-OffsetZ)/Ecran)*'Calculs 3D'!$E$31)),0)</f>
        <v>-9.8571480427727884E-2</v>
      </c>
      <c r="M216" s="105">
        <f>IF(Body4Actif=TRUE,((((($B216*$L$4)+'Calculs 3D'!$C$9-OffsetX)/Ecran)*'Calculs 3D'!$C$32)+(((($C216*$L$4)+'Calculs 3D'!$D$9-OffsetY)/Ecran)*'Calculs 3D'!$D$32)+(((($D216*$L$4)+'Calculs 3D'!$E$9-OffsetZ)/Ecran)*'Calculs 3D'!$E$32)),0)</f>
        <v>-0.17551408012655736</v>
      </c>
      <c r="N216" s="105">
        <f>IF(Body5Actif=TRUE,((((($B216*$N$4)+'Calculs 3D'!$C$10-OffsetX)/Ecran)*'Calculs 3D'!$C$31)+(((($C216*$N$4)+'Calculs 3D'!$D$10-OffsetY)/Ecran)*'Calculs 3D'!$D$31)+(((($D216*$N$4)+'Calculs 3D'!$E$10-OffsetZ)/Ecran)*'Calculs 3D'!$E$31)),0)</f>
        <v>-3.7625614317179359E-3</v>
      </c>
      <c r="O216" s="105">
        <f>IF(Body5Actif=TRUE,((((($B216*$N$4)+'Calculs 3D'!$C$10-OffsetX)/Ecran)*'Calculs 3D'!$C$32)+(((($C216*$N$4)+'Calculs 3D'!$D$10-OffsetY)/Ecran)*'Calculs 3D'!$D$32)+(((($D216*$N$4)+'Calculs 3D'!$E$10-OffsetZ)/Ecran)*'Calculs 3D'!$E$32)),0)</f>
        <v>-9.0819305778592884E-3</v>
      </c>
      <c r="P216" s="105">
        <f>IF(Body6Actif=TRUE,((((($B216*$P$4)+'Calculs 3D'!$C$11-OffsetX)/Ecran)*'Calculs 3D'!$C$31)+(((($C216*$P$4)+'Calculs 3D'!$D$11-OffsetY)/Ecran)*'Calculs 3D'!$D$31)+(((($D216*$P$4)+'Calculs 3D'!$E$11-OffsetZ)/Ecran)*'Calculs 3D'!$E$31)),0)</f>
        <v>0.16398403398170758</v>
      </c>
      <c r="Q216" s="105">
        <f>IF(Body6Actif=TRUE,((((($B216*$P$4)+'Calculs 3D'!$C$11-OffsetX)/Ecran)*'Calculs 3D'!$C$32)+(((($C216*$P$4)+'Calculs 3D'!$D$11-OffsetY)/Ecran)*'Calculs 3D'!$D$32)+(((($D216*$P$4)+'Calculs 3D'!$E$11-OffsetZ)/Ecran)*'Calculs 3D'!$E$32)),0)</f>
        <v>0.12711098283953284</v>
      </c>
      <c r="R216" s="105">
        <f>IF(Body7Actif=TRUE,((((($B216*$R$4)+'Calculs 3D'!$C$12-OffsetX)/Ecran)*'Calculs 3D'!$C$31)+(((($C216*$R$4)+'Calculs 3D'!$D$12-OffsetY)/Ecran)*'Calculs 3D'!$D$31)+(((($D216*$R$4)+'Calculs 3D'!$E$12-OffsetZ)/Ecran)*'Calculs 3D'!$E$31)),0)</f>
        <v>-0.28745960048482933</v>
      </c>
      <c r="S216" s="105">
        <f>IF(Body7Actif=TRUE,((((($B216*$R$4)+'Calculs 3D'!$C$12-OffsetX)/Ecran)*'Calculs 3D'!$C$32)+(((($C216*$R$4)+'Calculs 3D'!$D$12-OffsetY)/Ecran)*'Calculs 3D'!$D$32)+(((($D216*$R$4)+'Calculs 3D'!$E$12-OffsetZ)/Ecran)*'Calculs 3D'!$E$32)),0)</f>
        <v>5.6374369851828865E-2</v>
      </c>
      <c r="T216" s="105">
        <f>IF(Body8Actif=TRUE,((((($B216*$T$4)+'Calculs 3D'!$C$13-OffsetX)/Ecran)*'Calculs 3D'!$C$31)+(((($C216*$T$4)+'Calculs 3D'!$D$13-OffsetY)/Ecran)*'Calculs 3D'!$D$31)+(((($D216*$T$4)+'Calculs 3D'!$E$13-OffsetZ)/Ecran)*'Calculs 3D'!$E$31)),0)</f>
        <v>0.16574672766819726</v>
      </c>
      <c r="U216" s="105">
        <f>IF(Body8Actif=TRUE,((((($B216*$T$4)+'Calculs 3D'!$C$13-OffsetX)/Ecran)*'Calculs 3D'!$C$32)+(((($C216*$T$4)+'Calculs 3D'!$D$13-OffsetY)/Ecran)*'Calculs 3D'!$D$32)+(((($D216*$T$4)+'Calculs 3D'!$E$13-OffsetZ)/Ecran)*'Calculs 3D'!$E$32)),0)</f>
        <v>-0.13272403799087495</v>
      </c>
      <c r="V216" s="105">
        <f>IF(Body9Actif=TRUE,((((($B216*$V$4)+'Calculs 3D'!$C$14-OffsetX)/Ecran)*'Calculs 3D'!$C$31)+(((($C216*$V$4)+'Calculs 3D'!$D$14-OffsetY)/Ecran)*'Calculs 3D'!$D$31)+(((($D216*$V$4)+'Calculs 3D'!$E$14-OffsetZ)/Ecran)*'Calculs 3D'!$E$31)),0)</f>
        <v>-0.18102235374066755</v>
      </c>
      <c r="W216" s="105">
        <f>IF(Body9Actif=TRUE,((((($B216*$V$4)+'Calculs 3D'!$C$14-OffsetX)/Ecran)*'Calculs 3D'!$C$32)+(((($C216*$V$4)+'Calculs 3D'!$D$14-OffsetY)/Ecran)*'Calculs 3D'!$D$32)+(((($D216*$V$4)+'Calculs 3D'!$E$14-OffsetZ)/Ecran)*'Calculs 3D'!$E$32)),0)</f>
        <v>0.28568562717257867</v>
      </c>
      <c r="X216" s="105">
        <f>IF(Body10Actif=TRUE,((((($B216*$X$4)+'Calculs 3D'!$C$15-OffsetX)/Ecran)*'Calculs 3D'!$C$31)+(((($C216*$X$4)+'Calculs 3D'!$D$15-OffsetY)/Ecran)*'Calculs 3D'!$D$31)+(((($D216*$X$4)+'Calculs 3D'!$E$15-OffsetZ)/Ecran)*'Calculs 3D'!$E$31)),0)</f>
        <v>-2.0519436467203528E-2</v>
      </c>
      <c r="Y216" s="105">
        <f>IF(Body10Actif=TRUE,((((($B216*$X$4)+'Calculs 3D'!$C$15-OffsetX)/Ecran)*'Calculs 3D'!$C$32)+(((($C216*$X$4)+'Calculs 3D'!$D$15-OffsetY)/Ecran)*'Calculs 3D'!$D$32)+(((($D216*$X$4)+'Calculs 3D'!$E$15-OffsetZ)/Ecran)*'Calculs 3D'!$E$32)),0)</f>
        <v>0.28803438863495345</v>
      </c>
    </row>
    <row r="217" spans="2:25" x14ac:dyDescent="0.3">
      <c r="B217" s="102">
        <v>-0.80901699437494734</v>
      </c>
      <c r="C217" s="102">
        <v>0</v>
      </c>
      <c r="D217" s="102">
        <v>-0.58778525229247325</v>
      </c>
      <c r="F217" s="105">
        <f>IF(Body1Actif=TRUE,((((($B217*$F$4)+'Calculs 3D'!$C$6-OffsetX)/Ecran)*'Calculs 3D'!$C$31)+(((($C217*$F$4)+'Calculs 3D'!$D$6-OffsetY)/Ecran)*'Calculs 3D'!$D$31)+(((($D217*$F$4)+'Calculs 3D'!$E$6-OffsetZ)/Ecran)*'Calculs 3D'!$E$31)),0)</f>
        <v>4.8107195429571641E-2</v>
      </c>
      <c r="G217" s="105">
        <f>IF(Body1Actif=TRUE,((((($B217*$F$4)+'Calculs 3D'!$C$6-OffsetX)/Ecran)*'Calculs 3D'!$C$32)+(((($C217*$F$4)+'Calculs 3D'!$D$6-OffsetY)/Ecran)*'Calculs 3D'!$D$32)+(((($D217*$F$4)+'Calculs 3D'!$E$6-OffsetZ)/Ecran)*'Calculs 3D'!$E$32)),0)</f>
        <v>0.26331253033427576</v>
      </c>
      <c r="H217" s="105">
        <f>IF(Body2Actif=TRUE,((((($B217*$H$4)+'Calculs 3D'!$C$7-OffsetX)/Ecran)*'Calculs 3D'!$C$31)+(((($C217*$H$4)+'Calculs 3D'!$D$7-OffsetY)/Ecran)*'Calculs 3D'!$D$31)+(((($D217*$H$4)+'Calculs 3D'!$E$7-OffsetZ)/Ecran)*'Calculs 3D'!$E$31)),0)</f>
        <v>1.5612712446931283E-2</v>
      </c>
      <c r="I217" s="105">
        <f>IF(Body2Actif=TRUE,((((($B217*$H$4)+'Calculs 3D'!$C$7-OffsetX)/Ecran)*'Calculs 3D'!$C$32)+(((($C217*$H$4)+'Calculs 3D'!$D$7-OffsetY)/Ecran)*'Calculs 3D'!$D$32)+(((($D217*$H$4)+'Calculs 3D'!$E$7-OffsetZ)/Ecran)*'Calculs 3D'!$E$32)),0)</f>
        <v>2.8174066559098491E-2</v>
      </c>
      <c r="J217" s="105">
        <f>IF(Body3Actif=TRUE,((((($B217*$J$4)+'Calculs 3D'!$C$8-OffsetX)/Ecran)*'Calculs 3D'!$C$31)+(((($C217*$J$4)+'Calculs 3D'!$D$8-OffsetY)/Ecran)*'Calculs 3D'!$D$31)+(((($D217*$J$4)+'Calculs 3D'!$E$8-OffsetZ)/Ecran)*'Calculs 3D'!$E$31)),0)</f>
        <v>0.2143778161219215</v>
      </c>
      <c r="K217" s="105">
        <f>IF(Body3Actif=TRUE,((((($B217*$J$4)+'Calculs 3D'!$C$8-OffsetX)/Ecran)*'Calculs 3D'!$C$32)+(((($C217*$J$4)+'Calculs 3D'!$D$8-OffsetY)/Ecran)*'Calculs 3D'!$D$32)+(((($D217*$J$4)+'Calculs 3D'!$E$8-OffsetZ)/Ecran)*'Calculs 3D'!$E$32)),0)</f>
        <v>-8.1820920367051797E-2</v>
      </c>
      <c r="L217" s="105">
        <f>IF(Body4Actif=TRUE,((((($B217*$L$4)+'Calculs 3D'!$C$9-OffsetX)/Ecran)*'Calculs 3D'!$C$31)+(((($C217*$L$4)+'Calculs 3D'!$D$9-OffsetY)/Ecran)*'Calculs 3D'!$D$31)+(((($D217*$L$4)+'Calculs 3D'!$E$9-OffsetZ)/Ecran)*'Calculs 3D'!$E$31)),0)</f>
        <v>-0.10009412882715345</v>
      </c>
      <c r="M217" s="105">
        <f>IF(Body4Actif=TRUE,((((($B217*$L$4)+'Calculs 3D'!$C$9-OffsetX)/Ecran)*'Calculs 3D'!$C$32)+(((($C217*$L$4)+'Calculs 3D'!$D$9-OffsetY)/Ecran)*'Calculs 3D'!$D$32)+(((($D217*$L$4)+'Calculs 3D'!$E$9-OffsetZ)/Ecran)*'Calculs 3D'!$E$32)),0)</f>
        <v>-0.17334988041612431</v>
      </c>
      <c r="N217" s="105">
        <f>IF(Body5Actif=TRUE,((((($B217*$N$4)+'Calculs 3D'!$C$10-OffsetX)/Ecran)*'Calculs 3D'!$C$31)+(((($C217*$N$4)+'Calculs 3D'!$D$10-OffsetY)/Ecran)*'Calculs 3D'!$D$31)+(((($D217*$N$4)+'Calculs 3D'!$E$10-OffsetZ)/Ecran)*'Calculs 3D'!$E$31)),0)</f>
        <v>-5.5008043628822509E-3</v>
      </c>
      <c r="O217" s="105">
        <f>IF(Body5Actif=TRUE,((((($B217*$N$4)+'Calculs 3D'!$C$10-OffsetX)/Ecran)*'Calculs 3D'!$C$32)+(((($C217*$N$4)+'Calculs 3D'!$D$10-OffsetY)/Ecran)*'Calculs 3D'!$D$32)+(((($D217*$N$4)+'Calculs 3D'!$E$10-OffsetZ)/Ecran)*'Calculs 3D'!$E$32)),0)</f>
        <v>-6.6112979290433426E-3</v>
      </c>
      <c r="P217" s="105">
        <f>IF(Body6Actif=TRUE,((((($B217*$P$4)+'Calculs 3D'!$C$11-OffsetX)/Ecran)*'Calculs 3D'!$C$31)+(((($C217*$P$4)+'Calculs 3D'!$D$11-OffsetY)/Ecran)*'Calculs 3D'!$D$31)+(((($D217*$P$4)+'Calculs 3D'!$E$11-OffsetZ)/Ecran)*'Calculs 3D'!$E$31)),0)</f>
        <v>0.1614650232232657</v>
      </c>
      <c r="Q217" s="105">
        <f>IF(Body6Actif=TRUE,((((($B217*$P$4)+'Calculs 3D'!$C$11-OffsetX)/Ecran)*'Calculs 3D'!$C$32)+(((($C217*$P$4)+'Calculs 3D'!$D$11-OffsetY)/Ecran)*'Calculs 3D'!$D$32)+(((($D217*$P$4)+'Calculs 3D'!$E$11-OffsetZ)/Ecran)*'Calculs 3D'!$E$32)),0)</f>
        <v>0.13069135133172999</v>
      </c>
      <c r="R217" s="105">
        <f>IF(Body7Actif=TRUE,((((($B217*$R$4)+'Calculs 3D'!$C$12-OffsetX)/Ecran)*'Calculs 3D'!$C$31)+(((($C217*$R$4)+'Calculs 3D'!$D$12-OffsetY)/Ecran)*'Calculs 3D'!$D$31)+(((($D217*$R$4)+'Calculs 3D'!$E$12-OffsetZ)/Ecran)*'Calculs 3D'!$E$31)),0)</f>
        <v>-0.28998935105837798</v>
      </c>
      <c r="S217" s="105">
        <f>IF(Body7Actif=TRUE,((((($B217*$R$4)+'Calculs 3D'!$C$12-OffsetX)/Ecran)*'Calculs 3D'!$C$32)+(((($C217*$R$4)+'Calculs 3D'!$D$12-OffsetY)/Ecran)*'Calculs 3D'!$D$32)+(((($D217*$R$4)+'Calculs 3D'!$E$12-OffsetZ)/Ecran)*'Calculs 3D'!$E$32)),0)</f>
        <v>5.9970003263197763E-2</v>
      </c>
      <c r="T217" s="105">
        <f>IF(Body8Actif=TRUE,((((($B217*$T$4)+'Calculs 3D'!$C$13-OffsetX)/Ecran)*'Calculs 3D'!$C$31)+(((($C217*$T$4)+'Calculs 3D'!$D$13-OffsetY)/Ecran)*'Calculs 3D'!$D$31)+(((($D217*$T$4)+'Calculs 3D'!$E$13-OffsetZ)/Ecran)*'Calculs 3D'!$E$31)),0)</f>
        <v>0.16483434659948379</v>
      </c>
      <c r="U217" s="105">
        <f>IF(Body8Actif=TRUE,((((($B217*$T$4)+'Calculs 3D'!$C$13-OffsetX)/Ecran)*'Calculs 3D'!$C$32)+(((($C217*$T$4)+'Calculs 3D'!$D$13-OffsetY)/Ecran)*'Calculs 3D'!$D$32)+(((($D217*$T$4)+'Calculs 3D'!$E$13-OffsetZ)/Ecran)*'Calculs 3D'!$E$32)),0)</f>
        <v>-0.13142723510095022</v>
      </c>
      <c r="V217" s="105">
        <f>IF(Body9Actif=TRUE,((((($B217*$V$4)+'Calculs 3D'!$C$14-OffsetX)/Ecran)*'Calculs 3D'!$C$31)+(((($C217*$V$4)+'Calculs 3D'!$D$14-OffsetY)/Ecran)*'Calculs 3D'!$D$31)+(((($D217*$V$4)+'Calculs 3D'!$E$14-OffsetZ)/Ecran)*'Calculs 3D'!$E$31)),0)</f>
        <v>-0.18228829701776475</v>
      </c>
      <c r="W217" s="105">
        <f>IF(Body9Actif=TRUE,((((($B217*$V$4)+'Calculs 3D'!$C$14-OffsetX)/Ecran)*'Calculs 3D'!$C$32)+(((($C217*$V$4)+'Calculs 3D'!$D$14-OffsetY)/Ecran)*'Calculs 3D'!$D$32)+(((($D217*$V$4)+'Calculs 3D'!$E$14-OffsetZ)/Ecran)*'Calculs 3D'!$E$32)),0)</f>
        <v>0.28748496185467071</v>
      </c>
      <c r="X217" s="105">
        <f>IF(Body10Actif=TRUE,((((($B217*$X$4)+'Calculs 3D'!$C$15-OffsetX)/Ecran)*'Calculs 3D'!$C$31)+(((($C217*$X$4)+'Calculs 3D'!$D$15-OffsetY)/Ecran)*'Calculs 3D'!$D$31)+(((($D217*$X$4)+'Calculs 3D'!$E$15-OffsetZ)/Ecran)*'Calculs 3D'!$E$31)),0)</f>
        <v>-2.2430319732416631E-2</v>
      </c>
      <c r="Y217" s="105">
        <f>IF(Body10Actif=TRUE,((((($B217*$X$4)+'Calculs 3D'!$C$15-OffsetX)/Ecran)*'Calculs 3D'!$C$32)+(((($C217*$X$4)+'Calculs 3D'!$D$15-OffsetY)/Ecran)*'Calculs 3D'!$D$32)+(((($D217*$X$4)+'Calculs 3D'!$E$15-OffsetZ)/Ecran)*'Calculs 3D'!$E$32)),0)</f>
        <v>0.2907504017413316</v>
      </c>
    </row>
    <row r="218" spans="2:25" x14ac:dyDescent="0.3">
      <c r="B218" s="102">
        <v>-0.95105651629515353</v>
      </c>
      <c r="C218" s="102">
        <v>0</v>
      </c>
      <c r="D218" s="102">
        <v>-0.30901699437494756</v>
      </c>
      <c r="F218" s="105">
        <f>IF(Body1Actif=TRUE,((((($B218*$F$4)+'Calculs 3D'!$C$6-OffsetX)/Ecran)*'Calculs 3D'!$C$31)+(((($C218*$F$4)+'Calculs 3D'!$D$6-OffsetY)/Ecran)*'Calculs 3D'!$D$31)+(((($D218*$F$4)+'Calculs 3D'!$E$6-OffsetZ)/Ecran)*'Calculs 3D'!$E$31)),0)</f>
        <v>4.7673188685550899E-2</v>
      </c>
      <c r="G218" s="105">
        <f>IF(Body1Actif=TRUE,((((($B218*$F$4)+'Calculs 3D'!$C$6-OffsetX)/Ecran)*'Calculs 3D'!$C$32)+(((($C218*$F$4)+'Calculs 3D'!$D$6-OffsetY)/Ecran)*'Calculs 3D'!$D$32)+(((($D218*$F$4)+'Calculs 3D'!$E$6-OffsetZ)/Ecran)*'Calculs 3D'!$E$32)),0)</f>
        <v>0.26433633283924735</v>
      </c>
      <c r="H218" s="105">
        <f>IF(Body2Actif=TRUE,((((($B218*$H$4)+'Calculs 3D'!$C$7-OffsetX)/Ecran)*'Calculs 3D'!$C$31)+(((($C218*$H$4)+'Calculs 3D'!$D$7-OffsetY)/Ecran)*'Calculs 3D'!$D$31)+(((($D218*$H$4)+'Calculs 3D'!$E$7-OffsetZ)/Ecran)*'Calculs 3D'!$E$31)),0)</f>
        <v>1.392100778389478E-2</v>
      </c>
      <c r="I218" s="105">
        <f>IF(Body2Actif=TRUE,((((($B218*$H$4)+'Calculs 3D'!$C$7-OffsetX)/Ecran)*'Calculs 3D'!$C$32)+(((($C218*$H$4)+'Calculs 3D'!$D$7-OffsetY)/Ecran)*'Calculs 3D'!$D$32)+(((($D218*$H$4)+'Calculs 3D'!$E$7-OffsetZ)/Ecran)*'Calculs 3D'!$E$32)),0)</f>
        <v>3.2164722224131546E-2</v>
      </c>
      <c r="J218" s="105">
        <f>IF(Body3Actif=TRUE,((((($B218*$J$4)+'Calculs 3D'!$C$8-OffsetX)/Ecran)*'Calculs 3D'!$C$31)+(((($C218*$J$4)+'Calculs 3D'!$D$8-OffsetY)/Ecran)*'Calculs 3D'!$D$31)+(((($D218*$J$4)+'Calculs 3D'!$E$8-OffsetZ)/Ecran)*'Calculs 3D'!$E$31)),0)</f>
        <v>0.21362598499076091</v>
      </c>
      <c r="K218" s="105">
        <f>IF(Body3Actif=TRUE,((((($B218*$J$4)+'Calculs 3D'!$C$8-OffsetX)/Ecran)*'Calculs 3D'!$C$32)+(((($C218*$J$4)+'Calculs 3D'!$D$8-OffsetY)/Ecran)*'Calculs 3D'!$D$32)+(((($D218*$J$4)+'Calculs 3D'!$E$8-OffsetZ)/Ecran)*'Calculs 3D'!$E$32)),0)</f>
        <v>-8.0047384342549224E-2</v>
      </c>
      <c r="L218" s="105">
        <f>IF(Body4Actif=TRUE,((((($B218*$L$4)+'Calculs 3D'!$C$9-OffsetX)/Ecran)*'Calculs 3D'!$C$31)+(((($C218*$L$4)+'Calculs 3D'!$D$9-OffsetY)/Ecran)*'Calculs 3D'!$D$31)+(((($D218*$L$4)+'Calculs 3D'!$E$9-OffsetZ)/Ecran)*'Calculs 3D'!$E$31)),0)</f>
        <v>-0.10107172927757319</v>
      </c>
      <c r="M218" s="105">
        <f>IF(Body4Actif=TRUE,((((($B218*$L$4)+'Calculs 3D'!$C$9-OffsetX)/Ecran)*'Calculs 3D'!$C$32)+(((($C218*$L$4)+'Calculs 3D'!$D$9-OffsetY)/Ecran)*'Calculs 3D'!$D$32)+(((($D218*$L$4)+'Calculs 3D'!$E$9-OffsetZ)/Ecran)*'Calculs 3D'!$E$32)),0)</f>
        <v>-0.17104376466149615</v>
      </c>
      <c r="N218" s="105">
        <f>IF(Body5Actif=TRUE,((((($B218*$N$4)+'Calculs 3D'!$C$10-OffsetX)/Ecran)*'Calculs 3D'!$C$31)+(((($C218*$N$4)+'Calculs 3D'!$D$10-OffsetY)/Ecran)*'Calculs 3D'!$D$31)+(((($D218*$N$4)+'Calculs 3D'!$E$10-OffsetZ)/Ecran)*'Calculs 3D'!$E$31)),0)</f>
        <v>-6.6168250233881705E-3</v>
      </c>
      <c r="O218" s="105">
        <f>IF(Body5Actif=TRUE,((((($B218*$N$4)+'Calculs 3D'!$C$10-OffsetX)/Ecran)*'Calculs 3D'!$C$32)+(((($C218*$N$4)+'Calculs 3D'!$D$10-OffsetY)/Ecran)*'Calculs 3D'!$D$32)+(((($D218*$N$4)+'Calculs 3D'!$E$10-OffsetZ)/Ecran)*'Calculs 3D'!$E$32)),0)</f>
        <v>-3.9786550875039531E-3</v>
      </c>
      <c r="P218" s="105">
        <f>IF(Body6Actif=TRUE,((((($B218*$P$4)+'Calculs 3D'!$C$11-OffsetX)/Ecran)*'Calculs 3D'!$C$31)+(((($C218*$P$4)+'Calculs 3D'!$D$11-OffsetY)/Ecran)*'Calculs 3D'!$D$31)+(((($D218*$P$4)+'Calculs 3D'!$E$11-OffsetZ)/Ecran)*'Calculs 3D'!$E$31)),0)</f>
        <v>0.15984771876020382</v>
      </c>
      <c r="Q218" s="105">
        <f>IF(Body6Actif=TRUE,((((($B218*$P$4)+'Calculs 3D'!$C$11-OffsetX)/Ecran)*'Calculs 3D'!$C$32)+(((($C218*$P$4)+'Calculs 3D'!$D$11-OffsetY)/Ecran)*'Calculs 3D'!$D$32)+(((($D218*$P$4)+'Calculs 3D'!$E$11-OffsetZ)/Ecran)*'Calculs 3D'!$E$32)),0)</f>
        <v>0.13450650025140987</v>
      </c>
      <c r="R218" s="105">
        <f>IF(Body7Actif=TRUE,((((($B218*$R$4)+'Calculs 3D'!$C$12-OffsetX)/Ecran)*'Calculs 3D'!$C$31)+(((($C218*$R$4)+'Calculs 3D'!$D$12-OffsetY)/Ecran)*'Calculs 3D'!$D$31)+(((($D218*$R$4)+'Calculs 3D'!$E$12-OffsetZ)/Ecran)*'Calculs 3D'!$E$31)),0)</f>
        <v>-0.29161355090719654</v>
      </c>
      <c r="S218" s="105">
        <f>IF(Body7Actif=TRUE,((((($B218*$R$4)+'Calculs 3D'!$C$12-OffsetX)/Ecran)*'Calculs 3D'!$C$32)+(((($C218*$R$4)+'Calculs 3D'!$D$12-OffsetY)/Ecran)*'Calculs 3D'!$D$32)+(((($D218*$R$4)+'Calculs 3D'!$E$12-OffsetZ)/Ecran)*'Calculs 3D'!$E$32)),0)</f>
        <v>6.3801418089589182E-2</v>
      </c>
      <c r="T218" s="105">
        <f>IF(Body8Actif=TRUE,((((($B218*$T$4)+'Calculs 3D'!$C$13-OffsetX)/Ecran)*'Calculs 3D'!$C$31)+(((($C218*$T$4)+'Calculs 3D'!$D$13-OffsetY)/Ecran)*'Calculs 3D'!$D$31)+(((($D218*$T$4)+'Calculs 3D'!$E$13-OffsetZ)/Ecran)*'Calculs 3D'!$E$31)),0)</f>
        <v>0.16424856189431794</v>
      </c>
      <c r="U218" s="105">
        <f>IF(Body8Actif=TRUE,((((($B218*$T$4)+'Calculs 3D'!$C$13-OffsetX)/Ecran)*'Calculs 3D'!$C$32)+(((($C218*$T$4)+'Calculs 3D'!$D$13-OffsetY)/Ecran)*'Calculs 3D'!$D$32)+(((($D218*$T$4)+'Calculs 3D'!$E$13-OffsetZ)/Ecran)*'Calculs 3D'!$E$32)),0)</f>
        <v>-0.13004539517153618</v>
      </c>
      <c r="V218" s="105">
        <f>IF(Body9Actif=TRUE,((((($B218*$V$4)+'Calculs 3D'!$C$14-OffsetX)/Ecran)*'Calculs 3D'!$C$31)+(((($C218*$V$4)+'Calculs 3D'!$D$14-OffsetY)/Ecran)*'Calculs 3D'!$D$31)+(((($D218*$V$4)+'Calculs 3D'!$E$14-OffsetZ)/Ecran)*'Calculs 3D'!$E$31)),0)</f>
        <v>-0.1831010826341703</v>
      </c>
      <c r="W218" s="105">
        <f>IF(Body9Actif=TRUE,((((($B218*$V$4)+'Calculs 3D'!$C$14-OffsetX)/Ecran)*'Calculs 3D'!$C$32)+(((($C218*$V$4)+'Calculs 3D'!$D$14-OffsetY)/Ecran)*'Calculs 3D'!$D$32)+(((($D218*$V$4)+'Calculs 3D'!$E$14-OffsetZ)/Ecran)*'Calculs 3D'!$E$32)),0)</f>
        <v>0.28940228678462881</v>
      </c>
      <c r="X218" s="105">
        <f>IF(Body10Actif=TRUE,((((($B218*$X$4)+'Calculs 3D'!$C$15-OffsetX)/Ecran)*'Calculs 3D'!$C$31)+(((($C218*$X$4)+'Calculs 3D'!$D$15-OffsetY)/Ecran)*'Calculs 3D'!$D$31)+(((($D218*$X$4)+'Calculs 3D'!$E$15-OffsetZ)/Ecran)*'Calculs 3D'!$E$31)),0)</f>
        <v>-2.3657182310459407E-2</v>
      </c>
      <c r="Y218" s="105">
        <f>IF(Body10Actif=TRUE,((((($B218*$X$4)+'Calculs 3D'!$C$15-OffsetX)/Ecran)*'Calculs 3D'!$C$32)+(((($C218*$X$4)+'Calculs 3D'!$D$15-OffsetY)/Ecran)*'Calculs 3D'!$D$32)+(((($D218*$X$4)+'Calculs 3D'!$E$15-OffsetZ)/Ecran)*'Calculs 3D'!$E$32)),0)</f>
        <v>0.29364451571066674</v>
      </c>
    </row>
    <row r="219" spans="2:25" x14ac:dyDescent="0.3">
      <c r="B219" s="102">
        <v>-1</v>
      </c>
      <c r="C219" s="102">
        <v>0</v>
      </c>
      <c r="D219" s="102">
        <v>-1.83772268236293E-16</v>
      </c>
      <c r="F219" s="105">
        <f>IF(Body1Actif=TRUE,((((($B219*$F$4)+'Calculs 3D'!$C$6-OffsetX)/Ecran)*'Calculs 3D'!$C$31)+(((($C219*$F$4)+'Calculs 3D'!$D$6-OffsetY)/Ecran)*'Calculs 3D'!$D$31)+(((($D219*$F$4)+'Calculs 3D'!$E$6-OffsetZ)/Ecran)*'Calculs 3D'!$E$31)),0)</f>
        <v>4.7523640153447934E-2</v>
      </c>
      <c r="G219" s="105">
        <f>IF(Body1Actif=TRUE,((((($B219*$F$4)+'Calculs 3D'!$C$6-OffsetX)/Ecran)*'Calculs 3D'!$C$32)+(((($C219*$F$4)+'Calculs 3D'!$D$6-OffsetY)/Ecran)*'Calculs 3D'!$D$32)+(((($D219*$F$4)+'Calculs 3D'!$E$6-OffsetZ)/Ecran)*'Calculs 3D'!$E$32)),0)</f>
        <v>0.26532292219826131</v>
      </c>
      <c r="H219" s="105">
        <f>IF(Body2Actif=TRUE,((((($B219*$H$4)+'Calculs 3D'!$C$7-OffsetX)/Ecran)*'Calculs 3D'!$C$31)+(((($C219*$H$4)+'Calculs 3D'!$D$7-OffsetY)/Ecran)*'Calculs 3D'!$D$31)+(((($D219*$H$4)+'Calculs 3D'!$E$7-OffsetZ)/Ecran)*'Calculs 3D'!$E$31)),0)</f>
        <v>1.3338086083727038E-2</v>
      </c>
      <c r="I219" s="105">
        <f>IF(Body2Actif=TRUE,((((($B219*$H$4)+'Calculs 3D'!$C$7-OffsetX)/Ecran)*'Calculs 3D'!$C$32)+(((($C219*$H$4)+'Calculs 3D'!$D$7-OffsetY)/Ecran)*'Calculs 3D'!$D$32)+(((($D219*$H$4)+'Calculs 3D'!$E$7-OffsetZ)/Ecran)*'Calculs 3D'!$E$32)),0)</f>
        <v>3.601032564421644E-2</v>
      </c>
      <c r="J219" s="105">
        <f>IF(Body3Actif=TRUE,((((($B219*$J$4)+'Calculs 3D'!$C$8-OffsetX)/Ecran)*'Calculs 3D'!$C$31)+(((($C219*$J$4)+'Calculs 3D'!$D$8-OffsetY)/Ecran)*'Calculs 3D'!$D$31)+(((($D219*$J$4)+'Calculs 3D'!$E$8-OffsetZ)/Ecran)*'Calculs 3D'!$E$31)),0)</f>
        <v>0.21336692163839743</v>
      </c>
      <c r="K219" s="105">
        <f>IF(Body3Actif=TRUE,((((($B219*$J$4)+'Calculs 3D'!$C$8-OffsetX)/Ecran)*'Calculs 3D'!$C$32)+(((($C219*$J$4)+'Calculs 3D'!$D$8-OffsetY)/Ecran)*'Calculs 3D'!$D$32)+(((($D219*$J$4)+'Calculs 3D'!$E$8-OffsetZ)/Ecran)*'Calculs 3D'!$E$32)),0)</f>
        <v>-7.8338312757839063E-2</v>
      </c>
      <c r="L219" s="105">
        <f>IF(Body4Actif=TRUE,((((($B219*$L$4)+'Calculs 3D'!$C$9-OffsetX)/Ecran)*'Calculs 3D'!$C$31)+(((($C219*$L$4)+'Calculs 3D'!$D$9-OffsetY)/Ecran)*'Calculs 3D'!$D$31)+(((($D219*$L$4)+'Calculs 3D'!$E$9-OffsetZ)/Ecran)*'Calculs 3D'!$E$31)),0)</f>
        <v>-0.1014085874355572</v>
      </c>
      <c r="M219" s="105">
        <f>IF(Body4Actif=TRUE,((((($B219*$L$4)+'Calculs 3D'!$C$9-OffsetX)/Ecran)*'Calculs 3D'!$C$32)+(((($C219*$L$4)+'Calculs 3D'!$D$9-OffsetY)/Ecran)*'Calculs 3D'!$D$32)+(((($D219*$L$4)+'Calculs 3D'!$E$9-OffsetZ)/Ecran)*'Calculs 3D'!$E$32)),0)</f>
        <v>-0.16882147154038912</v>
      </c>
      <c r="N219" s="105">
        <f>IF(Body5Actif=TRUE,((((($B219*$N$4)+'Calculs 3D'!$C$10-OffsetX)/Ecran)*'Calculs 3D'!$C$31)+(((($C219*$N$4)+'Calculs 3D'!$D$10-OffsetY)/Ecran)*'Calculs 3D'!$D$31)+(((($D219*$N$4)+'Calculs 3D'!$E$10-OffsetZ)/Ecran)*'Calculs 3D'!$E$31)),0)</f>
        <v>-7.0013795352121986E-3</v>
      </c>
      <c r="O219" s="105">
        <f>IF(Body5Actif=TRUE,((((($B219*$N$4)+'Calculs 3D'!$C$10-OffsetX)/Ecran)*'Calculs 3D'!$C$32)+(((($C219*$N$4)+'Calculs 3D'!$D$10-OffsetY)/Ecran)*'Calculs 3D'!$D$32)+(((($D219*$N$4)+'Calculs 3D'!$E$10-OffsetZ)/Ecran)*'Calculs 3D'!$E$32)),0)</f>
        <v>-1.4417034772722399E-3</v>
      </c>
      <c r="P219" s="105">
        <f>IF(Body6Actif=TRUE,((((($B219*$P$4)+'Calculs 3D'!$C$11-OffsetX)/Ecran)*'Calculs 3D'!$C$31)+(((($C219*$P$4)+'Calculs 3D'!$D$11-OffsetY)/Ecran)*'Calculs 3D'!$D$31)+(((($D219*$P$4)+'Calculs 3D'!$E$11-OffsetZ)/Ecran)*'Calculs 3D'!$E$31)),0)</f>
        <v>0.15929043362178924</v>
      </c>
      <c r="Q219" s="105">
        <f>IF(Body6Actif=TRUE,((((($B219*$P$4)+'Calculs 3D'!$C$11-OffsetX)/Ecran)*'Calculs 3D'!$C$32)+(((($C219*$P$4)+'Calculs 3D'!$D$11-OffsetY)/Ecran)*'Calculs 3D'!$D$32)+(((($D219*$P$4)+'Calculs 3D'!$E$11-OffsetZ)/Ecran)*'Calculs 3D'!$E$32)),0)</f>
        <v>0.13818297624060863</v>
      </c>
      <c r="R219" s="105">
        <f>IF(Body7Actif=TRUE,((((($B219*$R$4)+'Calculs 3D'!$C$12-OffsetX)/Ecran)*'Calculs 3D'!$C$31)+(((($C219*$R$4)+'Calculs 3D'!$D$12-OffsetY)/Ecran)*'Calculs 3D'!$D$31)+(((($D219*$R$4)+'Calculs 3D'!$E$12-OffsetZ)/Ecran)*'Calculs 3D'!$E$31)),0)</f>
        <v>-0.29217321203361679</v>
      </c>
      <c r="S219" s="105">
        <f>IF(Body7Actif=TRUE,((((($B219*$R$4)+'Calculs 3D'!$C$12-OffsetX)/Ecran)*'Calculs 3D'!$C$32)+(((($C219*$R$4)+'Calculs 3D'!$D$12-OffsetY)/Ecran)*'Calculs 3D'!$D$32)+(((($D219*$R$4)+'Calculs 3D'!$E$12-OffsetZ)/Ecran)*'Calculs 3D'!$E$32)),0)</f>
        <v>6.7493568752759178E-2</v>
      </c>
      <c r="T219" s="105">
        <f>IF(Body8Actif=TRUE,((((($B219*$T$4)+'Calculs 3D'!$C$13-OffsetX)/Ecran)*'Calculs 3D'!$C$31)+(((($C219*$T$4)+'Calculs 3D'!$D$13-OffsetY)/Ecran)*'Calculs 3D'!$D$31)+(((($D219*$T$4)+'Calculs 3D'!$E$13-OffsetZ)/Ecran)*'Calculs 3D'!$E$31)),0)</f>
        <v>0.16404671424104339</v>
      </c>
      <c r="U219" s="105">
        <f>IF(Body8Actif=TRUE,((((($B219*$T$4)+'Calculs 3D'!$C$13-OffsetX)/Ecran)*'Calculs 3D'!$C$32)+(((($C219*$T$4)+'Calculs 3D'!$D$13-OffsetY)/Ecran)*'Calculs 3D'!$D$32)+(((($D219*$T$4)+'Calculs 3D'!$E$13-OffsetZ)/Ecran)*'Calculs 3D'!$E$32)),0)</f>
        <v>-0.12871378232276875</v>
      </c>
      <c r="V219" s="105">
        <f>IF(Body9Actif=TRUE,((((($B219*$V$4)+'Calculs 3D'!$C$14-OffsetX)/Ecran)*'Calculs 3D'!$C$31)+(((($C219*$V$4)+'Calculs 3D'!$D$14-OffsetY)/Ecran)*'Calculs 3D'!$D$31)+(((($D219*$V$4)+'Calculs 3D'!$E$14-OffsetZ)/Ecran)*'Calculs 3D'!$E$31)),0)</f>
        <v>-0.18338114947074011</v>
      </c>
      <c r="W219" s="105">
        <f>IF(Body9Actif=TRUE,((((($B219*$V$4)+'Calculs 3D'!$C$14-OffsetX)/Ecran)*'Calculs 3D'!$C$32)+(((($C219*$V$4)+'Calculs 3D'!$D$14-OffsetY)/Ecran)*'Calculs 3D'!$D$32)+(((($D219*$V$4)+'Calculs 3D'!$E$14-OffsetZ)/Ecran)*'Calculs 3D'!$E$32)),0)</f>
        <v>0.29124992083952034</v>
      </c>
      <c r="X219" s="105">
        <f>IF(Body10Actif=TRUE,((((($B219*$X$4)+'Calculs 3D'!$C$15-OffsetX)/Ecran)*'Calculs 3D'!$C$31)+(((($C219*$X$4)+'Calculs 3D'!$D$15-OffsetY)/Ecran)*'Calculs 3D'!$D$31)+(((($D219*$X$4)+'Calculs 3D'!$E$15-OffsetZ)/Ecran)*'Calculs 3D'!$E$31)),0)</f>
        <v>-2.4079930344138745E-2</v>
      </c>
      <c r="Y219" s="105">
        <f>IF(Body10Actif=TRUE,((((($B219*$X$4)+'Calculs 3D'!$C$15-OffsetX)/Ecran)*'Calculs 3D'!$C$32)+(((($C219*$X$4)+'Calculs 3D'!$D$15-OffsetY)/Ecran)*'Calculs 3D'!$D$32)+(((($D219*$X$4)+'Calculs 3D'!$E$15-OffsetZ)/Ecran)*'Calculs 3D'!$E$32)),0)</f>
        <v>0.29643343450316256</v>
      </c>
    </row>
    <row r="220" spans="2:25" x14ac:dyDescent="0.3">
      <c r="B220" s="102">
        <v>-0.95105651629515364</v>
      </c>
      <c r="C220" s="102">
        <v>0</v>
      </c>
      <c r="D220" s="102">
        <v>0.30901699437494723</v>
      </c>
      <c r="F220" s="105">
        <f>IF(Body1Actif=TRUE,((((($B220*$F$4)+'Calculs 3D'!$C$6-OffsetX)/Ecran)*'Calculs 3D'!$C$31)+(((($C220*$F$4)+'Calculs 3D'!$D$6-OffsetY)/Ecran)*'Calculs 3D'!$D$31)+(((($D220*$F$4)+'Calculs 3D'!$E$6-OffsetZ)/Ecran)*'Calculs 3D'!$E$31)),0)</f>
        <v>4.7673188685550899E-2</v>
      </c>
      <c r="G220" s="105">
        <f>IF(Body1Actif=TRUE,((((($B220*$F$4)+'Calculs 3D'!$C$6-OffsetX)/Ecran)*'Calculs 3D'!$C$32)+(((($C220*$F$4)+'Calculs 3D'!$D$6-OffsetY)/Ecran)*'Calculs 3D'!$D$32)+(((($D220*$F$4)+'Calculs 3D'!$E$6-OffsetZ)/Ecran)*'Calculs 3D'!$E$32)),0)</f>
        <v>0.26617572417088498</v>
      </c>
      <c r="H220" s="105">
        <f>IF(Body2Actif=TRUE,((((($B220*$H$4)+'Calculs 3D'!$C$7-OffsetX)/Ecran)*'Calculs 3D'!$C$31)+(((($C220*$H$4)+'Calculs 3D'!$D$7-OffsetY)/Ecran)*'Calculs 3D'!$D$31)+(((($D220*$H$4)+'Calculs 3D'!$E$7-OffsetZ)/Ecran)*'Calculs 3D'!$E$31)),0)</f>
        <v>1.3921007783894778E-2</v>
      </c>
      <c r="I220" s="105">
        <f>IF(Body2Actif=TRUE,((((($B220*$H$4)+'Calculs 3D'!$C$7-OffsetX)/Ecran)*'Calculs 3D'!$C$32)+(((($C220*$H$4)+'Calculs 3D'!$D$7-OffsetY)/Ecran)*'Calculs 3D'!$D$32)+(((($D220*$H$4)+'Calculs 3D'!$E$7-OffsetZ)/Ecran)*'Calculs 3D'!$E$32)),0)</f>
        <v>3.9334442362700714E-2</v>
      </c>
      <c r="J220" s="105">
        <f>IF(Body3Actif=TRUE,((((($B220*$J$4)+'Calculs 3D'!$C$8-OffsetX)/Ecran)*'Calculs 3D'!$C$31)+(((($C220*$J$4)+'Calculs 3D'!$D$8-OffsetY)/Ecran)*'Calculs 3D'!$D$31)+(((($D220*$J$4)+'Calculs 3D'!$E$8-OffsetZ)/Ecran)*'Calculs 3D'!$E$31)),0)</f>
        <v>0.21362598499076091</v>
      </c>
      <c r="K220" s="105">
        <f>IF(Body3Actif=TRUE,((((($B220*$J$4)+'Calculs 3D'!$C$8-OffsetX)/Ecran)*'Calculs 3D'!$C$32)+(((($C220*$J$4)+'Calculs 3D'!$D$8-OffsetY)/Ecran)*'Calculs 3D'!$D$32)+(((($D220*$J$4)+'Calculs 3D'!$E$8-OffsetZ)/Ecran)*'Calculs 3D'!$E$32)),0)</f>
        <v>-7.6861001447434532E-2</v>
      </c>
      <c r="L220" s="105">
        <f>IF(Body4Actif=TRUE,((((($B220*$L$4)+'Calculs 3D'!$C$9-OffsetX)/Ecran)*'Calculs 3D'!$C$31)+(((($C220*$L$4)+'Calculs 3D'!$D$9-OffsetY)/Ecran)*'Calculs 3D'!$D$31)+(((($D220*$L$4)+'Calculs 3D'!$E$9-OffsetZ)/Ecran)*'Calculs 3D'!$E$31)),0)</f>
        <v>-0.10107172927757319</v>
      </c>
      <c r="M220" s="105">
        <f>IF(Body4Actif=TRUE,((((($B220*$L$4)+'Calculs 3D'!$C$9-OffsetX)/Ecran)*'Calculs 3D'!$C$32)+(((($C220*$L$4)+'Calculs 3D'!$D$9-OffsetY)/Ecran)*'Calculs 3D'!$D$32)+(((($D220*$L$4)+'Calculs 3D'!$E$9-OffsetZ)/Ecran)*'Calculs 3D'!$E$32)),0)</f>
        <v>-0.16690053458712381</v>
      </c>
      <c r="N220" s="105">
        <f>IF(Body5Actif=TRUE,((((($B220*$N$4)+'Calculs 3D'!$C$10-OffsetX)/Ecran)*'Calculs 3D'!$C$31)+(((($C220*$N$4)+'Calculs 3D'!$D$10-OffsetY)/Ecran)*'Calculs 3D'!$D$31)+(((($D220*$N$4)+'Calculs 3D'!$E$10-OffsetZ)/Ecran)*'Calculs 3D'!$E$31)),0)</f>
        <v>-6.6168250233881705E-3</v>
      </c>
      <c r="O220" s="105">
        <f>IF(Body5Actif=TRUE,((((($B220*$N$4)+'Calculs 3D'!$C$10-OffsetX)/Ecran)*'Calculs 3D'!$C$32)+(((($C220*$N$4)+'Calculs 3D'!$D$10-OffsetY)/Ecran)*'Calculs 3D'!$D$32)+(((($D220*$N$4)+'Calculs 3D'!$E$10-OffsetZ)/Ecran)*'Calculs 3D'!$E$32)),0)</f>
        <v>7.5122240206107471E-4</v>
      </c>
      <c r="P220" s="105">
        <f>IF(Body6Actif=TRUE,((((($B220*$P$4)+'Calculs 3D'!$C$11-OffsetX)/Ecran)*'Calculs 3D'!$C$31)+(((($C220*$P$4)+'Calculs 3D'!$D$11-OffsetY)/Ecran)*'Calculs 3D'!$D$31)+(((($D220*$P$4)+'Calculs 3D'!$E$11-OffsetZ)/Ecran)*'Calculs 3D'!$E$31)),0)</f>
        <v>0.15984771876020382</v>
      </c>
      <c r="Q220" s="105">
        <f>IF(Body6Actif=TRUE,((((($B220*$P$4)+'Calculs 3D'!$C$11-OffsetX)/Ecran)*'Calculs 3D'!$C$32)+(((($C220*$P$4)+'Calculs 3D'!$D$11-OffsetY)/Ecran)*'Calculs 3D'!$D$32)+(((($D220*$P$4)+'Calculs 3D'!$E$11-OffsetZ)/Ecran)*'Calculs 3D'!$E$32)),0)</f>
        <v>0.14136090021398912</v>
      </c>
      <c r="R220" s="105">
        <f>IF(Body7Actif=TRUE,((((($B220*$R$4)+'Calculs 3D'!$C$12-OffsetX)/Ecran)*'Calculs 3D'!$C$31)+(((($C220*$R$4)+'Calculs 3D'!$D$12-OffsetY)/Ecran)*'Calculs 3D'!$D$31)+(((($D220*$R$4)+'Calculs 3D'!$E$12-OffsetZ)/Ecran)*'Calculs 3D'!$E$31)),0)</f>
        <v>-0.29161355090719654</v>
      </c>
      <c r="S220" s="105">
        <f>IF(Body7Actif=TRUE,((((($B220*$R$4)+'Calculs 3D'!$C$12-OffsetX)/Ecran)*'Calculs 3D'!$C$32)+(((($C220*$R$4)+'Calculs 3D'!$D$12-OffsetY)/Ecran)*'Calculs 3D'!$D$32)+(((($D220*$R$4)+'Calculs 3D'!$E$12-OffsetZ)/Ecran)*'Calculs 3D'!$E$32)),0)</f>
        <v>7.0685041821070341E-2</v>
      </c>
      <c r="T220" s="105">
        <f>IF(Body8Actif=TRUE,((((($B220*$T$4)+'Calculs 3D'!$C$13-OffsetX)/Ecran)*'Calculs 3D'!$C$31)+(((($C220*$T$4)+'Calculs 3D'!$D$13-OffsetY)/Ecran)*'Calculs 3D'!$D$31)+(((($D220*$T$4)+'Calculs 3D'!$E$13-OffsetZ)/Ecran)*'Calculs 3D'!$E$31)),0)</f>
        <v>0.16424856189431794</v>
      </c>
      <c r="U220" s="105">
        <f>IF(Body8Actif=TRUE,((((($B220*$T$4)+'Calculs 3D'!$C$13-OffsetX)/Ecran)*'Calculs 3D'!$C$32)+(((($C220*$T$4)+'Calculs 3D'!$D$13-OffsetY)/Ecran)*'Calculs 3D'!$D$32)+(((($D220*$T$4)+'Calculs 3D'!$E$13-OffsetZ)/Ecran)*'Calculs 3D'!$E$32)),0)</f>
        <v>-0.12756274409817758</v>
      </c>
      <c r="V220" s="105">
        <f>IF(Body9Actif=TRUE,((((($B220*$V$4)+'Calculs 3D'!$C$14-OffsetX)/Ecran)*'Calculs 3D'!$C$31)+(((($C220*$V$4)+'Calculs 3D'!$D$14-OffsetY)/Ecran)*'Calculs 3D'!$D$31)+(((($D220*$V$4)+'Calculs 3D'!$E$14-OffsetZ)/Ecran)*'Calculs 3D'!$E$31)),0)</f>
        <v>-0.1831010826341703</v>
      </c>
      <c r="W220" s="105">
        <f>IF(Body9Actif=TRUE,((((($B220*$V$4)+'Calculs 3D'!$C$14-OffsetX)/Ecran)*'Calculs 3D'!$C$32)+(((($C220*$V$4)+'Calculs 3D'!$D$14-OffsetY)/Ecran)*'Calculs 3D'!$D$32)+(((($D220*$V$4)+'Calculs 3D'!$E$14-OffsetZ)/Ecran)*'Calculs 3D'!$E$32)),0)</f>
        <v>0.29284700472482911</v>
      </c>
      <c r="X220" s="105">
        <f>IF(Body10Actif=TRUE,((((($B220*$X$4)+'Calculs 3D'!$C$15-OffsetX)/Ecran)*'Calculs 3D'!$C$31)+(((($C220*$X$4)+'Calculs 3D'!$D$15-OffsetY)/Ecran)*'Calculs 3D'!$D$31)+(((($D220*$X$4)+'Calculs 3D'!$E$15-OffsetZ)/Ecran)*'Calculs 3D'!$E$31)),0)</f>
        <v>-2.3657182310459407E-2</v>
      </c>
      <c r="Y220" s="105">
        <f>IF(Body10Actif=TRUE,((((($B220*$X$4)+'Calculs 3D'!$C$15-OffsetX)/Ecran)*'Calculs 3D'!$C$32)+(((($C220*$X$4)+'Calculs 3D'!$D$15-OffsetY)/Ecran)*'Calculs 3D'!$D$32)+(((($D220*$X$4)+'Calculs 3D'!$E$15-OffsetZ)/Ecran)*'Calculs 3D'!$E$32)),0)</f>
        <v>0.29884415931586983</v>
      </c>
    </row>
    <row r="221" spans="2:25" x14ac:dyDescent="0.3">
      <c r="B221" s="102">
        <v>-0.80901699437494756</v>
      </c>
      <c r="C221" s="102">
        <v>0</v>
      </c>
      <c r="D221" s="102">
        <v>0.58778525229247292</v>
      </c>
      <c r="F221" s="105">
        <f>IF(Body1Actif=TRUE,((((($B221*$F$4)+'Calculs 3D'!$C$6-OffsetX)/Ecran)*'Calculs 3D'!$C$31)+(((($C221*$F$4)+'Calculs 3D'!$D$6-OffsetY)/Ecran)*'Calculs 3D'!$D$31)+(((($D221*$F$4)+'Calculs 3D'!$E$6-OffsetZ)/Ecran)*'Calculs 3D'!$E$31)),0)</f>
        <v>4.8107195429571641E-2</v>
      </c>
      <c r="G221" s="105">
        <f>IF(Body1Actif=TRUE,((((($B221*$F$4)+'Calculs 3D'!$C$6-OffsetX)/Ecran)*'Calculs 3D'!$C$32)+(((($C221*$F$4)+'Calculs 3D'!$D$6-OffsetY)/Ecran)*'Calculs 3D'!$D$32)+(((($D221*$F$4)+'Calculs 3D'!$E$6-OffsetZ)/Ecran)*'Calculs 3D'!$E$32)),0)</f>
        <v>0.26681126055821736</v>
      </c>
      <c r="H221" s="105">
        <f>IF(Body2Actif=TRUE,((((($B221*$H$4)+'Calculs 3D'!$C$7-OffsetX)/Ecran)*'Calculs 3D'!$C$31)+(((($C221*$H$4)+'Calculs 3D'!$D$7-OffsetY)/Ecran)*'Calculs 3D'!$D$31)+(((($D221*$H$4)+'Calculs 3D'!$E$7-OffsetZ)/Ecran)*'Calculs 3D'!$E$31)),0)</f>
        <v>1.5612712446931281E-2</v>
      </c>
      <c r="I221" s="105">
        <f>IF(Body2Actif=TRUE,((((($B221*$H$4)+'Calculs 3D'!$C$7-OffsetX)/Ecran)*'Calculs 3D'!$C$32)+(((($C221*$H$4)+'Calculs 3D'!$D$7-OffsetY)/Ecran)*'Calculs 3D'!$D$32)+(((($D221*$H$4)+'Calculs 3D'!$E$7-OffsetZ)/Ecran)*'Calculs 3D'!$E$32)),0)</f>
        <v>4.1811684674696099E-2</v>
      </c>
      <c r="J221" s="105">
        <f>IF(Body3Actif=TRUE,((((($B221*$J$4)+'Calculs 3D'!$C$8-OffsetX)/Ecran)*'Calculs 3D'!$C$31)+(((($C221*$J$4)+'Calculs 3D'!$D$8-OffsetY)/Ecran)*'Calculs 3D'!$D$31)+(((($D221*$J$4)+'Calculs 3D'!$E$8-OffsetZ)/Ecran)*'Calculs 3D'!$E$31)),0)</f>
        <v>0.2143778161219215</v>
      </c>
      <c r="K221" s="105">
        <f>IF(Body3Actif=TRUE,((((($B221*$J$4)+'Calculs 3D'!$C$8-OffsetX)/Ecran)*'Calculs 3D'!$C$32)+(((($C221*$J$4)+'Calculs 3D'!$D$8-OffsetY)/Ecran)*'Calculs 3D'!$D$32)+(((($D221*$J$4)+'Calculs 3D'!$E$8-OffsetZ)/Ecran)*'Calculs 3D'!$E$32)),0)</f>
        <v>-7.5760059935431279E-2</v>
      </c>
      <c r="L221" s="105">
        <f>IF(Body4Actif=TRUE,((((($B221*$L$4)+'Calculs 3D'!$C$9-OffsetX)/Ecran)*'Calculs 3D'!$C$31)+(((($C221*$L$4)+'Calculs 3D'!$D$9-OffsetY)/Ecran)*'Calculs 3D'!$D$31)+(((($D221*$L$4)+'Calculs 3D'!$E$9-OffsetZ)/Ecran)*'Calculs 3D'!$E$31)),0)</f>
        <v>-0.10009412882715345</v>
      </c>
      <c r="M221" s="105">
        <f>IF(Body4Actif=TRUE,((((($B221*$L$4)+'Calculs 3D'!$C$9-OffsetX)/Ecran)*'Calculs 3D'!$C$32)+(((($C221*$L$4)+'Calculs 3D'!$D$9-OffsetY)/Ecran)*'Calculs 3D'!$D$32)+(((($D221*$L$4)+'Calculs 3D'!$E$9-OffsetZ)/Ecran)*'Calculs 3D'!$E$32)),0)</f>
        <v>-0.16546898849464059</v>
      </c>
      <c r="N221" s="105">
        <f>IF(Body5Actif=TRUE,((((($B221*$N$4)+'Calculs 3D'!$C$10-OffsetX)/Ecran)*'Calculs 3D'!$C$31)+(((($C221*$N$4)+'Calculs 3D'!$D$10-OffsetY)/Ecran)*'Calculs 3D'!$D$31)+(((($D221*$N$4)+'Calculs 3D'!$E$10-OffsetZ)/Ecran)*'Calculs 3D'!$E$31)),0)</f>
        <v>-5.5008043628822544E-3</v>
      </c>
      <c r="O221" s="105">
        <f>IF(Body5Actif=TRUE,((((($B221*$N$4)+'Calculs 3D'!$C$10-OffsetX)/Ecran)*'Calculs 3D'!$C$32)+(((($C221*$N$4)+'Calculs 3D'!$D$10-OffsetY)/Ecran)*'Calculs 3D'!$D$32)+(((($D221*$N$4)+'Calculs 3D'!$E$10-OffsetZ)/Ecran)*'Calculs 3D'!$E$32)),0)</f>
        <v>2.3854636864138155E-3</v>
      </c>
      <c r="P221" s="105">
        <f>IF(Body6Actif=TRUE,((((($B221*$P$4)+'Calculs 3D'!$C$11-OffsetX)/Ecran)*'Calculs 3D'!$C$31)+(((($C221*$P$4)+'Calculs 3D'!$D$11-OffsetY)/Ecran)*'Calculs 3D'!$D$31)+(((($D221*$P$4)+'Calculs 3D'!$E$11-OffsetZ)/Ecran)*'Calculs 3D'!$E$31)),0)</f>
        <v>0.1614650232232657</v>
      </c>
      <c r="Q221" s="105">
        <f>IF(Body6Actif=TRUE,((((($B221*$P$4)+'Calculs 3D'!$C$11-OffsetX)/Ecran)*'Calculs 3D'!$C$32)+(((($C221*$P$4)+'Calculs 3D'!$D$11-OffsetY)/Ecran)*'Calculs 3D'!$D$32)+(((($D221*$P$4)+'Calculs 3D'!$E$11-OffsetZ)/Ecran)*'Calculs 3D'!$E$32)),0)</f>
        <v>0.1437291948311385</v>
      </c>
      <c r="R221" s="105">
        <f>IF(Body7Actif=TRUE,((((($B221*$R$4)+'Calculs 3D'!$C$12-OffsetX)/Ecran)*'Calculs 3D'!$C$31)+(((($C221*$R$4)+'Calculs 3D'!$D$12-OffsetY)/Ecran)*'Calculs 3D'!$D$31)+(((($D221*$R$4)+'Calculs 3D'!$E$12-OffsetZ)/Ecran)*'Calculs 3D'!$E$31)),0)</f>
        <v>-0.28998935105837798</v>
      </c>
      <c r="S221" s="105">
        <f>IF(Body7Actif=TRUE,((((($B221*$R$4)+'Calculs 3D'!$C$12-OffsetX)/Ecran)*'Calculs 3D'!$C$32)+(((($C221*$R$4)+'Calculs 3D'!$D$12-OffsetY)/Ecran)*'Calculs 3D'!$D$32)+(((($D221*$R$4)+'Calculs 3D'!$E$12-OffsetZ)/Ecran)*'Calculs 3D'!$E$32)),0)</f>
        <v>7.3063433674295977E-2</v>
      </c>
      <c r="T221" s="105">
        <f>IF(Body8Actif=TRUE,((((($B221*$T$4)+'Calculs 3D'!$C$13-OffsetX)/Ecran)*'Calculs 3D'!$C$31)+(((($C221*$T$4)+'Calculs 3D'!$D$13-OffsetY)/Ecran)*'Calculs 3D'!$D$31)+(((($D221*$T$4)+'Calculs 3D'!$E$13-OffsetZ)/Ecran)*'Calculs 3D'!$E$31)),0)</f>
        <v>0.16483434659948379</v>
      </c>
      <c r="U221" s="105">
        <f>IF(Body8Actif=TRUE,((((($B221*$T$4)+'Calculs 3D'!$C$13-OffsetX)/Ecran)*'Calculs 3D'!$C$32)+(((($C221*$T$4)+'Calculs 3D'!$D$13-OffsetY)/Ecran)*'Calculs 3D'!$D$32)+(((($D221*$T$4)+'Calculs 3D'!$E$13-OffsetZ)/Ecran)*'Calculs 3D'!$E$32)),0)</f>
        <v>-0.12670495213894051</v>
      </c>
      <c r="V221" s="105">
        <f>IF(Body9Actif=TRUE,((((($B221*$V$4)+'Calculs 3D'!$C$14-OffsetX)/Ecran)*'Calculs 3D'!$C$31)+(((($C221*$V$4)+'Calculs 3D'!$D$14-OffsetY)/Ecran)*'Calculs 3D'!$D$31)+(((($D221*$V$4)+'Calculs 3D'!$E$14-OffsetZ)/Ecran)*'Calculs 3D'!$E$31)),0)</f>
        <v>-0.18228829701776475</v>
      </c>
      <c r="W221" s="105">
        <f>IF(Body9Actif=TRUE,((((($B221*$V$4)+'Calculs 3D'!$C$14-OffsetX)/Ecran)*'Calculs 3D'!$C$32)+(((($C221*$V$4)+'Calculs 3D'!$D$14-OffsetY)/Ecran)*'Calculs 3D'!$D$32)+(((($D221*$V$4)+'Calculs 3D'!$E$14-OffsetZ)/Ecran)*'Calculs 3D'!$E$32)),0)</f>
        <v>0.29403720474232331</v>
      </c>
      <c r="X221" s="105">
        <f>IF(Body10Actif=TRUE,((((($B221*$X$4)+'Calculs 3D'!$C$15-OffsetX)/Ecran)*'Calculs 3D'!$C$31)+(((($C221*$X$4)+'Calculs 3D'!$D$15-OffsetY)/Ecran)*'Calculs 3D'!$D$31)+(((($D221*$X$4)+'Calculs 3D'!$E$15-OffsetZ)/Ecran)*'Calculs 3D'!$E$31)),0)</f>
        <v>-2.2430319732416631E-2</v>
      </c>
      <c r="Y221" s="105">
        <f>IF(Body10Actif=TRUE,((((($B221*$X$4)+'Calculs 3D'!$C$15-OffsetX)/Ecran)*'Calculs 3D'!$C$32)+(((($C221*$X$4)+'Calculs 3D'!$D$15-OffsetY)/Ecran)*'Calculs 3D'!$D$32)+(((($D221*$X$4)+'Calculs 3D'!$E$15-OffsetZ)/Ecran)*'Calculs 3D'!$E$32)),0)</f>
        <v>0.30064071160761319</v>
      </c>
    </row>
    <row r="222" spans="2:25" x14ac:dyDescent="0.3">
      <c r="B222" s="102">
        <v>-0.58778525229247336</v>
      </c>
      <c r="C222" s="102">
        <v>0</v>
      </c>
      <c r="D222" s="102">
        <v>0.80901699437494734</v>
      </c>
      <c r="F222" s="105">
        <f>IF(Body1Actif=TRUE,((((($B222*$F$4)+'Calculs 3D'!$C$6-OffsetX)/Ecran)*'Calculs 3D'!$C$31)+(((($C222*$F$4)+'Calculs 3D'!$D$6-OffsetY)/Ecran)*'Calculs 3D'!$D$31)+(((($D222*$F$4)+'Calculs 3D'!$E$6-OffsetZ)/Ecran)*'Calculs 3D'!$E$31)),0)</f>
        <v>4.8783176781502624E-2</v>
      </c>
      <c r="G222" s="105">
        <f>IF(Body1Actif=TRUE,((((($B222*$F$4)+'Calculs 3D'!$C$6-OffsetX)/Ecran)*'Calculs 3D'!$C$32)+(((($C222*$F$4)+'Calculs 3D'!$D$6-OffsetY)/Ecran)*'Calculs 3D'!$D$32)+(((($D222*$F$4)+'Calculs 3D'!$E$6-OffsetZ)/Ecran)*'Calculs 3D'!$E$32)),0)</f>
        <v>0.26716732063062387</v>
      </c>
      <c r="H222" s="105">
        <f>IF(Body2Actif=TRUE,((((($B222*$H$4)+'Calculs 3D'!$C$7-OffsetX)/Ecran)*'Calculs 3D'!$C$31)+(((($C222*$H$4)+'Calculs 3D'!$D$7-OffsetY)/Ecran)*'Calculs 3D'!$D$31)+(((($D222*$H$4)+'Calculs 3D'!$E$7-OffsetZ)/Ecran)*'Calculs 3D'!$E$31)),0)</f>
        <v>1.8247604233619062E-2</v>
      </c>
      <c r="I222" s="105">
        <f>IF(Body2Actif=TRUE,((((($B222*$H$4)+'Calculs 3D'!$C$7-OffsetX)/Ecran)*'Calculs 3D'!$C$32)+(((($C222*$H$4)+'Calculs 3D'!$D$7-OffsetY)/Ecran)*'Calculs 3D'!$D$32)+(((($D222*$H$4)+'Calculs 3D'!$E$7-OffsetZ)/Ecran)*'Calculs 3D'!$E$32)),0)</f>
        <v>4.3199562842742394E-2</v>
      </c>
      <c r="J222" s="105">
        <f>IF(Body3Actif=TRUE,((((($B222*$J$4)+'Calculs 3D'!$C$8-OffsetX)/Ecran)*'Calculs 3D'!$C$31)+(((($C222*$J$4)+'Calculs 3D'!$D$8-OffsetY)/Ecran)*'Calculs 3D'!$D$31)+(((($D222*$J$4)+'Calculs 3D'!$E$8-OffsetZ)/Ecran)*'Calculs 3D'!$E$31)),0)</f>
        <v>0.21554882056244568</v>
      </c>
      <c r="K222" s="105">
        <f>IF(Body3Actif=TRUE,((((($B222*$J$4)+'Calculs 3D'!$C$8-OffsetX)/Ecran)*'Calculs 3D'!$C$32)+(((($C222*$J$4)+'Calculs 3D'!$D$8-OffsetY)/Ecran)*'Calculs 3D'!$D$32)+(((($D222*$J$4)+'Calculs 3D'!$E$8-OffsetZ)/Ecran)*'Calculs 3D'!$E$32)),0)</f>
        <v>-7.5143256047734752E-2</v>
      </c>
      <c r="L222" s="105">
        <f>IF(Body4Actif=TRUE,((((($B222*$L$4)+'Calculs 3D'!$C$9-OffsetX)/Ecran)*'Calculs 3D'!$C$31)+(((($C222*$L$4)+'Calculs 3D'!$D$9-OffsetY)/Ecran)*'Calculs 3D'!$D$31)+(((($D222*$L$4)+'Calculs 3D'!$E$9-OffsetZ)/Ecran)*'Calculs 3D'!$E$31)),0)</f>
        <v>-9.8571480427727884E-2</v>
      </c>
      <c r="M222" s="105">
        <f>IF(Body4Actif=TRUE,((((($B222*$L$4)+'Calculs 3D'!$C$9-OffsetX)/Ecran)*'Calculs 3D'!$C$32)+(((($C222*$L$4)+'Calculs 3D'!$D$9-OffsetY)/Ecran)*'Calculs 3D'!$D$32)+(((($D222*$L$4)+'Calculs 3D'!$E$9-OffsetZ)/Ecran)*'Calculs 3D'!$E$32)),0)</f>
        <v>-0.16466696296863984</v>
      </c>
      <c r="N222" s="105">
        <f>IF(Body5Actif=TRUE,((((($B222*$N$4)+'Calculs 3D'!$C$10-OffsetX)/Ecran)*'Calculs 3D'!$C$31)+(((($C222*$N$4)+'Calculs 3D'!$D$10-OffsetY)/Ecran)*'Calculs 3D'!$D$31)+(((($D222*$N$4)+'Calculs 3D'!$E$10-OffsetZ)/Ecran)*'Calculs 3D'!$E$31)),0)</f>
        <v>-3.7625614317179376E-3</v>
      </c>
      <c r="O222" s="105">
        <f>IF(Body5Actif=TRUE,((((($B222*$N$4)+'Calculs 3D'!$C$10-OffsetX)/Ecran)*'Calculs 3D'!$C$32)+(((($C222*$N$4)+'Calculs 3D'!$D$10-OffsetY)/Ecran)*'Calculs 3D'!$D$32)+(((($D222*$N$4)+'Calculs 3D'!$E$10-OffsetZ)/Ecran)*'Calculs 3D'!$E$32)),0)</f>
        <v>3.3010494524449716E-3</v>
      </c>
      <c r="P222" s="105">
        <f>IF(Body6Actif=TRUE,((((($B222*$P$4)+'Calculs 3D'!$C$11-OffsetX)/Ecran)*'Calculs 3D'!$C$31)+(((($C222*$P$4)+'Calculs 3D'!$D$11-OffsetY)/Ecran)*'Calculs 3D'!$D$31)+(((($D222*$P$4)+'Calculs 3D'!$E$11-OffsetZ)/Ecran)*'Calculs 3D'!$E$31)),0)</f>
        <v>0.16398403398170758</v>
      </c>
      <c r="Q222" s="105">
        <f>IF(Body6Actif=TRUE,((((($B222*$P$4)+'Calculs 3D'!$C$11-OffsetX)/Ecran)*'Calculs 3D'!$C$32)+(((($C222*$P$4)+'Calculs 3D'!$D$11-OffsetY)/Ecran)*'Calculs 3D'!$D$32)+(((($D222*$P$4)+'Calculs 3D'!$E$11-OffsetZ)/Ecran)*'Calculs 3D'!$E$32)),0)</f>
        <v>0.14505603491405133</v>
      </c>
      <c r="R222" s="105">
        <f>IF(Body7Actif=TRUE,((((($B222*$R$4)+'Calculs 3D'!$C$12-OffsetX)/Ecran)*'Calculs 3D'!$C$31)+(((($C222*$R$4)+'Calculs 3D'!$D$12-OffsetY)/Ecran)*'Calculs 3D'!$D$31)+(((($D222*$R$4)+'Calculs 3D'!$E$12-OffsetZ)/Ecran)*'Calculs 3D'!$E$31)),0)</f>
        <v>-0.28745960048482933</v>
      </c>
      <c r="S222" s="105">
        <f>IF(Body7Actif=TRUE,((((($B222*$R$4)+'Calculs 3D'!$C$12-OffsetX)/Ecran)*'Calculs 3D'!$C$32)+(((($C222*$R$4)+'Calculs 3D'!$D$12-OffsetY)/Ecran)*'Calculs 3D'!$D$32)+(((($D222*$R$4)+'Calculs 3D'!$E$12-OffsetZ)/Ecran)*'Calculs 3D'!$E$32)),0)</f>
        <v>7.4395930746611924E-2</v>
      </c>
      <c r="T222" s="105">
        <f>IF(Body8Actif=TRUE,((((($B222*$T$4)+'Calculs 3D'!$C$13-OffsetX)/Ecran)*'Calculs 3D'!$C$31)+(((($C222*$T$4)+'Calculs 3D'!$D$13-OffsetY)/Ecran)*'Calculs 3D'!$D$31)+(((($D222*$T$4)+'Calculs 3D'!$E$13-OffsetZ)/Ecran)*'Calculs 3D'!$E$31)),0)</f>
        <v>0.16574672766819726</v>
      </c>
      <c r="U222" s="105">
        <f>IF(Body8Actif=TRUE,((((($B222*$T$4)+'Calculs 3D'!$C$13-OffsetX)/Ecran)*'Calculs 3D'!$C$32)+(((($C222*$T$4)+'Calculs 3D'!$D$13-OffsetY)/Ecran)*'Calculs 3D'!$D$32)+(((($D222*$T$4)+'Calculs 3D'!$E$13-OffsetZ)/Ecran)*'Calculs 3D'!$E$32)),0)</f>
        <v>-0.12622437309861567</v>
      </c>
      <c r="V222" s="105">
        <f>IF(Body9Actif=TRUE,((((($B222*$V$4)+'Calculs 3D'!$C$14-OffsetX)/Ecran)*'Calculs 3D'!$C$31)+(((($C222*$V$4)+'Calculs 3D'!$D$14-OffsetY)/Ecran)*'Calculs 3D'!$D$31)+(((($D222*$V$4)+'Calculs 3D'!$E$14-OffsetZ)/Ecran)*'Calculs 3D'!$E$31)),0)</f>
        <v>-0.18102235374066758</v>
      </c>
      <c r="W222" s="105">
        <f>IF(Body9Actif=TRUE,((((($B222*$V$4)+'Calculs 3D'!$C$14-OffsetX)/Ecran)*'Calculs 3D'!$C$32)+(((($C222*$V$4)+'Calculs 3D'!$D$14-OffsetY)/Ecran)*'Calculs 3D'!$D$32)+(((($D222*$V$4)+'Calculs 3D'!$E$14-OffsetZ)/Ecran)*'Calculs 3D'!$E$32)),0)</f>
        <v>0.2947040158216796</v>
      </c>
      <c r="X222" s="105">
        <f>IF(Body10Actif=TRUE,((((($B222*$X$4)+'Calculs 3D'!$C$15-OffsetX)/Ecran)*'Calculs 3D'!$C$31)+(((($C222*$X$4)+'Calculs 3D'!$D$15-OffsetY)/Ecran)*'Calculs 3D'!$D$31)+(((($D222*$X$4)+'Calculs 3D'!$E$15-OffsetZ)/Ecran)*'Calculs 3D'!$E$31)),0)</f>
        <v>-2.0519436467203528E-2</v>
      </c>
      <c r="Y222" s="105">
        <f>IF(Body10Actif=TRUE,((((($B222*$X$4)+'Calculs 3D'!$C$15-OffsetX)/Ecran)*'Calculs 3D'!$C$32)+(((($C222*$X$4)+'Calculs 3D'!$D$15-OffsetY)/Ecran)*'Calculs 3D'!$D$32)+(((($D222*$X$4)+'Calculs 3D'!$E$15-OffsetZ)/Ecran)*'Calculs 3D'!$E$32)),0)</f>
        <v>0.30164723232276103</v>
      </c>
    </row>
    <row r="223" spans="2:25" x14ac:dyDescent="0.3">
      <c r="B223" s="102">
        <v>-0.30901699437494762</v>
      </c>
      <c r="C223" s="102">
        <v>0</v>
      </c>
      <c r="D223" s="102">
        <v>0.95105651629515353</v>
      </c>
      <c r="F223" s="105">
        <f>IF(Body1Actif=TRUE,((((($B223*$F$4)+'Calculs 3D'!$C$6-OffsetX)/Ecran)*'Calculs 3D'!$C$31)+(((($C223*$F$4)+'Calculs 3D'!$D$6-OffsetY)/Ecran)*'Calculs 3D'!$D$31)+(((($D223*$F$4)+'Calculs 3D'!$E$6-OffsetZ)/Ecran)*'Calculs 3D'!$E$31)),0)</f>
        <v>4.9634962976777809E-2</v>
      </c>
      <c r="G223" s="105">
        <f>IF(Body1Actif=TRUE,((((($B223*$F$4)+'Calculs 3D'!$C$6-OffsetX)/Ecran)*'Calculs 3D'!$C$32)+(((($C223*$F$4)+'Calculs 3D'!$D$6-OffsetY)/Ecran)*'Calculs 3D'!$D$32)+(((($D223*$F$4)+'Calculs 3D'!$E$6-OffsetZ)/Ecran)*'Calculs 3D'!$E$32)),0)</f>
        <v>0.26720905074740103</v>
      </c>
      <c r="H223" s="105">
        <f>IF(Body2Actif=TRUE,((((($B223*$H$4)+'Calculs 3D'!$C$7-OffsetX)/Ecran)*'Calculs 3D'!$C$31)+(((($C223*$H$4)+'Calculs 3D'!$D$7-OffsetY)/Ecran)*'Calculs 3D'!$D$31)+(((($D223*$H$4)+'Calculs 3D'!$E$7-OffsetZ)/Ecran)*'Calculs 3D'!$E$31)),0)</f>
        <v>2.1567761577506554E-2</v>
      </c>
      <c r="I223" s="105">
        <f>IF(Body2Actif=TRUE,((((($B223*$H$4)+'Calculs 3D'!$C$7-OffsetX)/Ecran)*'Calculs 3D'!$C$32)+(((($C223*$H$4)+'Calculs 3D'!$D$7-OffsetY)/Ecran)*'Calculs 3D'!$D$32)+(((($D223*$H$4)+'Calculs 3D'!$E$7-OffsetZ)/Ecran)*'Calculs 3D'!$E$32)),0)</f>
        <v>4.3362221681835414E-2</v>
      </c>
      <c r="J223" s="105">
        <f>IF(Body3Actif=TRUE,((((($B223*$J$4)+'Calculs 3D'!$C$8-OffsetX)/Ecran)*'Calculs 3D'!$C$31)+(((($C223*$J$4)+'Calculs 3D'!$D$8-OffsetY)/Ecran)*'Calculs 3D'!$D$31)+(((($D223*$J$4)+'Calculs 3D'!$E$8-OffsetZ)/Ecran)*'Calculs 3D'!$E$31)),0)</f>
        <v>0.21702437223882726</v>
      </c>
      <c r="K223" s="105">
        <f>IF(Body3Actif=TRUE,((((($B223*$J$4)+'Calculs 3D'!$C$8-OffsetX)/Ecran)*'Calculs 3D'!$C$32)+(((($C223*$J$4)+'Calculs 3D'!$D$8-OffsetY)/Ecran)*'Calculs 3D'!$D$32)+(((($D223*$J$4)+'Calculs 3D'!$E$8-OffsetZ)/Ecran)*'Calculs 3D'!$E$32)),0)</f>
        <v>-7.5070966846397968E-2</v>
      </c>
      <c r="L223" s="105">
        <f>IF(Body4Actif=TRUE,((((($B223*$L$4)+'Calculs 3D'!$C$9-OffsetX)/Ecran)*'Calculs 3D'!$C$31)+(((($C223*$L$4)+'Calculs 3D'!$D$9-OffsetY)/Ecran)*'Calculs 3D'!$D$31)+(((($D223*$L$4)+'Calculs 3D'!$E$9-OffsetZ)/Ecran)*'Calculs 3D'!$E$31)),0)</f>
        <v>-9.6652831513547519E-2</v>
      </c>
      <c r="M223" s="105">
        <f>IF(Body4Actif=TRUE,((((($B223*$L$4)+'Calculs 3D'!$C$9-OffsetX)/Ecran)*'Calculs 3D'!$C$32)+(((($C223*$L$4)+'Calculs 3D'!$D$9-OffsetY)/Ecran)*'Calculs 3D'!$D$32)+(((($D223*$L$4)+'Calculs 3D'!$E$9-OffsetZ)/Ecran)*'Calculs 3D'!$E$32)),0)</f>
        <v>-0.1645729658556469</v>
      </c>
      <c r="N223" s="105">
        <f>IF(Body5Actif=TRUE,((((($B223*$N$4)+'Calculs 3D'!$C$10-OffsetX)/Ecran)*'Calculs 3D'!$C$31)+(((($C223*$N$4)+'Calculs 3D'!$D$10-OffsetY)/Ecran)*'Calculs 3D'!$D$31)+(((($D223*$N$4)+'Calculs 3D'!$E$10-OffsetZ)/Ecran)*'Calculs 3D'!$E$31)),0)</f>
        <v>-1.5722475590482293E-3</v>
      </c>
      <c r="O223" s="105">
        <f>IF(Body5Actif=TRUE,((((($B223*$N$4)+'Calculs 3D'!$C$10-OffsetX)/Ecran)*'Calculs 3D'!$C$32)+(((($C223*$N$4)+'Calculs 3D'!$D$10-OffsetY)/Ecran)*'Calculs 3D'!$D$32)+(((($D223*$N$4)+'Calculs 3D'!$E$10-OffsetZ)/Ecran)*'Calculs 3D'!$E$32)),0)</f>
        <v>3.4083557861142762E-3</v>
      </c>
      <c r="P223" s="105">
        <f>IF(Body6Actif=TRUE,((((($B223*$P$4)+'Calculs 3D'!$C$11-OffsetX)/Ecran)*'Calculs 3D'!$C$31)+(((($C223*$P$4)+'Calculs 3D'!$D$11-OffsetY)/Ecran)*'Calculs 3D'!$D$31)+(((($D223*$P$4)+'Calculs 3D'!$E$11-OffsetZ)/Ecran)*'Calculs 3D'!$E$31)),0)</f>
        <v>0.16715817271151318</v>
      </c>
      <c r="Q223" s="105">
        <f>IF(Body6Actif=TRUE,((((($B223*$P$4)+'Calculs 3D'!$C$11-OffsetX)/Ecran)*'Calculs 3D'!$C$32)+(((($C223*$P$4)+'Calculs 3D'!$D$11-OffsetY)/Ecran)*'Calculs 3D'!$D$32)+(((($D223*$P$4)+'Calculs 3D'!$E$11-OffsetZ)/Ecran)*'Calculs 3D'!$E$32)),0)</f>
        <v>0.1452115401107737</v>
      </c>
      <c r="R223" s="105">
        <f>IF(Body7Actif=TRUE,((((($B223*$R$4)+'Calculs 3D'!$C$12-OffsetX)/Ecran)*'Calculs 3D'!$C$31)+(((($C223*$R$4)+'Calculs 3D'!$D$12-OffsetY)/Ecran)*'Calculs 3D'!$D$31)+(((($D223*$R$4)+'Calculs 3D'!$E$12-OffsetZ)/Ecran)*'Calculs 3D'!$E$31)),0)</f>
        <v>-0.28427192879849811</v>
      </c>
      <c r="S223" s="105">
        <f>IF(Body7Actif=TRUE,((((($B223*$R$4)+'Calculs 3D'!$C$12-OffsetX)/Ecran)*'Calculs 3D'!$C$32)+(((($C223*$R$4)+'Calculs 3D'!$D$12-OffsetY)/Ecran)*'Calculs 3D'!$D$32)+(((($D223*$R$4)+'Calculs 3D'!$E$12-OffsetZ)/Ecran)*'Calculs 3D'!$E$32)),0)</f>
        <v>7.4552098940526848E-2</v>
      </c>
      <c r="T223" s="105">
        <f>IF(Body8Actif=TRUE,((((($B223*$T$4)+'Calculs 3D'!$C$13-OffsetX)/Ecran)*'Calculs 3D'!$C$31)+(((($C223*$T$4)+'Calculs 3D'!$D$13-OffsetY)/Ecran)*'Calculs 3D'!$D$31)+(((($D223*$T$4)+'Calculs 3D'!$E$13-OffsetZ)/Ecran)*'Calculs 3D'!$E$31)),0)</f>
        <v>0.16689639488451999</v>
      </c>
      <c r="U223" s="105">
        <f>IF(Body8Actif=TRUE,((((($B223*$T$4)+'Calculs 3D'!$C$13-OffsetX)/Ecran)*'Calculs 3D'!$C$32)+(((($C223*$T$4)+'Calculs 3D'!$D$13-OffsetY)/Ecran)*'Calculs 3D'!$D$32)+(((($D223*$T$4)+'Calculs 3D'!$E$13-OffsetZ)/Ecran)*'Calculs 3D'!$E$32)),0)</f>
        <v>-0.12616804940206117</v>
      </c>
      <c r="V223" s="105">
        <f>IF(Body9Actif=TRUE,((((($B223*$V$4)+'Calculs 3D'!$C$14-OffsetX)/Ecran)*'Calculs 3D'!$C$31)+(((($C223*$V$4)+'Calculs 3D'!$D$14-OffsetY)/Ecran)*'Calculs 3D'!$D$31)+(((($D223*$V$4)+'Calculs 3D'!$E$14-OffsetZ)/Ecran)*'Calculs 3D'!$E$31)),0)</f>
        <v>-0.17942717215118653</v>
      </c>
      <c r="W223" s="105">
        <f>IF(Body9Actif=TRUE,((((($B223*$V$4)+'Calculs 3D'!$C$14-OffsetX)/Ecran)*'Calculs 3D'!$C$32)+(((($C223*$V$4)+'Calculs 3D'!$D$14-OffsetY)/Ecran)*'Calculs 3D'!$D$32)+(((($D223*$V$4)+'Calculs 3D'!$E$14-OffsetZ)/Ecran)*'Calculs 3D'!$E$32)),0)</f>
        <v>0.29478216584850442</v>
      </c>
      <c r="X223" s="105">
        <f>IF(Body10Actif=TRUE,((((($B223*$X$4)+'Calculs 3D'!$C$15-OffsetX)/Ecran)*'Calculs 3D'!$C$31)+(((($C223*$X$4)+'Calculs 3D'!$D$15-OffsetY)/Ecran)*'Calculs 3D'!$D$31)+(((($D223*$X$4)+'Calculs 3D'!$E$15-OffsetZ)/Ecran)*'Calculs 3D'!$E$31)),0)</f>
        <v>-1.8111583082725757E-2</v>
      </c>
      <c r="Y223" s="105">
        <f>IF(Body10Actif=TRUE,((((($B223*$X$4)+'Calculs 3D'!$C$15-OffsetX)/Ecran)*'Calculs 3D'!$C$32)+(((($C223*$X$4)+'Calculs 3D'!$D$15-OffsetY)/Ecran)*'Calculs 3D'!$D$32)+(((($D223*$X$4)+'Calculs 3D'!$E$15-OffsetZ)/Ecran)*'Calculs 3D'!$E$32)),0)</f>
        <v>0.30176519620087255</v>
      </c>
    </row>
    <row r="224" spans="2:25" x14ac:dyDescent="0.3">
      <c r="B224" s="103">
        <v>-2.45029690981724E-16</v>
      </c>
      <c r="C224" s="103">
        <v>0</v>
      </c>
      <c r="D224" s="103">
        <v>1</v>
      </c>
      <c r="F224" s="105">
        <f>IF(Body1Actif=TRUE,((((($B224*$F$4)+'Calculs 3D'!$C$6-OffsetX)/Ecran)*'Calculs 3D'!$C$31)+(((($C224*$F$4)+'Calculs 3D'!$D$6-OffsetY)/Ecran)*'Calculs 3D'!$D$31)+(((($D224*$F$4)+'Calculs 3D'!$E$6-OffsetZ)/Ecran)*'Calculs 3D'!$E$31)),0)</f>
        <v>5.0579175247860285E-2</v>
      </c>
      <c r="G224" s="105">
        <f>IF(Body1Actif=TRUE,((((($B224*$F$4)+'Calculs 3D'!$C$6-OffsetX)/Ecran)*'Calculs 3D'!$C$32)+(((($C224*$F$4)+'Calculs 3D'!$D$6-OffsetY)/Ecran)*'Calculs 3D'!$D$32)+(((($D224*$F$4)+'Calculs 3D'!$E$6-OffsetZ)/Ecran)*'Calculs 3D'!$E$32)),0)</f>
        <v>0.26693236607396786</v>
      </c>
      <c r="H224" s="105">
        <f>IF(Body2Actif=TRUE,((((($B224*$H$4)+'Calculs 3D'!$C$7-OffsetX)/Ecran)*'Calculs 3D'!$C$31)+(((($C224*$H$4)+'Calculs 3D'!$D$7-OffsetY)/Ecran)*'Calculs 3D'!$D$31)+(((($D224*$H$4)+'Calculs 3D'!$E$7-OffsetZ)/Ecran)*'Calculs 3D'!$E$31)),0)</f>
        <v>2.5248184344877585E-2</v>
      </c>
      <c r="I224" s="105">
        <f>IF(Body2Actif=TRUE,((((($B224*$H$4)+'Calculs 3D'!$C$7-OffsetX)/Ecran)*'Calculs 3D'!$C$32)+(((($C224*$H$4)+'Calculs 3D'!$D$7-OffsetY)/Ecran)*'Calculs 3D'!$D$32)+(((($D224*$H$4)+'Calculs 3D'!$E$7-OffsetZ)/Ecran)*'Calculs 3D'!$E$32)),0)</f>
        <v>4.2283739011493945E-2</v>
      </c>
      <c r="J224" s="105">
        <f>IF(Body3Actif=TRUE,((((($B224*$J$4)+'Calculs 3D'!$C$8-OffsetX)/Ecran)*'Calculs 3D'!$C$31)+(((($C224*$J$4)+'Calculs 3D'!$D$8-OffsetY)/Ecran)*'Calculs 3D'!$D$31)+(((($D224*$J$4)+'Calculs 3D'!$E$8-OffsetZ)/Ecran)*'Calculs 3D'!$E$31)),0)</f>
        <v>0.21866003387220898</v>
      </c>
      <c r="K224" s="105">
        <f>IF(Body3Actif=TRUE,((((($B224*$J$4)+'Calculs 3D'!$C$8-OffsetX)/Ecran)*'Calculs 3D'!$C$32)+(((($C224*$J$4)+'Calculs 3D'!$D$8-OffsetY)/Ecran)*'Calculs 3D'!$D$32)+(((($D224*$J$4)+'Calculs 3D'!$E$8-OffsetZ)/Ecran)*'Calculs 3D'!$E$32)),0)</f>
        <v>-7.5550268502116352E-2</v>
      </c>
      <c r="L224" s="105">
        <f>IF(Body4Actif=TRUE,((((($B224*$L$4)+'Calculs 3D'!$C$9-OffsetX)/Ecran)*'Calculs 3D'!$C$31)+(((($C224*$L$4)+'Calculs 3D'!$D$9-OffsetY)/Ecran)*'Calculs 3D'!$D$31)+(((($D224*$L$4)+'Calculs 3D'!$E$9-OffsetZ)/Ecran)*'Calculs 3D'!$E$31)),0)</f>
        <v>-9.4525992808345366E-2</v>
      </c>
      <c r="M224" s="105">
        <f>IF(Body4Actif=TRUE,((((($B224*$L$4)+'Calculs 3D'!$C$9-OffsetX)/Ecran)*'Calculs 3D'!$C$32)+(((($C224*$L$4)+'Calculs 3D'!$D$9-OffsetY)/Ecran)*'Calculs 3D'!$D$32)+(((($D224*$L$4)+'Calculs 3D'!$E$9-OffsetZ)/Ecran)*'Calculs 3D'!$E$32)),0)</f>
        <v>-0.165196198247998</v>
      </c>
      <c r="N224" s="105">
        <f>IF(Body5Actif=TRUE,((((($B224*$N$4)+'Calculs 3D'!$C$10-OffsetX)/Ecran)*'Calculs 3D'!$C$31)+(((($C224*$N$4)+'Calculs 3D'!$D$10-OffsetY)/Ecran)*'Calculs 3D'!$D$31)+(((($D224*$N$4)+'Calculs 3D'!$E$10-OffsetZ)/Ecran)*'Calculs 3D'!$E$31)),0)</f>
        <v>8.5573407245585157E-4</v>
      </c>
      <c r="O224" s="105">
        <f>IF(Body5Actif=TRUE,((((($B224*$N$4)+'Calculs 3D'!$C$10-OffsetX)/Ecran)*'Calculs 3D'!$C$32)+(((($C224*$N$4)+'Calculs 3D'!$D$10-OffsetY)/Ecran)*'Calculs 3D'!$D$32)+(((($D224*$N$4)+'Calculs 3D'!$E$10-OffsetZ)/Ecran)*'Calculs 3D'!$E$32)),0)</f>
        <v>2.6968787958349836E-3</v>
      </c>
      <c r="P224" s="105">
        <f>IF(Body6Actif=TRUE,((((($B224*$P$4)+'Calculs 3D'!$C$11-OffsetX)/Ecran)*'Calculs 3D'!$C$31)+(((($C224*$P$4)+'Calculs 3D'!$D$11-OffsetY)/Ecran)*'Calculs 3D'!$D$31)+(((($D224*$P$4)+'Calculs 3D'!$E$11-OffsetZ)/Ecran)*'Calculs 3D'!$E$31)),0)</f>
        <v>0.1706767325982842</v>
      </c>
      <c r="Q224" s="105">
        <f>IF(Body6Actif=TRUE,((((($B224*$P$4)+'Calculs 3D'!$C$11-OffsetX)/Ecran)*'Calculs 3D'!$C$32)+(((($C224*$P$4)+'Calculs 3D'!$D$11-OffsetY)/Ecran)*'Calculs 3D'!$D$32)+(((($D224*$P$4)+'Calculs 3D'!$E$11-OffsetZ)/Ecran)*'Calculs 3D'!$E$32)),0)</f>
        <v>0.14418048848918191</v>
      </c>
      <c r="R224" s="105">
        <f>IF(Body7Actif=TRUE,((((($B224*$R$4)+'Calculs 3D'!$C$12-OffsetX)/Ecran)*'Calculs 3D'!$C$31)+(((($C224*$R$4)+'Calculs 3D'!$D$12-OffsetY)/Ecran)*'Calculs 3D'!$D$31)+(((($D224*$R$4)+'Calculs 3D'!$E$12-OffsetZ)/Ecran)*'Calculs 3D'!$E$31)),0)</f>
        <v>-0.28073836751385717</v>
      </c>
      <c r="S224" s="105">
        <f>IF(Body7Actif=TRUE,((((($B224*$R$4)+'Calculs 3D'!$C$12-OffsetX)/Ecran)*'Calculs 3D'!$C$32)+(((($C224*$R$4)+'Calculs 3D'!$D$12-OffsetY)/Ecran)*'Calculs 3D'!$D$32)+(((($D224*$R$4)+'Calculs 3D'!$E$12-OffsetZ)/Ecran)*'Calculs 3D'!$E$32)),0)</f>
        <v>7.3516651425132598E-2</v>
      </c>
      <c r="T224" s="105">
        <f>IF(Body8Actif=TRUE,((((($B224*$T$4)+'Calculs 3D'!$C$13-OffsetX)/Ecran)*'Calculs 3D'!$C$31)+(((($C224*$T$4)+'Calculs 3D'!$D$13-OffsetY)/Ecran)*'Calculs 3D'!$D$31)+(((($D224*$T$4)+'Calculs 3D'!$E$13-OffsetZ)/Ecran)*'Calculs 3D'!$E$31)),0)</f>
        <v>0.16817081081111579</v>
      </c>
      <c r="U224" s="105">
        <f>IF(Body8Actif=TRUE,((((($B224*$T$4)+'Calculs 3D'!$C$13-OffsetX)/Ecran)*'Calculs 3D'!$C$32)+(((($C224*$T$4)+'Calculs 3D'!$D$13-OffsetY)/Ecran)*'Calculs 3D'!$D$32)+(((($D224*$T$4)+'Calculs 3D'!$E$13-OffsetZ)/Ecran)*'Calculs 3D'!$E$32)),0)</f>
        <v>-0.12654149440512596</v>
      </c>
      <c r="V224" s="105">
        <f>IF(Body9Actif=TRUE,((((($B224*$V$4)+'Calculs 3D'!$C$14-OffsetX)/Ecran)*'Calculs 3D'!$C$31)+(((($C224*$V$4)+'Calculs 3D'!$D$14-OffsetY)/Ecran)*'Calculs 3D'!$D$31)+(((($D224*$V$4)+'Calculs 3D'!$E$14-OffsetZ)/Ecran)*'Calculs 3D'!$E$31)),0)</f>
        <v>-0.17765889973758367</v>
      </c>
      <c r="W224" s="105">
        <f>IF(Body9Actif=TRUE,((((($B224*$V$4)+'Calculs 3D'!$C$14-OffsetX)/Ecran)*'Calculs 3D'!$C$32)+(((($C224*$V$4)+'Calculs 3D'!$D$14-OffsetY)/Ecran)*'Calculs 3D'!$D$32)+(((($D224*$V$4)+'Calculs 3D'!$E$14-OffsetZ)/Ecran)*'Calculs 3D'!$E$32)),0)</f>
        <v>0.294264004953669</v>
      </c>
      <c r="X224" s="105">
        <f>IF(Body10Actif=TRUE,((((($B224*$X$4)+'Calculs 3D'!$C$15-OffsetX)/Ecran)*'Calculs 3D'!$C$31)+(((($C224*$X$4)+'Calculs 3D'!$D$15-OffsetY)/Ecran)*'Calculs 3D'!$D$31)+(((($D224*$X$4)+'Calculs 3D'!$E$15-OffsetZ)/Ecran)*'Calculs 3D'!$E$31)),0)</f>
        <v>-1.5442457044756913E-2</v>
      </c>
      <c r="Y224" s="105">
        <f>IF(Body10Actif=TRUE,((((($B224*$X$4)+'Calculs 3D'!$C$15-OffsetX)/Ecran)*'Calculs 3D'!$C$32)+(((($C224*$X$4)+'Calculs 3D'!$D$15-OffsetY)/Ecran)*'Calculs 3D'!$D$32)+(((($D224*$X$4)+'Calculs 3D'!$E$15-OffsetZ)/Ecran)*'Calculs 3D'!$E$32)),0)</f>
        <v>0.30098305611565546</v>
      </c>
    </row>
    <row r="225" spans="2:25" x14ac:dyDescent="0.3">
      <c r="B225" s="19"/>
      <c r="C225" s="19"/>
      <c r="D225" s="19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2:25" x14ac:dyDescent="0.3">
      <c r="B226" s="101">
        <v>0</v>
      </c>
      <c r="C226" s="101">
        <v>1</v>
      </c>
      <c r="D226" s="101">
        <v>0</v>
      </c>
      <c r="F226" s="105">
        <f>IF(Body1Actif=TRUE,((((($B226*$F$4)+'Calculs 3D'!$C$6-OffsetX)/Ecran)*'Calculs 3D'!$C$31)+(((($C226*$F$4)+'Calculs 3D'!$D$6-OffsetY)/Ecran)*'Calculs 3D'!$D$31)+(((($D226*$F$4)+'Calculs 3D'!$E$6-OffsetZ)/Ecran)*'Calculs 3D'!$E$31)),0)</f>
        <v>5.2799151439763735E-2</v>
      </c>
      <c r="G226" s="105">
        <f>IF(Body1Actif=TRUE,((((($B226*$F$4)+'Calculs 3D'!$C$6-OffsetX)/Ecran)*'Calculs 3D'!$C$32)+(((($C226*$F$4)+'Calculs 3D'!$D$6-OffsetY)/Ecran)*'Calculs 3D'!$D$32)+(((($D226*$F$4)+'Calculs 3D'!$E$6-OffsetZ)/Ecran)*'Calculs 3D'!$E$32)),0)</f>
        <v>0.26583734362490141</v>
      </c>
      <c r="H226" s="105">
        <f>IF(Body2Actif=TRUE,((((($B226*$H$4)+'Calculs 3D'!$C$7-OffsetX)/Ecran)*'Calculs 3D'!$C$31)+(((($C226*$H$4)+'Calculs 3D'!$D$7-OffsetY)/Ecran)*'Calculs 3D'!$D$31)+(((($D226*$H$4)+'Calculs 3D'!$E$7-OffsetZ)/Ecran)*'Calculs 3D'!$E$31)),0)</f>
        <v>3.390137724432616E-2</v>
      </c>
      <c r="I226" s="105">
        <f>IF(Body2Actif=TRUE,((((($B226*$H$4)+'Calculs 3D'!$C$7-OffsetX)/Ecran)*'Calculs 3D'!$C$32)+(((($C226*$H$4)+'Calculs 3D'!$D$7-OffsetY)/Ecran)*'Calculs 3D'!$D$32)+(((($D226*$H$4)+'Calculs 3D'!$E$7-OffsetZ)/Ecran)*'Calculs 3D'!$E$32)),0)</f>
        <v>3.8015476804197923E-2</v>
      </c>
      <c r="J226" s="105">
        <f>IF(Body3Actif=TRUE,((((($B226*$J$4)+'Calculs 3D'!$C$8-OffsetX)/Ecran)*'Calculs 3D'!$C$31)+(((($C226*$J$4)+'Calculs 3D'!$D$8-OffsetY)/Ecran)*'Calculs 3D'!$D$31)+(((($D226*$J$4)+'Calculs 3D'!$E$8-OffsetZ)/Ecran)*'Calculs 3D'!$E$31)),0)</f>
        <v>0.22250570501557851</v>
      </c>
      <c r="K226" s="105">
        <f>IF(Body3Actif=TRUE,((((($B226*$J$4)+'Calculs 3D'!$C$8-OffsetX)/Ecran)*'Calculs 3D'!$C$32)+(((($C226*$J$4)+'Calculs 3D'!$D$8-OffsetY)/Ecran)*'Calculs 3D'!$D$32)+(((($D226*$J$4)+'Calculs 3D'!$E$8-OffsetZ)/Ecran)*'Calculs 3D'!$E$32)),0)</f>
        <v>-7.7447179040650543E-2</v>
      </c>
      <c r="L226" s="105">
        <f>IF(Body4Actif=TRUE,((((($B226*$L$4)+'Calculs 3D'!$C$9-OffsetX)/Ecran)*'Calculs 3D'!$C$31)+(((($C226*$L$4)+'Calculs 3D'!$D$9-OffsetY)/Ecran)*'Calculs 3D'!$D$31)+(((($D226*$L$4)+'Calculs 3D'!$E$9-OffsetZ)/Ecran)*'Calculs 3D'!$E$31)),0)</f>
        <v>-8.9525495108654748E-2</v>
      </c>
      <c r="M226" s="105">
        <f>IF(Body4Actif=TRUE,((((($B226*$L$4)+'Calculs 3D'!$C$9-OffsetX)/Ecran)*'Calculs 3D'!$C$32)+(((($C226*$L$4)+'Calculs 3D'!$D$9-OffsetY)/Ecran)*'Calculs 3D'!$D$32)+(((($D226*$L$4)+'Calculs 3D'!$E$9-OffsetZ)/Ecran)*'Calculs 3D'!$E$32)),0)</f>
        <v>-0.16766273696928549</v>
      </c>
      <c r="N226" s="105">
        <f>IF(Body5Actif=TRUE,((((($B226*$N$4)+'Calculs 3D'!$C$10-OffsetX)/Ecran)*'Calculs 3D'!$C$31)+(((($C226*$N$4)+'Calculs 3D'!$D$10-OffsetY)/Ecran)*'Calculs 3D'!$D$31)+(((($D226*$N$4)+'Calculs 3D'!$E$10-OffsetZ)/Ecran)*'Calculs 3D'!$E$31)),0)</f>
        <v>6.5642612557963182E-3</v>
      </c>
      <c r="O226" s="105">
        <f>IF(Body5Actif=TRUE,((((($B226*$N$4)+'Calculs 3D'!$C$10-OffsetX)/Ecran)*'Calculs 3D'!$C$32)+(((($C226*$N$4)+'Calculs 3D'!$D$10-OffsetY)/Ecran)*'Calculs 3D'!$D$32)+(((($D226*$N$4)+'Calculs 3D'!$E$10-OffsetZ)/Ecran)*'Calculs 3D'!$E$32)),0)</f>
        <v>-1.1890158940603725E-4</v>
      </c>
      <c r="P226" s="105">
        <f>IF(Body6Actif=TRUE,((((($B226*$P$4)+'Calculs 3D'!$C$11-OffsetX)/Ecran)*'Calculs 3D'!$C$31)+(((($C226*$P$4)+'Calculs 3D'!$D$11-OffsetY)/Ecran)*'Calculs 3D'!$D$31)+(((($D226*$P$4)+'Calculs 3D'!$E$11-OffsetZ)/Ecran)*'Calculs 3D'!$E$31)),0)</f>
        <v>0.17894936304129166</v>
      </c>
      <c r="Q226" s="105">
        <f>IF(Body6Actif=TRUE,((((($B226*$P$4)+'Calculs 3D'!$C$11-OffsetX)/Ecran)*'Calculs 3D'!$C$32)+(((($C226*$P$4)+'Calculs 3D'!$D$11-OffsetY)/Ecran)*'Calculs 3D'!$D$32)+(((($D226*$P$4)+'Calculs 3D'!$E$11-OffsetZ)/Ecran)*'Calculs 3D'!$E$32)),0)</f>
        <v>0.14009994200361059</v>
      </c>
      <c r="R226" s="105">
        <f>IF(Body7Actif=TRUE,((((($B226*$R$4)+'Calculs 3D'!$C$12-OffsetX)/Ecran)*'Calculs 3D'!$C$31)+(((($C226*$R$4)+'Calculs 3D'!$D$12-OffsetY)/Ecran)*'Calculs 3D'!$D$31)+(((($D226*$R$4)+'Calculs 3D'!$E$12-OffsetZ)/Ecran)*'Calculs 3D'!$E$31)),0)</f>
        <v>-0.27243046666912274</v>
      </c>
      <c r="S226" s="105">
        <f>IF(Body7Actif=TRUE,((((($B226*$R$4)+'Calculs 3D'!$C$12-OffsetX)/Ecran)*'Calculs 3D'!$C$32)+(((($C226*$R$4)+'Calculs 3D'!$D$12-OffsetY)/Ecran)*'Calculs 3D'!$D$32)+(((($D226*$R$4)+'Calculs 3D'!$E$12-OffsetZ)/Ecran)*'Calculs 3D'!$E$32)),0)</f>
        <v>6.9418707508985447E-2</v>
      </c>
      <c r="T226" s="105">
        <f>IF(Body8Actif=TRUE,((((($B226*$T$4)+'Calculs 3D'!$C$13-OffsetX)/Ecran)*'Calculs 3D'!$C$31)+(((($C226*$T$4)+'Calculs 3D'!$D$13-OffsetY)/Ecran)*'Calculs 3D'!$D$31)+(((($D226*$T$4)+'Calculs 3D'!$E$13-OffsetZ)/Ecran)*'Calculs 3D'!$E$31)),0)</f>
        <v>0.17116714235887442</v>
      </c>
      <c r="U226" s="105">
        <f>IF(Body8Actif=TRUE,((((($B226*$T$4)+'Calculs 3D'!$C$13-OffsetX)/Ecran)*'Calculs 3D'!$C$32)+(((($C226*$T$4)+'Calculs 3D'!$D$13-OffsetY)/Ecran)*'Calculs 3D'!$D$32)+(((($D226*$T$4)+'Calculs 3D'!$E$13-OffsetZ)/Ecran)*'Calculs 3D'!$E$32)),0)</f>
        <v>-0.12801946084531041</v>
      </c>
      <c r="V226" s="105">
        <f>IF(Body9Actif=TRUE,((((($B226*$V$4)+'Calculs 3D'!$C$14-OffsetX)/Ecran)*'Calculs 3D'!$C$31)+(((($C226*$V$4)+'Calculs 3D'!$D$14-OffsetY)/Ecran)*'Calculs 3D'!$D$31)+(((($D226*$V$4)+'Calculs 3D'!$E$14-OffsetZ)/Ecran)*'Calculs 3D'!$E$31)),0)</f>
        <v>-0.17350144195057821</v>
      </c>
      <c r="W226" s="105">
        <f>IF(Body9Actif=TRUE,((((($B226*$V$4)+'Calculs 3D'!$C$14-OffsetX)/Ecran)*'Calculs 3D'!$C$32)+(((($C226*$V$4)+'Calculs 3D'!$D$14-OffsetY)/Ecran)*'Calculs 3D'!$D$32)+(((($D226*$V$4)+'Calculs 3D'!$E$14-OffsetZ)/Ecran)*'Calculs 3D'!$E$32)),0)</f>
        <v>0.29221330295766534</v>
      </c>
      <c r="X226" s="105">
        <f>IF(Body10Actif=TRUE,((((($B226*$X$4)+'Calculs 3D'!$C$15-OffsetX)/Ecran)*'Calculs 3D'!$C$31)+(((($C226*$X$4)+'Calculs 3D'!$D$15-OffsetY)/Ecran)*'Calculs 3D'!$D$31)+(((($D226*$X$4)+'Calculs 3D'!$E$15-OffsetZ)/Ecran)*'Calculs 3D'!$E$31)),0)</f>
        <v>-9.1669653582452382E-3</v>
      </c>
      <c r="Y226" s="105">
        <f>IF(Body10Actif=TRUE,((((($B226*$X$4)+'Calculs 3D'!$C$15-OffsetX)/Ecran)*'Calculs 3D'!$C$32)+(((($C226*$X$4)+'Calculs 3D'!$D$15-OffsetY)/Ecran)*'Calculs 3D'!$D$32)+(((($D226*$X$4)+'Calculs 3D'!$E$15-OffsetZ)/Ecran)*'Calculs 3D'!$E$32)),0)</f>
        <v>0.29788761558763427</v>
      </c>
    </row>
    <row r="227" spans="2:25" x14ac:dyDescent="0.3">
      <c r="B227" s="102">
        <v>0</v>
      </c>
      <c r="C227" s="102">
        <v>0.95105651629515353</v>
      </c>
      <c r="D227" s="102">
        <v>0.3090169943749474</v>
      </c>
      <c r="F227" s="105">
        <f>IF(Body1Actif=TRUE,((((($B227*$F$4)+'Calculs 3D'!$C$6-OffsetX)/Ecran)*'Calculs 3D'!$C$31)+(((($C227*$F$4)+'Calculs 3D'!$D$6-OffsetY)/Ecran)*'Calculs 3D'!$D$31)+(((($D227*$F$4)+'Calculs 3D'!$E$6-OffsetZ)/Ecran)*'Calculs 3D'!$E$31)),0)</f>
        <v>5.269049807119016E-2</v>
      </c>
      <c r="G227" s="105">
        <f>IF(Body1Actif=TRUE,((((($B227*$F$4)+'Calculs 3D'!$C$6-OffsetX)/Ecran)*'Calculs 3D'!$C$32)+(((($C227*$F$4)+'Calculs 3D'!$D$6-OffsetY)/Ecran)*'Calculs 3D'!$D$32)+(((($D227*$F$4)+'Calculs 3D'!$E$6-OffsetZ)/Ecran)*'Calculs 3D'!$E$32)),0)</f>
        <v>0.26666496802081296</v>
      </c>
      <c r="H227" s="105">
        <f>IF(Body2Actif=TRUE,((((($B227*$H$4)+'Calculs 3D'!$C$7-OffsetX)/Ecran)*'Calculs 3D'!$C$31)+(((($C227*$H$4)+'Calculs 3D'!$D$7-OffsetY)/Ecran)*'Calculs 3D'!$D$31)+(((($D227*$H$4)+'Calculs 3D'!$E$7-OffsetZ)/Ecran)*'Calculs 3D'!$E$31)),0)</f>
        <v>3.3477859838657101E-2</v>
      </c>
      <c r="I227" s="105">
        <f>IF(Body2Actif=TRUE,((((($B227*$H$4)+'Calculs 3D'!$C$7-OffsetX)/Ecran)*'Calculs 3D'!$C$32)+(((($C227*$H$4)+'Calculs 3D'!$D$7-OffsetY)/Ecran)*'Calculs 3D'!$D$32)+(((($D227*$H$4)+'Calculs 3D'!$E$7-OffsetZ)/Ecran)*'Calculs 3D'!$E$32)),0)</f>
        <v>4.1241454439557894E-2</v>
      </c>
      <c r="J227" s="105">
        <f>IF(Body3Actif=TRUE,((((($B227*$J$4)+'Calculs 3D'!$C$8-OffsetX)/Ecran)*'Calculs 3D'!$C$31)+(((($C227*$J$4)+'Calculs 3D'!$D$8-OffsetY)/Ecran)*'Calculs 3D'!$D$31)+(((($D227*$J$4)+'Calculs 3D'!$E$8-OffsetZ)/Ecran)*'Calculs 3D'!$E$31)),0)</f>
        <v>0.22231748447263877</v>
      </c>
      <c r="K227" s="105">
        <f>IF(Body3Actif=TRUE,((((($B227*$J$4)+'Calculs 3D'!$C$8-OffsetX)/Ecran)*'Calculs 3D'!$C$32)+(((($C227*$J$4)+'Calculs 3D'!$D$8-OffsetY)/Ecran)*'Calculs 3D'!$D$32)+(((($D227*$J$4)+'Calculs 3D'!$E$8-OffsetZ)/Ecran)*'Calculs 3D'!$E$32)),0)</f>
        <v>-7.6013482918812103E-2</v>
      </c>
      <c r="L227" s="105">
        <f>IF(Body4Actif=TRUE,((((($B227*$L$4)+'Calculs 3D'!$C$9-OffsetX)/Ecran)*'Calculs 3D'!$C$31)+(((($C227*$L$4)+'Calculs 3D'!$D$9-OffsetY)/Ecran)*'Calculs 3D'!$D$31)+(((($D227*$L$4)+'Calculs 3D'!$E$9-OffsetZ)/Ecran)*'Calculs 3D'!$E$31)),0)</f>
        <v>-8.9770236886335689E-2</v>
      </c>
      <c r="M227" s="105">
        <f>IF(Body4Actif=TRUE,((((($B227*$L$4)+'Calculs 3D'!$C$9-OffsetX)/Ecran)*'Calculs 3D'!$C$32)+(((($C227*$L$4)+'Calculs 3D'!$D$9-OffsetY)/Ecran)*'Calculs 3D'!$D$32)+(((($D227*$L$4)+'Calculs 3D'!$E$9-OffsetZ)/Ecran)*'Calculs 3D'!$E$32)),0)</f>
        <v>-0.16579851252261926</v>
      </c>
      <c r="N227" s="105">
        <f>IF(Body5Actif=TRUE,((((($B227*$N$4)+'Calculs 3D'!$C$10-OffsetX)/Ecran)*'Calculs 3D'!$C$31)+(((($C227*$N$4)+'Calculs 3D'!$D$10-OffsetY)/Ecran)*'Calculs 3D'!$D$31)+(((($D227*$N$4)+'Calculs 3D'!$E$10-OffsetZ)/Ecran)*'Calculs 3D'!$E$31)),0)</f>
        <v>6.2848660486198218E-3</v>
      </c>
      <c r="O227" s="105">
        <f>IF(Body5Actif=TRUE,((((($B227*$N$4)+'Calculs 3D'!$C$10-OffsetX)/Ecran)*'Calculs 3D'!$C$32)+(((($C227*$N$4)+'Calculs 3D'!$D$10-OffsetY)/Ecran)*'Calculs 3D'!$D$32)+(((($D227*$N$4)+'Calculs 3D'!$E$10-OffsetZ)/Ecran)*'Calculs 3D'!$E$32)),0)</f>
        <v>2.0092817572837565E-3</v>
      </c>
      <c r="P227" s="105">
        <f>IF(Body6Actif=TRUE,((((($B227*$P$4)+'Calculs 3D'!$C$11-OffsetX)/Ecran)*'Calculs 3D'!$C$31)+(((($C227*$P$4)+'Calculs 3D'!$D$11-OffsetY)/Ecran)*'Calculs 3D'!$D$31)+(((($D227*$P$4)+'Calculs 3D'!$E$11-OffsetZ)/Ecran)*'Calculs 3D'!$E$31)),0)</f>
        <v>0.17854447168800813</v>
      </c>
      <c r="Q227" s="105">
        <f>IF(Body6Actif=TRUE,((((($B227*$P$4)+'Calculs 3D'!$C$11-OffsetX)/Ecran)*'Calculs 3D'!$C$32)+(((($C227*$P$4)+'Calculs 3D'!$D$11-OffsetY)/Ecran)*'Calculs 3D'!$D$32)+(((($D227*$P$4)+'Calculs 3D'!$E$11-OffsetZ)/Ecran)*'Calculs 3D'!$E$32)),0)</f>
        <v>0.14318404299440685</v>
      </c>
      <c r="R227" s="105">
        <f>IF(Body7Actif=TRUE,((((($B227*$R$4)+'Calculs 3D'!$C$12-OffsetX)/Ecran)*'Calculs 3D'!$C$31)+(((($C227*$R$4)+'Calculs 3D'!$D$12-OffsetY)/Ecran)*'Calculs 3D'!$D$31)+(((($D227*$R$4)+'Calculs 3D'!$E$12-OffsetZ)/Ecran)*'Calculs 3D'!$E$31)),0)</f>
        <v>-0.27283708427873843</v>
      </c>
      <c r="S227" s="105">
        <f>IF(Body7Actif=TRUE,((((($B227*$R$4)+'Calculs 3D'!$C$12-OffsetX)/Ecran)*'Calculs 3D'!$C$32)+(((($C227*$R$4)+'Calculs 3D'!$D$12-OffsetY)/Ecran)*'Calculs 3D'!$D$32)+(((($D227*$R$4)+'Calculs 3D'!$E$12-OffsetZ)/Ecran)*'Calculs 3D'!$E$32)),0)</f>
        <v>7.2515957579951676E-2</v>
      </c>
      <c r="T227" s="105">
        <f>IF(Body8Actif=TRUE,((((($B227*$T$4)+'Calculs 3D'!$C$13-OffsetX)/Ecran)*'Calculs 3D'!$C$31)+(((($C227*$T$4)+'Calculs 3D'!$D$13-OffsetY)/Ecran)*'Calculs 3D'!$D$31)+(((($D227*$T$4)+'Calculs 3D'!$E$13-OffsetZ)/Ecran)*'Calculs 3D'!$E$31)),0)</f>
        <v>0.17102049145459236</v>
      </c>
      <c r="U227" s="105">
        <f>IF(Body8Actif=TRUE,((((($B227*$T$4)+'Calculs 3D'!$C$13-OffsetX)/Ecran)*'Calculs 3D'!$C$32)+(((($C227*$T$4)+'Calculs 3D'!$D$13-OffsetY)/Ecran)*'Calculs 3D'!$D$32)+(((($D227*$T$4)+'Calculs 3D'!$E$13-OffsetZ)/Ecran)*'Calculs 3D'!$E$32)),0)</f>
        <v>-0.12690240513263712</v>
      </c>
      <c r="V227" s="105">
        <f>IF(Body9Actif=TRUE,((((($B227*$V$4)+'Calculs 3D'!$C$14-OffsetX)/Ecran)*'Calculs 3D'!$C$31)+(((($C227*$V$4)+'Calculs 3D'!$D$14-OffsetY)/Ecran)*'Calculs 3D'!$D$31)+(((($D227*$V$4)+'Calculs 3D'!$E$14-OffsetZ)/Ecran)*'Calculs 3D'!$E$31)),0)</f>
        <v>-0.17370492241803009</v>
      </c>
      <c r="W227" s="105">
        <f>IF(Body9Actif=TRUE,((((($B227*$V$4)+'Calculs 3D'!$C$14-OffsetX)/Ecran)*'Calculs 3D'!$C$32)+(((($C227*$V$4)+'Calculs 3D'!$D$14-OffsetY)/Ecran)*'Calculs 3D'!$D$32)+(((($D227*$V$4)+'Calculs 3D'!$E$14-OffsetZ)/Ecran)*'Calculs 3D'!$E$32)),0)</f>
        <v>0.29376323556597317</v>
      </c>
      <c r="X227" s="105">
        <f>IF(Body10Actif=TRUE,((((($B227*$X$4)+'Calculs 3D'!$C$15-OffsetX)/Ecran)*'Calculs 3D'!$C$31)+(((($C227*$X$4)+'Calculs 3D'!$D$15-OffsetY)/Ecran)*'Calculs 3D'!$D$31)+(((($D227*$X$4)+'Calculs 3D'!$E$15-OffsetZ)/Ecran)*'Calculs 3D'!$E$31)),0)</f>
        <v>-9.4741097833438981E-3</v>
      </c>
      <c r="Y227" s="105">
        <f>IF(Body10Actif=TRUE,((((($B227*$X$4)+'Calculs 3D'!$C$15-OffsetX)/Ecran)*'Calculs 3D'!$C$32)+(((($C227*$X$4)+'Calculs 3D'!$D$15-OffsetY)/Ecran)*'Calculs 3D'!$D$32)+(((($D227*$X$4)+'Calculs 3D'!$E$15-OffsetZ)/Ecran)*'Calculs 3D'!$E$32)),0)</f>
        <v>0.30022716771212976</v>
      </c>
    </row>
    <row r="228" spans="2:25" x14ac:dyDescent="0.3">
      <c r="B228" s="102">
        <v>0</v>
      </c>
      <c r="C228" s="102">
        <v>0.80901699437494745</v>
      </c>
      <c r="D228" s="102">
        <v>0.58778525229247314</v>
      </c>
      <c r="F228" s="105">
        <f>IF(Body1Actif=TRUE,((((($B228*$F$4)+'Calculs 3D'!$C$6-OffsetX)/Ecran)*'Calculs 3D'!$C$31)+(((($C228*$F$4)+'Calculs 3D'!$D$6-OffsetY)/Ecran)*'Calculs 3D'!$D$31)+(((($D228*$F$4)+'Calculs 3D'!$E$6-OffsetZ)/Ecran)*'Calculs 3D'!$E$31)),0)</f>
        <v>5.2375173714217953E-2</v>
      </c>
      <c r="G228" s="105">
        <f>IF(Body1Actif=TRUE,((((($B228*$F$4)+'Calculs 3D'!$C$6-OffsetX)/Ecran)*'Calculs 3D'!$C$32)+(((($C228*$F$4)+'Calculs 3D'!$D$6-OffsetY)/Ecran)*'Calculs 3D'!$D$32)+(((($D228*$F$4)+'Calculs 3D'!$E$6-OffsetZ)/Ecran)*'Calculs 3D'!$E$32)),0)</f>
        <v>0.26722743623463985</v>
      </c>
      <c r="H228" s="105">
        <f>IF(Body2Actif=TRUE,((((($B228*$H$4)+'Calculs 3D'!$C$7-OffsetX)/Ecran)*'Calculs 3D'!$C$31)+(((($C228*$H$4)+'Calculs 3D'!$D$7-OffsetY)/Ecran)*'Calculs 3D'!$D$31)+(((($D228*$H$4)+'Calculs 3D'!$E$7-OffsetZ)/Ecran)*'Calculs 3D'!$E$31)),0)</f>
        <v>3.2248764456136114E-2</v>
      </c>
      <c r="I228" s="105">
        <f>IF(Body2Actif=TRUE,((((($B228*$H$4)+'Calculs 3D'!$C$7-OffsetX)/Ecran)*'Calculs 3D'!$C$32)+(((($C228*$H$4)+'Calculs 3D'!$D$7-OffsetY)/Ecran)*'Calculs 3D'!$D$32)+(((($D228*$H$4)+'Calculs 3D'!$E$7-OffsetZ)/Ecran)*'Calculs 3D'!$E$32)),0)</f>
        <v>4.3433886039411777E-2</v>
      </c>
      <c r="J228" s="105">
        <f>IF(Body3Actif=TRUE,((((($B228*$J$4)+'Calculs 3D'!$C$8-OffsetX)/Ecran)*'Calculs 3D'!$C$31)+(((($C228*$J$4)+'Calculs 3D'!$D$8-OffsetY)/Ecran)*'Calculs 3D'!$D$31)+(((($D228*$J$4)+'Calculs 3D'!$E$8-OffsetZ)/Ecran)*'Calculs 3D'!$E$31)),0)</f>
        <v>0.22177124718197225</v>
      </c>
      <c r="K228" s="105">
        <f>IF(Body3Actif=TRUE,((((($B228*$J$4)+'Calculs 3D'!$C$8-OffsetX)/Ecran)*'Calculs 3D'!$C$32)+(((($C228*$J$4)+'Calculs 3D'!$D$8-OffsetY)/Ecran)*'Calculs 3D'!$D$32)+(((($D228*$J$4)+'Calculs 3D'!$E$8-OffsetZ)/Ecran)*'Calculs 3D'!$E$32)),0)</f>
        <v>-7.5039117613965256E-2</v>
      </c>
      <c r="L228" s="105">
        <f>IF(Body4Actif=TRUE,((((($B228*$L$4)+'Calculs 3D'!$C$9-OffsetX)/Ecran)*'Calculs 3D'!$C$31)+(((($C228*$L$4)+'Calculs 3D'!$D$9-OffsetY)/Ecran)*'Calculs 3D'!$D$31)+(((($D228*$L$4)+'Calculs 3D'!$E$9-OffsetZ)/Ecran)*'Calculs 3D'!$E$31)),0)</f>
        <v>-9.0480505188962834E-2</v>
      </c>
      <c r="M228" s="105">
        <f>IF(Body4Actif=TRUE,((((($B228*$L$4)+'Calculs 3D'!$C$9-OffsetX)/Ecran)*'Calculs 3D'!$C$32)+(((($C228*$L$4)+'Calculs 3D'!$D$9-OffsetY)/Ecran)*'Calculs 3D'!$D$32)+(((($D228*$L$4)+'Calculs 3D'!$E$9-OffsetZ)/Ecran)*'Calculs 3D'!$E$32)),0)</f>
        <v>-0.16453155253464802</v>
      </c>
      <c r="N228" s="105">
        <f>IF(Body5Actif=TRUE,((((($B228*$N$4)+'Calculs 3D'!$C$10-OffsetX)/Ecran)*'Calculs 3D'!$C$31)+(((($C228*$N$4)+'Calculs 3D'!$D$10-OffsetY)/Ecran)*'Calculs 3D'!$D$31)+(((($D228*$N$4)+'Calculs 3D'!$E$10-OffsetZ)/Ecran)*'Calculs 3D'!$E$31)),0)</f>
        <v>5.4740295766296417E-3</v>
      </c>
      <c r="O228" s="105">
        <f>IF(Body5Actif=TRUE,((((($B228*$N$4)+'Calculs 3D'!$C$10-OffsetX)/Ecran)*'Calculs 3D'!$C$32)+(((($C228*$N$4)+'Calculs 3D'!$D$10-OffsetY)/Ecran)*'Calculs 3D'!$D$32)+(((($D228*$N$4)+'Calculs 3D'!$E$10-OffsetZ)/Ecran)*'Calculs 3D'!$E$32)),0)</f>
        <v>3.4556328938888346E-3</v>
      </c>
      <c r="P228" s="105">
        <f>IF(Body6Actif=TRUE,((((($B228*$P$4)+'Calculs 3D'!$C$11-OffsetX)/Ecran)*'Calculs 3D'!$C$31)+(((($C228*$P$4)+'Calculs 3D'!$D$11-OffsetY)/Ecran)*'Calculs 3D'!$D$31)+(((($D228*$P$4)+'Calculs 3D'!$E$11-OffsetZ)/Ecran)*'Calculs 3D'!$E$31)),0)</f>
        <v>0.17736943121486082</v>
      </c>
      <c r="Q228" s="105">
        <f>IF(Body6Actif=TRUE,((((($B228*$P$4)+'Calculs 3D'!$C$11-OffsetX)/Ecran)*'Calculs 3D'!$C$32)+(((($C228*$P$4)+'Calculs 3D'!$D$11-OffsetY)/Ecran)*'Calculs 3D'!$D$32)+(((($D228*$P$4)+'Calculs 3D'!$E$11-OffsetZ)/Ecran)*'Calculs 3D'!$E$32)),0)</f>
        <v>0.14528005271104202</v>
      </c>
      <c r="R228" s="105">
        <f>IF(Body7Actif=TRUE,((((($B228*$R$4)+'Calculs 3D'!$C$12-OffsetX)/Ecran)*'Calculs 3D'!$C$31)+(((($C228*$R$4)+'Calculs 3D'!$D$12-OffsetY)/Ecran)*'Calculs 3D'!$D$31)+(((($D228*$R$4)+'Calculs 3D'!$E$12-OffsetZ)/Ecran)*'Calculs 3D'!$E$31)),0)</f>
        <v>-0.27401713454288501</v>
      </c>
      <c r="S228" s="105">
        <f>IF(Body7Actif=TRUE,((((($B228*$R$4)+'Calculs 3D'!$C$12-OffsetX)/Ecran)*'Calculs 3D'!$C$32)+(((($C228*$R$4)+'Calculs 3D'!$D$12-OffsetY)/Ecran)*'Calculs 3D'!$D$32)+(((($D228*$R$4)+'Calculs 3D'!$E$12-OffsetZ)/Ecran)*'Calculs 3D'!$E$32)),0)</f>
        <v>7.4620903644612893E-2</v>
      </c>
      <c r="T228" s="105">
        <f>IF(Body8Actif=TRUE,((((($B228*$T$4)+'Calculs 3D'!$C$13-OffsetX)/Ecran)*'Calculs 3D'!$C$31)+(((($C228*$T$4)+'Calculs 3D'!$D$13-OffsetY)/Ecran)*'Calculs 3D'!$D$31)+(((($D228*$T$4)+'Calculs 3D'!$E$13-OffsetZ)/Ecran)*'Calculs 3D'!$E$31)),0)</f>
        <v>0.17059489395403429</v>
      </c>
      <c r="U228" s="105">
        <f>IF(Body8Actif=TRUE,((((($B228*$T$4)+'Calculs 3D'!$C$13-OffsetX)/Ecran)*'Calculs 3D'!$C$32)+(((($C228*$T$4)+'Calculs 3D'!$D$13-OffsetY)/Ecran)*'Calculs 3D'!$D$32)+(((($D228*$T$4)+'Calculs 3D'!$E$13-OffsetZ)/Ecran)*'Calculs 3D'!$E$32)),0)</f>
        <v>-0.12614323426411717</v>
      </c>
      <c r="V228" s="105">
        <f>IF(Body9Actif=TRUE,((((($B228*$V$4)+'Calculs 3D'!$C$14-OffsetX)/Ecran)*'Calculs 3D'!$C$31)+(((($C228*$V$4)+'Calculs 3D'!$D$14-OffsetY)/Ecran)*'Calculs 3D'!$D$31)+(((($D228*$V$4)+'Calculs 3D'!$E$14-OffsetZ)/Ecran)*'Calculs 3D'!$E$31)),0)</f>
        <v>-0.17429544573449979</v>
      </c>
      <c r="W228" s="105">
        <f>IF(Body9Actif=TRUE,((((($B228*$V$4)+'Calculs 3D'!$C$14-OffsetX)/Ecran)*'Calculs 3D'!$C$32)+(((($C228*$V$4)+'Calculs 3D'!$D$14-OffsetY)/Ecran)*'Calculs 3D'!$D$32)+(((($D228*$V$4)+'Calculs 3D'!$E$14-OffsetZ)/Ecran)*'Calculs 3D'!$E$32)),0)</f>
        <v>0.29481659724797959</v>
      </c>
      <c r="X228" s="105">
        <f>IF(Body10Actif=TRUE,((((($B228*$X$4)+'Calculs 3D'!$C$15-OffsetX)/Ecran)*'Calculs 3D'!$C$31)+(((($C228*$X$4)+'Calculs 3D'!$D$15-OffsetY)/Ecran)*'Calculs 3D'!$D$31)+(((($D228*$X$4)+'Calculs 3D'!$E$15-OffsetZ)/Ecran)*'Calculs 3D'!$E$31)),0)</f>
        <v>-1.0365477622310271E-2</v>
      </c>
      <c r="Y228" s="105">
        <f>IF(Body10Actif=TRUE,((((($B228*$X$4)+'Calculs 3D'!$C$15-OffsetX)/Ecran)*'Calculs 3D'!$C$32)+(((($C228*$X$4)+'Calculs 3D'!$D$15-OffsetY)/Ecran)*'Calculs 3D'!$D$32)+(((($D228*$X$4)+'Calculs 3D'!$E$15-OffsetZ)/Ecran)*'Calculs 3D'!$E$32)),0)</f>
        <v>0.30181716881784937</v>
      </c>
    </row>
    <row r="229" spans="2:25" x14ac:dyDescent="0.3">
      <c r="B229" s="102">
        <v>0</v>
      </c>
      <c r="C229" s="102">
        <v>0.58778525229247314</v>
      </c>
      <c r="D229" s="102">
        <v>0.80901699437494745</v>
      </c>
      <c r="F229" s="105">
        <f>IF(Body1Actif=TRUE,((((($B229*$F$4)+'Calculs 3D'!$C$6-OffsetX)/Ecran)*'Calculs 3D'!$C$31)+(((($C229*$F$4)+'Calculs 3D'!$D$6-OffsetY)/Ecran)*'Calculs 3D'!$D$31)+(((($D229*$F$4)+'Calculs 3D'!$E$6-OffsetZ)/Ecran)*'Calculs 3D'!$E$31)),0)</f>
        <v>5.188404451390153E-2</v>
      </c>
      <c r="G229" s="105">
        <f>IF(Body1Actif=TRUE,((((($B229*$F$4)+'Calculs 3D'!$C$6-OffsetX)/Ecran)*'Calculs 3D'!$C$32)+(((($C229*$F$4)+'Calculs 3D'!$D$6-OffsetY)/Ecran)*'Calculs 3D'!$D$32)+(((($D229*$F$4)+'Calculs 3D'!$E$6-OffsetZ)/Ecran)*'Calculs 3D'!$E$32)),0)</f>
        <v>0.26746968995866621</v>
      </c>
      <c r="H229" s="105">
        <f>IF(Body2Actif=TRUE,((((($B229*$H$4)+'Calculs 3D'!$C$7-OffsetX)/Ecran)*'Calculs 3D'!$C$31)+(((($C229*$H$4)+'Calculs 3D'!$D$7-OffsetY)/Ecran)*'Calculs 3D'!$D$31)+(((($D229*$H$4)+'Calculs 3D'!$E$7-OffsetZ)/Ecran)*'Calculs 3D'!$E$31)),0)</f>
        <v>3.0334403516415403E-2</v>
      </c>
      <c r="I229" s="105">
        <f>IF(Body2Actif=TRUE,((((($B229*$H$4)+'Calculs 3D'!$C$7-OffsetX)/Ecran)*'Calculs 3D'!$C$32)+(((($C229*$H$4)+'Calculs 3D'!$D$7-OffsetY)/Ecran)*'Calculs 3D'!$D$32)+(((($D229*$H$4)+'Calculs 3D'!$E$7-OffsetZ)/Ecran)*'Calculs 3D'!$E$32)),0)</f>
        <v>4.4378161123196654E-2</v>
      </c>
      <c r="J229" s="105">
        <f>IF(Body3Actif=TRUE,((((($B229*$J$4)+'Calculs 3D'!$C$8-OffsetX)/Ecran)*'Calculs 3D'!$C$31)+(((($C229*$J$4)+'Calculs 3D'!$D$8-OffsetY)/Ecran)*'Calculs 3D'!$D$31)+(((($D229*$J$4)+'Calculs 3D'!$E$8-OffsetZ)/Ecran)*'Calculs 3D'!$E$31)),0)</f>
        <v>0.22092046265544832</v>
      </c>
      <c r="K229" s="105">
        <f>IF(Body3Actif=TRUE,((((($B229*$J$4)+'Calculs 3D'!$C$8-OffsetX)/Ecran)*'Calculs 3D'!$C$32)+(((($C229*$J$4)+'Calculs 3D'!$D$8-OffsetY)/Ecran)*'Calculs 3D'!$D$32)+(((($D229*$J$4)+'Calculs 3D'!$E$8-OffsetZ)/Ecran)*'Calculs 3D'!$E$32)),0)</f>
        <v>-7.4619460790950776E-2</v>
      </c>
      <c r="L229" s="105">
        <f>IF(Body4Actif=TRUE,((((($B229*$L$4)+'Calculs 3D'!$C$9-OffsetX)/Ecran)*'Calculs 3D'!$C$31)+(((($C229*$L$4)+'Calculs 3D'!$D$9-OffsetY)/Ecran)*'Calculs 3D'!$D$31)+(((($D229*$L$4)+'Calculs 3D'!$E$9-OffsetZ)/Ecran)*'Calculs 3D'!$E$31)),0)</f>
        <v>-9.1586774006344782E-2</v>
      </c>
      <c r="M229" s="105">
        <f>IF(Body4Actif=TRUE,((((($B229*$L$4)+'Calculs 3D'!$C$9-OffsetX)/Ecran)*'Calculs 3D'!$C$32)+(((($C229*$L$4)+'Calculs 3D'!$D$9-OffsetY)/Ecran)*'Calculs 3D'!$D$32)+(((($D229*$L$4)+'Calculs 3D'!$E$9-OffsetZ)/Ecran)*'Calculs 3D'!$E$32)),0)</f>
        <v>-0.16398587587642369</v>
      </c>
      <c r="N229" s="105">
        <f>IF(Body5Actif=TRUE,((((($B229*$N$4)+'Calculs 3D'!$C$10-OffsetX)/Ecran)*'Calculs 3D'!$C$31)+(((($C229*$N$4)+'Calculs 3D'!$D$10-OffsetY)/Ecran)*'Calculs 3D'!$D$31)+(((($D229*$N$4)+'Calculs 3D'!$E$10-OffsetZ)/Ecran)*'Calculs 3D'!$E$31)),0)</f>
        <v>4.2111221631340682E-3</v>
      </c>
      <c r="O229" s="105">
        <f>IF(Body5Actif=TRUE,((((($B229*$N$4)+'Calculs 3D'!$C$10-OffsetX)/Ecran)*'Calculs 3D'!$C$32)+(((($C229*$N$4)+'Calculs 3D'!$D$10-OffsetY)/Ecran)*'Calculs 3D'!$D$32)+(((($D229*$N$4)+'Calculs 3D'!$E$10-OffsetZ)/Ecran)*'Calculs 3D'!$E$32)),0)</f>
        <v>4.0785728938373652E-3</v>
      </c>
      <c r="P229" s="105">
        <f>IF(Body6Actif=TRUE,((((($B229*$P$4)+'Calculs 3D'!$C$11-OffsetX)/Ecran)*'Calculs 3D'!$C$31)+(((($C229*$P$4)+'Calculs 3D'!$D$11-OffsetY)/Ecran)*'Calculs 3D'!$D$31)+(((($D229*$P$4)+'Calculs 3D'!$E$11-OffsetZ)/Ecran)*'Calculs 3D'!$E$31)),0)</f>
        <v>0.17553926277034973</v>
      </c>
      <c r="Q229" s="105">
        <f>IF(Body6Actif=TRUE,((((($B229*$P$4)+'Calculs 3D'!$C$11-OffsetX)/Ecran)*'Calculs 3D'!$C$32)+(((($C229*$P$4)+'Calculs 3D'!$D$11-OffsetY)/Ecran)*'Calculs 3D'!$D$32)+(((($D229*$P$4)+'Calculs 3D'!$E$11-OffsetZ)/Ecran)*'Calculs 3D'!$E$32)),0)</f>
        <v>0.14618279911869347</v>
      </c>
      <c r="R229" s="105">
        <f>IF(Body7Actif=TRUE,((((($B229*$R$4)+'Calculs 3D'!$C$12-OffsetX)/Ecran)*'Calculs 3D'!$C$31)+(((($C229*$R$4)+'Calculs 3D'!$D$12-OffsetY)/Ecran)*'Calculs 3D'!$D$31)+(((($D229*$R$4)+'Calculs 3D'!$E$12-OffsetZ)/Ecran)*'Calculs 3D'!$E$31)),0)</f>
        <v>-0.27585510591981405</v>
      </c>
      <c r="S229" s="105">
        <f>IF(Body7Actif=TRUE,((((($B229*$R$4)+'Calculs 3D'!$C$12-OffsetX)/Ecran)*'Calculs 3D'!$C$32)+(((($C229*$R$4)+'Calculs 3D'!$D$12-OffsetY)/Ecran)*'Calculs 3D'!$D$32)+(((($D229*$R$4)+'Calculs 3D'!$E$12-OffsetZ)/Ecran)*'Calculs 3D'!$E$32)),0)</f>
        <v>7.55274989161384E-2</v>
      </c>
      <c r="T229" s="105">
        <f>IF(Body8Actif=TRUE,((((($B229*$T$4)+'Calculs 3D'!$C$13-OffsetX)/Ecran)*'Calculs 3D'!$C$31)+(((($C229*$T$4)+'Calculs 3D'!$D$13-OffsetY)/Ecran)*'Calculs 3D'!$D$31)+(((($D229*$T$4)+'Calculs 3D'!$E$13-OffsetZ)/Ecran)*'Calculs 3D'!$E$31)),0)</f>
        <v>0.16993201030586699</v>
      </c>
      <c r="U229" s="105">
        <f>IF(Body8Actif=TRUE,((((($B229*$T$4)+'Calculs 3D'!$C$13-OffsetX)/Ecran)*'Calculs 3D'!$C$32)+(((($C229*$T$4)+'Calculs 3D'!$D$13-OffsetY)/Ecran)*'Calculs 3D'!$D$32)+(((($D229*$T$4)+'Calculs 3D'!$E$13-OffsetZ)/Ecran)*'Calculs 3D'!$E$32)),0)</f>
        <v>-0.12581626117381572</v>
      </c>
      <c r="V229" s="105">
        <f>IF(Body9Actif=TRUE,((((($B229*$V$4)+'Calculs 3D'!$C$14-OffsetX)/Ecran)*'Calculs 3D'!$C$31)+(((($C229*$V$4)+'Calculs 3D'!$D$14-OffsetY)/Ecran)*'Calculs 3D'!$D$31)+(((($D229*$V$4)+'Calculs 3D'!$E$14-OffsetZ)/Ecran)*'Calculs 3D'!$E$31)),0)</f>
        <v>-0.17521520736335336</v>
      </c>
      <c r="W229" s="105">
        <f>IF(Body9Actif=TRUE,((((($B229*$V$4)+'Calculs 3D'!$C$14-OffsetX)/Ecran)*'Calculs 3D'!$C$32)+(((($C229*$V$4)+'Calculs 3D'!$D$14-OffsetY)/Ecran)*'Calculs 3D'!$D$32)+(((($D229*$V$4)+'Calculs 3D'!$E$14-OffsetZ)/Ecran)*'Calculs 3D'!$E$32)),0)</f>
        <v>0.29527027762304747</v>
      </c>
      <c r="X229" s="105">
        <f>IF(Body10Actif=TRUE,((((($B229*$X$4)+'Calculs 3D'!$C$15-OffsetX)/Ecran)*'Calculs 3D'!$C$31)+(((($C229*$X$4)+'Calculs 3D'!$D$15-OffsetY)/Ecran)*'Calculs 3D'!$D$31)+(((($D229*$X$4)+'Calculs 3D'!$E$15-OffsetZ)/Ecran)*'Calculs 3D'!$E$31)),0)</f>
        <v>-1.1753815580541338E-2</v>
      </c>
      <c r="Y229" s="105">
        <f>IF(Body10Actif=TRUE,((((($B229*$X$4)+'Calculs 3D'!$C$15-OffsetX)/Ecran)*'Calculs 3D'!$C$32)+(((($C229*$X$4)+'Calculs 3D'!$D$15-OffsetY)/Ecran)*'Calculs 3D'!$D$32)+(((($D229*$X$4)+'Calculs 3D'!$E$15-OffsetZ)/Ecran)*'Calculs 3D'!$E$32)),0)</f>
        <v>0.30250197851837618</v>
      </c>
    </row>
    <row r="230" spans="2:25" x14ac:dyDescent="0.3">
      <c r="B230" s="102">
        <v>0</v>
      </c>
      <c r="C230" s="102">
        <v>0.30901699437494745</v>
      </c>
      <c r="D230" s="102">
        <v>0.95105651629515353</v>
      </c>
      <c r="F230" s="105">
        <f>IF(Body1Actif=TRUE,((((($B230*$F$4)+'Calculs 3D'!$C$6-OffsetX)/Ecran)*'Calculs 3D'!$C$31)+(((($C230*$F$4)+'Calculs 3D'!$D$6-OffsetY)/Ecran)*'Calculs 3D'!$D$31)+(((($D230*$F$4)+'Calculs 3D'!$E$6-OffsetZ)/Ecran)*'Calculs 3D'!$E$31)),0)</f>
        <v>5.1265185618266214E-2</v>
      </c>
      <c r="G230" s="105">
        <f>IF(Body1Actif=TRUE,((((($B230*$F$4)+'Calculs 3D'!$C$6-OffsetX)/Ecran)*'Calculs 3D'!$C$32)+(((($C230*$F$4)+'Calculs 3D'!$D$6-OffsetY)/Ecran)*'Calculs 3D'!$D$32)+(((($D230*$F$4)+'Calculs 3D'!$E$6-OffsetZ)/Ecran)*'Calculs 3D'!$E$32)),0)</f>
        <v>0.26736801571050345</v>
      </c>
      <c r="H230" s="105">
        <f>IF(Body2Actif=TRUE,((((($B230*$H$4)+'Calculs 3D'!$C$7-OffsetX)/Ecran)*'Calculs 3D'!$C$31)+(((($C230*$H$4)+'Calculs 3D'!$D$7-OffsetY)/Ecran)*'Calculs 3D'!$D$31)+(((($D230*$H$4)+'Calculs 3D'!$E$7-OffsetZ)/Ecran)*'Calculs 3D'!$E$31)),0)</f>
        <v>2.7922168006411827E-2</v>
      </c>
      <c r="I230" s="105">
        <f>IF(Body2Actif=TRUE,((((($B230*$H$4)+'Calculs 3D'!$C$7-OffsetX)/Ecran)*'Calculs 3D'!$C$32)+(((($C230*$H$4)+'Calculs 3D'!$D$7-OffsetY)/Ecran)*'Calculs 3D'!$D$32)+(((($D230*$H$4)+'Calculs 3D'!$E$7-OffsetZ)/Ecran)*'Calculs 3D'!$E$32)),0)</f>
        <v>4.3981847466560337E-2</v>
      </c>
      <c r="J230" s="105">
        <f>IF(Body3Actif=TRUE,((((($B230*$J$4)+'Calculs 3D'!$C$8-OffsetX)/Ecran)*'Calculs 3D'!$C$31)+(((($C230*$J$4)+'Calculs 3D'!$D$8-OffsetY)/Ecran)*'Calculs 3D'!$D$31)+(((($D230*$J$4)+'Calculs 3D'!$E$8-OffsetZ)/Ecran)*'Calculs 3D'!$E$31)),0)</f>
        <v>0.21984841161028748</v>
      </c>
      <c r="K230" s="105">
        <f>IF(Body3Actif=TRUE,((((($B230*$J$4)+'Calculs 3D'!$C$8-OffsetX)/Ecran)*'Calculs 3D'!$C$32)+(((($C230*$J$4)+'Calculs 3D'!$D$8-OffsetY)/Ecran)*'Calculs 3D'!$D$32)+(((($D230*$J$4)+'Calculs 3D'!$E$8-OffsetZ)/Ecran)*'Calculs 3D'!$E$32)),0)</f>
        <v>-7.4795591383526205E-2</v>
      </c>
      <c r="L230" s="105">
        <f>IF(Body4Actif=TRUE,((((($B230*$L$4)+'Calculs 3D'!$C$9-OffsetX)/Ecran)*'Calculs 3D'!$C$31)+(((($C230*$L$4)+'Calculs 3D'!$D$9-OffsetY)/Ecran)*'Calculs 3D'!$D$31)+(((($D230*$L$4)+'Calculs 3D'!$E$9-OffsetZ)/Ecran)*'Calculs 3D'!$E$31)),0)</f>
        <v>-9.2980754038808122E-2</v>
      </c>
      <c r="M230" s="105">
        <f>IF(Body4Actif=TRUE,((((($B230*$L$4)+'Calculs 3D'!$C$9-OffsetX)/Ecran)*'Calculs 3D'!$C$32)+(((($C230*$L$4)+'Calculs 3D'!$D$9-OffsetY)/Ecran)*'Calculs 3D'!$D$32)+(((($D230*$L$4)+'Calculs 3D'!$E$9-OffsetZ)/Ecran)*'Calculs 3D'!$E$32)),0)</f>
        <v>-0.16421489718120613</v>
      </c>
      <c r="N230" s="105">
        <f>IF(Body5Actif=TRUE,((((($B230*$N$4)+'Calculs 3D'!$C$10-OffsetX)/Ecran)*'Calculs 3D'!$C$31)+(((($C230*$N$4)+'Calculs 3D'!$D$10-OffsetY)/Ecran)*'Calculs 3D'!$D$31)+(((($D230*$N$4)+'Calculs 3D'!$E$10-OffsetZ)/Ecran)*'Calculs 3D'!$E$31)),0)</f>
        <v>2.6197659849594088E-3</v>
      </c>
      <c r="O230" s="105">
        <f>IF(Body5Actif=TRUE,((((($B230*$N$4)+'Calculs 3D'!$C$10-OffsetX)/Ecran)*'Calculs 3D'!$C$32)+(((($C230*$N$4)+'Calculs 3D'!$D$10-OffsetY)/Ecran)*'Calculs 3D'!$D$32)+(((($D230*$N$4)+'Calculs 3D'!$E$10-OffsetZ)/Ecran)*'Calculs 3D'!$E$32)),0)</f>
        <v>3.817124049656194E-3</v>
      </c>
      <c r="P230" s="105">
        <f>IF(Body6Actif=TRUE,((((($B230*$P$4)+'Calculs 3D'!$C$11-OffsetX)/Ecran)*'Calculs 3D'!$C$31)+(((($C230*$P$4)+'Calculs 3D'!$D$11-OffsetY)/Ecran)*'Calculs 3D'!$D$31)+(((($D230*$P$4)+'Calculs 3D'!$E$11-OffsetZ)/Ecran)*'Calculs 3D'!$E$31)),0)</f>
        <v>0.17323311599335706</v>
      </c>
      <c r="Q230" s="105">
        <f>IF(Body6Actif=TRUE,((((($B230*$P$4)+'Calculs 3D'!$C$11-OffsetX)/Ecran)*'Calculs 3D'!$C$32)+(((($C230*$P$4)+'Calculs 3D'!$D$11-OffsetY)/Ecran)*'Calculs 3D'!$D$32)+(((($D230*$P$4)+'Calculs 3D'!$E$11-OffsetZ)/Ecran)*'Calculs 3D'!$E$32)),0)</f>
        <v>0.14580391510917623</v>
      </c>
      <c r="R230" s="105">
        <f>IF(Body7Actif=TRUE,((((($B230*$R$4)+'Calculs 3D'!$C$12-OffsetX)/Ecran)*'Calculs 3D'!$C$31)+(((($C230*$R$4)+'Calculs 3D'!$D$12-OffsetY)/Ecran)*'Calculs 3D'!$D$31)+(((($D230*$R$4)+'Calculs 3D'!$E$12-OffsetZ)/Ecran)*'Calculs 3D'!$E$31)),0)</f>
        <v>-0.27817108496525222</v>
      </c>
      <c r="S230" s="105">
        <f>IF(Body7Actif=TRUE,((((($B230*$R$4)+'Calculs 3D'!$C$12-OffsetX)/Ecran)*'Calculs 3D'!$C$32)+(((($C230*$R$4)+'Calculs 3D'!$D$12-OffsetY)/Ecran)*'Calculs 3D'!$D$32)+(((($D230*$R$4)+'Calculs 3D'!$E$12-OffsetZ)/Ecran)*'Calculs 3D'!$E$32)),0)</f>
        <v>7.5146999532730616E-2</v>
      </c>
      <c r="T230" s="105">
        <f>IF(Body8Actif=TRUE,((((($B230*$T$4)+'Calculs 3D'!$C$13-OffsetX)/Ecran)*'Calculs 3D'!$C$31)+(((($C230*$T$4)+'Calculs 3D'!$D$13-OffsetY)/Ecran)*'Calculs 3D'!$D$31)+(((($D230*$T$4)+'Calculs 3D'!$E$13-OffsetZ)/Ecran)*'Calculs 3D'!$E$31)),0)</f>
        <v>0.16909672818015498</v>
      </c>
      <c r="U230" s="105">
        <f>IF(Body8Actif=TRUE,((((($B230*$T$4)+'Calculs 3D'!$C$13-OffsetX)/Ecran)*'Calculs 3D'!$C$32)+(((($C230*$T$4)+'Calculs 3D'!$D$13-OffsetY)/Ecran)*'Calculs 3D'!$D$32)+(((($D230*$T$4)+'Calculs 3D'!$E$13-OffsetZ)/Ecran)*'Calculs 3D'!$E$32)),0)</f>
        <v>-0.125953492265967</v>
      </c>
      <c r="V230" s="105">
        <f>IF(Body9Actif=TRUE,((((($B230*$V$4)+'Calculs 3D'!$C$14-OffsetX)/Ecran)*'Calculs 3D'!$C$31)+(((($C230*$V$4)+'Calculs 3D'!$D$14-OffsetY)/Ecran)*'Calculs 3D'!$D$31)+(((($D230*$V$4)+'Calculs 3D'!$E$14-OffsetZ)/Ecran)*'Calculs 3D'!$E$31)),0)</f>
        <v>-0.17637417462800251</v>
      </c>
      <c r="W230" s="105">
        <f>IF(Body9Actif=TRUE,((((($B230*$V$4)+'Calculs 3D'!$C$14-OffsetX)/Ecran)*'Calculs 3D'!$C$32)+(((($C230*$V$4)+'Calculs 3D'!$D$14-OffsetY)/Ecran)*'Calculs 3D'!$D$32)+(((($D230*$V$4)+'Calculs 3D'!$E$14-OffsetZ)/Ecran)*'Calculs 3D'!$E$32)),0)</f>
        <v>0.29507986729508817</v>
      </c>
      <c r="X230" s="105">
        <f>IF(Body10Actif=TRUE,((((($B230*$X$4)+'Calculs 3D'!$C$15-OffsetX)/Ecran)*'Calculs 3D'!$C$31)+(((($C230*$X$4)+'Calculs 3D'!$D$15-OffsetY)/Ecran)*'Calculs 3D'!$D$31)+(((($D230*$X$4)+'Calculs 3D'!$E$15-OffsetZ)/Ecran)*'Calculs 3D'!$E$31)),0)</f>
        <v>-1.3503223465566122E-2</v>
      </c>
      <c r="Y230" s="105">
        <f>IF(Body10Actif=TRUE,((((($B230*$X$4)+'Calculs 3D'!$C$15-OffsetX)/Ecran)*'Calculs 3D'!$C$32)+(((($C230*$X$4)+'Calculs 3D'!$D$15-OffsetY)/Ecran)*'Calculs 3D'!$D$32)+(((($D230*$X$4)+'Calculs 3D'!$E$15-OffsetZ)/Ecran)*'Calculs 3D'!$E$32)),0)</f>
        <v>0.30221456286887294</v>
      </c>
    </row>
    <row r="231" spans="2:25" x14ac:dyDescent="0.3">
      <c r="B231" s="102">
        <v>0</v>
      </c>
      <c r="C231" s="102">
        <v>6.1257422745431001E-17</v>
      </c>
      <c r="D231" s="102">
        <v>1</v>
      </c>
      <c r="F231" s="105">
        <f>IF(Body1Actif=TRUE,((((($B231*$F$4)+'Calculs 3D'!$C$6-OffsetX)/Ecran)*'Calculs 3D'!$C$31)+(((($C231*$F$4)+'Calculs 3D'!$D$6-OffsetY)/Ecran)*'Calculs 3D'!$D$31)+(((($D231*$F$4)+'Calculs 3D'!$E$6-OffsetZ)/Ecran)*'Calculs 3D'!$E$31)),0)</f>
        <v>5.0579175247860285E-2</v>
      </c>
      <c r="G231" s="105">
        <f>IF(Body1Actif=TRUE,((((($B231*$F$4)+'Calculs 3D'!$C$6-OffsetX)/Ecran)*'Calculs 3D'!$C$32)+(((($C231*$F$4)+'Calculs 3D'!$D$6-OffsetY)/Ecran)*'Calculs 3D'!$D$32)+(((($D231*$F$4)+'Calculs 3D'!$E$6-OffsetZ)/Ecran)*'Calculs 3D'!$E$32)),0)</f>
        <v>0.26693236607396786</v>
      </c>
      <c r="H231" s="105">
        <f>IF(Body2Actif=TRUE,((((($B231*$H$4)+'Calculs 3D'!$C$7-OffsetX)/Ecran)*'Calculs 3D'!$C$31)+(((($C231*$H$4)+'Calculs 3D'!$D$7-OffsetY)/Ecran)*'Calculs 3D'!$D$31)+(((($D231*$H$4)+'Calculs 3D'!$E$7-OffsetZ)/Ecran)*'Calculs 3D'!$E$31)),0)</f>
        <v>2.5248184344877585E-2</v>
      </c>
      <c r="I231" s="105">
        <f>IF(Body2Actif=TRUE,((((($B231*$H$4)+'Calculs 3D'!$C$7-OffsetX)/Ecran)*'Calculs 3D'!$C$32)+(((($C231*$H$4)+'Calculs 3D'!$D$7-OffsetY)/Ecran)*'Calculs 3D'!$D$32)+(((($D231*$H$4)+'Calculs 3D'!$E$7-OffsetZ)/Ecran)*'Calculs 3D'!$E$32)),0)</f>
        <v>4.2283739011493945E-2</v>
      </c>
      <c r="J231" s="105">
        <f>IF(Body3Actif=TRUE,((((($B231*$J$4)+'Calculs 3D'!$C$8-OffsetX)/Ecran)*'Calculs 3D'!$C$31)+(((($C231*$J$4)+'Calculs 3D'!$D$8-OffsetY)/Ecran)*'Calculs 3D'!$D$31)+(((($D231*$J$4)+'Calculs 3D'!$E$8-OffsetZ)/Ecran)*'Calculs 3D'!$E$31)),0)</f>
        <v>0.21866003387220898</v>
      </c>
      <c r="K231" s="105">
        <f>IF(Body3Actif=TRUE,((((($B231*$J$4)+'Calculs 3D'!$C$8-OffsetX)/Ecran)*'Calculs 3D'!$C$32)+(((($C231*$J$4)+'Calculs 3D'!$D$8-OffsetY)/Ecran)*'Calculs 3D'!$D$32)+(((($D231*$J$4)+'Calculs 3D'!$E$8-OffsetZ)/Ecran)*'Calculs 3D'!$E$32)),0)</f>
        <v>-7.5550268502116352E-2</v>
      </c>
      <c r="L231" s="105">
        <f>IF(Body4Actif=TRUE,((((($B231*$L$4)+'Calculs 3D'!$C$9-OffsetX)/Ecran)*'Calculs 3D'!$C$31)+(((($C231*$L$4)+'Calculs 3D'!$D$9-OffsetY)/Ecran)*'Calculs 3D'!$D$31)+(((($D231*$L$4)+'Calculs 3D'!$E$9-OffsetZ)/Ecran)*'Calculs 3D'!$E$31)),0)</f>
        <v>-9.4525992808345366E-2</v>
      </c>
      <c r="M231" s="105">
        <f>IF(Body4Actif=TRUE,((((($B231*$L$4)+'Calculs 3D'!$C$9-OffsetX)/Ecran)*'Calculs 3D'!$C$32)+(((($C231*$L$4)+'Calculs 3D'!$D$9-OffsetY)/Ecran)*'Calculs 3D'!$D$32)+(((($D231*$L$4)+'Calculs 3D'!$E$9-OffsetZ)/Ecran)*'Calculs 3D'!$E$32)),0)</f>
        <v>-0.165196198247998</v>
      </c>
      <c r="N231" s="105">
        <f>IF(Body5Actif=TRUE,((((($B231*$N$4)+'Calculs 3D'!$C$10-OffsetX)/Ecran)*'Calculs 3D'!$C$31)+(((($C231*$N$4)+'Calculs 3D'!$D$10-OffsetY)/Ecran)*'Calculs 3D'!$D$31)+(((($D231*$N$4)+'Calculs 3D'!$E$10-OffsetZ)/Ecran)*'Calculs 3D'!$E$31)),0)</f>
        <v>8.557340724558533E-4</v>
      </c>
      <c r="O231" s="105">
        <f>IF(Body5Actif=TRUE,((((($B231*$N$4)+'Calculs 3D'!$C$10-OffsetX)/Ecran)*'Calculs 3D'!$C$32)+(((($C231*$N$4)+'Calculs 3D'!$D$10-OffsetY)/Ecran)*'Calculs 3D'!$D$32)+(((($D231*$N$4)+'Calculs 3D'!$E$10-OffsetZ)/Ecran)*'Calculs 3D'!$E$32)),0)</f>
        <v>2.6968787958349836E-3</v>
      </c>
      <c r="P231" s="105">
        <f>IF(Body6Actif=TRUE,((((($B231*$P$4)+'Calculs 3D'!$C$11-OffsetX)/Ecran)*'Calculs 3D'!$C$31)+(((($C231*$P$4)+'Calculs 3D'!$D$11-OffsetY)/Ecran)*'Calculs 3D'!$D$31)+(((($D231*$P$4)+'Calculs 3D'!$E$11-OffsetZ)/Ecran)*'Calculs 3D'!$E$31)),0)</f>
        <v>0.1706767325982842</v>
      </c>
      <c r="Q231" s="105">
        <f>IF(Body6Actif=TRUE,((((($B231*$P$4)+'Calculs 3D'!$C$11-OffsetX)/Ecran)*'Calculs 3D'!$C$32)+(((($C231*$P$4)+'Calculs 3D'!$D$11-OffsetY)/Ecran)*'Calculs 3D'!$D$32)+(((($D231*$P$4)+'Calculs 3D'!$E$11-OffsetZ)/Ecran)*'Calculs 3D'!$E$32)),0)</f>
        <v>0.14418048848918191</v>
      </c>
      <c r="R231" s="105">
        <f>IF(Body7Actif=TRUE,((((($B231*$R$4)+'Calculs 3D'!$C$12-OffsetX)/Ecran)*'Calculs 3D'!$C$31)+(((($C231*$R$4)+'Calculs 3D'!$D$12-OffsetY)/Ecran)*'Calculs 3D'!$D$31)+(((($D231*$R$4)+'Calculs 3D'!$E$12-OffsetZ)/Ecran)*'Calculs 3D'!$E$31)),0)</f>
        <v>-0.28073836751385717</v>
      </c>
      <c r="S231" s="105">
        <f>IF(Body7Actif=TRUE,((((($B231*$R$4)+'Calculs 3D'!$C$12-OffsetX)/Ecran)*'Calculs 3D'!$C$32)+(((($C231*$R$4)+'Calculs 3D'!$D$12-OffsetY)/Ecran)*'Calculs 3D'!$D$32)+(((($D231*$R$4)+'Calculs 3D'!$E$12-OffsetZ)/Ecran)*'Calculs 3D'!$E$32)),0)</f>
        <v>7.3516651425132598E-2</v>
      </c>
      <c r="T231" s="105">
        <f>IF(Body8Actif=TRUE,((((($B231*$T$4)+'Calculs 3D'!$C$13-OffsetX)/Ecran)*'Calculs 3D'!$C$31)+(((($C231*$T$4)+'Calculs 3D'!$D$13-OffsetY)/Ecran)*'Calculs 3D'!$D$31)+(((($D231*$T$4)+'Calculs 3D'!$E$13-OffsetZ)/Ecran)*'Calculs 3D'!$E$31)),0)</f>
        <v>0.16817081081111579</v>
      </c>
      <c r="U231" s="105">
        <f>IF(Body8Actif=TRUE,((((($B231*$T$4)+'Calculs 3D'!$C$13-OffsetX)/Ecran)*'Calculs 3D'!$C$32)+(((($C231*$T$4)+'Calculs 3D'!$D$13-OffsetY)/Ecran)*'Calculs 3D'!$D$32)+(((($D231*$T$4)+'Calculs 3D'!$E$13-OffsetZ)/Ecran)*'Calculs 3D'!$E$32)),0)</f>
        <v>-0.12654149440512596</v>
      </c>
      <c r="V231" s="105">
        <f>IF(Body9Actif=TRUE,((((($B231*$V$4)+'Calculs 3D'!$C$14-OffsetX)/Ecran)*'Calculs 3D'!$C$31)+(((($C231*$V$4)+'Calculs 3D'!$D$14-OffsetY)/Ecran)*'Calculs 3D'!$D$31)+(((($D231*$V$4)+'Calculs 3D'!$E$14-OffsetZ)/Ecran)*'Calculs 3D'!$E$31)),0)</f>
        <v>-0.17765889973758367</v>
      </c>
      <c r="W231" s="105">
        <f>IF(Body9Actif=TRUE,((((($B231*$V$4)+'Calculs 3D'!$C$14-OffsetX)/Ecran)*'Calculs 3D'!$C$32)+(((($C231*$V$4)+'Calculs 3D'!$D$14-OffsetY)/Ecran)*'Calculs 3D'!$D$32)+(((($D231*$V$4)+'Calculs 3D'!$E$14-OffsetZ)/Ecran)*'Calculs 3D'!$E$32)),0)</f>
        <v>0.294264004953669</v>
      </c>
      <c r="X231" s="105">
        <f>IF(Body10Actif=TRUE,((((($B231*$X$4)+'Calculs 3D'!$C$15-OffsetX)/Ecran)*'Calculs 3D'!$C$31)+(((($C231*$X$4)+'Calculs 3D'!$D$15-OffsetY)/Ecran)*'Calculs 3D'!$D$31)+(((($D231*$X$4)+'Calculs 3D'!$E$15-OffsetZ)/Ecran)*'Calculs 3D'!$E$31)),0)</f>
        <v>-1.5442457044756913E-2</v>
      </c>
      <c r="Y231" s="105">
        <f>IF(Body10Actif=TRUE,((((($B231*$X$4)+'Calculs 3D'!$C$15-OffsetX)/Ecran)*'Calculs 3D'!$C$32)+(((($C231*$X$4)+'Calculs 3D'!$D$15-OffsetY)/Ecran)*'Calculs 3D'!$D$32)+(((($D231*$X$4)+'Calculs 3D'!$E$15-OffsetZ)/Ecran)*'Calculs 3D'!$E$32)),0)</f>
        <v>0.30098305611565546</v>
      </c>
    </row>
    <row r="232" spans="2:25" x14ac:dyDescent="0.3">
      <c r="B232" s="102">
        <v>0</v>
      </c>
      <c r="C232" s="102">
        <v>-0.30901699437494734</v>
      </c>
      <c r="D232" s="102">
        <v>0.95105651629515364</v>
      </c>
      <c r="F232" s="105">
        <f>IF(Body1Actif=TRUE,((((($B232*$F$4)+'Calculs 3D'!$C$6-OffsetX)/Ecran)*'Calculs 3D'!$C$31)+(((($C232*$F$4)+'Calculs 3D'!$D$6-OffsetY)/Ecran)*'Calculs 3D'!$D$31)+(((($D232*$F$4)+'Calculs 3D'!$E$6-OffsetZ)/Ecran)*'Calculs 3D'!$E$31)),0)</f>
        <v>4.9893164877454342E-2</v>
      </c>
      <c r="G232" s="105">
        <f>IF(Body1Actif=TRUE,((((($B232*$F$4)+'Calculs 3D'!$C$6-OffsetX)/Ecran)*'Calculs 3D'!$C$32)+(((($C232*$F$4)+'Calculs 3D'!$D$6-OffsetY)/Ecran)*'Calculs 3D'!$D$32)+(((($D232*$F$4)+'Calculs 3D'!$E$6-OffsetZ)/Ecran)*'Calculs 3D'!$E$32)),0)</f>
        <v>0.266205385470833</v>
      </c>
      <c r="H232" s="105">
        <f>IF(Body2Actif=TRUE,((((($B232*$H$4)+'Calculs 3D'!$C$7-OffsetX)/Ecran)*'Calculs 3D'!$C$31)+(((($C232*$H$4)+'Calculs 3D'!$D$7-OffsetY)/Ecran)*'Calculs 3D'!$D$31)+(((($D232*$H$4)+'Calculs 3D'!$E$7-OffsetZ)/Ecran)*'Calculs 3D'!$E$31)),0)</f>
        <v>2.2574200683343353E-2</v>
      </c>
      <c r="I232" s="105">
        <f>IF(Body2Actif=TRUE,((((($B232*$H$4)+'Calculs 3D'!$C$7-OffsetX)/Ecran)*'Calculs 3D'!$C$32)+(((($C232*$H$4)+'Calculs 3D'!$D$7-OffsetY)/Ecran)*'Calculs 3D'!$D$32)+(((($D232*$H$4)+'Calculs 3D'!$E$7-OffsetZ)/Ecran)*'Calculs 3D'!$E$32)),0)</f>
        <v>3.9450058444996751E-2</v>
      </c>
      <c r="J232" s="105">
        <f>IF(Body3Actif=TRUE,((((($B232*$J$4)+'Calculs 3D'!$C$8-OffsetX)/Ecran)*'Calculs 3D'!$C$31)+(((($C232*$J$4)+'Calculs 3D'!$D$8-OffsetY)/Ecran)*'Calculs 3D'!$D$31)+(((($D232*$J$4)+'Calculs 3D'!$E$8-OffsetZ)/Ecran)*'Calculs 3D'!$E$31)),0)</f>
        <v>0.21747165613413047</v>
      </c>
      <c r="K232" s="105">
        <f>IF(Body3Actif=TRUE,((((($B232*$J$4)+'Calculs 3D'!$C$8-OffsetX)/Ecran)*'Calculs 3D'!$C$32)+(((($C232*$J$4)+'Calculs 3D'!$D$8-OffsetY)/Ecran)*'Calculs 3D'!$D$32)+(((($D232*$J$4)+'Calculs 3D'!$E$8-OffsetZ)/Ecran)*'Calculs 3D'!$E$32)),0)</f>
        <v>-7.6809619092208903E-2</v>
      </c>
      <c r="L232" s="105">
        <f>IF(Body4Actif=TRUE,((((($B232*$L$4)+'Calculs 3D'!$C$9-OffsetX)/Ecran)*'Calculs 3D'!$C$31)+(((($C232*$L$4)+'Calculs 3D'!$D$9-OffsetY)/Ecran)*'Calculs 3D'!$D$31)+(((($D232*$L$4)+'Calculs 3D'!$E$9-OffsetZ)/Ecran)*'Calculs 3D'!$E$31)),0)</f>
        <v>-9.6071231577882582E-2</v>
      </c>
      <c r="M232" s="105">
        <f>IF(Body4Actif=TRUE,((((($B232*$L$4)+'Calculs 3D'!$C$9-OffsetX)/Ecran)*'Calculs 3D'!$C$32)+(((($C232*$L$4)+'Calculs 3D'!$D$9-OffsetY)/Ecran)*'Calculs 3D'!$D$32)+(((($D232*$L$4)+'Calculs 3D'!$E$9-OffsetZ)/Ecran)*'Calculs 3D'!$E$32)),0)</f>
        <v>-0.16683372249125508</v>
      </c>
      <c r="N232" s="105">
        <f>IF(Body5Actif=TRUE,((((($B232*$N$4)+'Calculs 3D'!$C$10-OffsetX)/Ecran)*'Calculs 3D'!$C$31)+(((($C232*$N$4)+'Calculs 3D'!$D$10-OffsetY)/Ecran)*'Calculs 3D'!$D$31)+(((($D232*$N$4)+'Calculs 3D'!$E$10-OffsetZ)/Ecran)*'Calculs 3D'!$E$31)),0)</f>
        <v>-9.0829784004770216E-4</v>
      </c>
      <c r="O232" s="105">
        <f>IF(Body5Actif=TRUE,((((($B232*$N$4)+'Calculs 3D'!$C$10-OffsetX)/Ecran)*'Calculs 3D'!$C$32)+(((($C232*$N$4)+'Calculs 3D'!$D$10-OffsetY)/Ecran)*'Calculs 3D'!$D$32)+(((($D232*$N$4)+'Calculs 3D'!$E$10-OffsetZ)/Ecran)*'Calculs 3D'!$E$32)),0)</f>
        <v>8.2749454302539181E-4</v>
      </c>
      <c r="P232" s="105">
        <f>IF(Body6Actif=TRUE,((((($B232*$P$4)+'Calculs 3D'!$C$11-OffsetX)/Ecran)*'Calculs 3D'!$C$31)+(((($C232*$P$4)+'Calculs 3D'!$D$11-OffsetY)/Ecran)*'Calculs 3D'!$D$31)+(((($D232*$P$4)+'Calculs 3D'!$E$11-OffsetZ)/Ecran)*'Calculs 3D'!$E$31)),0)</f>
        <v>0.16812034920321131</v>
      </c>
      <c r="Q232" s="105">
        <f>IF(Body6Actif=TRUE,((((($B232*$P$4)+'Calculs 3D'!$C$11-OffsetX)/Ecran)*'Calculs 3D'!$C$32)+(((($C232*$P$4)+'Calculs 3D'!$D$11-OffsetY)/Ecran)*'Calculs 3D'!$D$32)+(((($D232*$P$4)+'Calculs 3D'!$E$11-OffsetZ)/Ecran)*'Calculs 3D'!$E$32)),0)</f>
        <v>0.14147143156735398</v>
      </c>
      <c r="R232" s="105">
        <f>IF(Body7Actif=TRUE,((((($B232*$R$4)+'Calculs 3D'!$C$12-OffsetX)/Ecran)*'Calculs 3D'!$C$31)+(((($C232*$R$4)+'Calculs 3D'!$D$12-OffsetY)/Ecran)*'Calculs 3D'!$D$31)+(((($D232*$R$4)+'Calculs 3D'!$E$12-OffsetZ)/Ecran)*'Calculs 3D'!$E$31)),0)</f>
        <v>-0.28330565006246206</v>
      </c>
      <c r="S232" s="105">
        <f>IF(Body7Actif=TRUE,((((($B232*$R$4)+'Calculs 3D'!$C$12-OffsetX)/Ecran)*'Calculs 3D'!$C$32)+(((($C232*$R$4)+'Calculs 3D'!$D$12-OffsetY)/Ecran)*'Calculs 3D'!$D$32)+(((($D232*$R$4)+'Calculs 3D'!$E$12-OffsetZ)/Ecran)*'Calculs 3D'!$E$32)),0)</f>
        <v>7.0796044425419258E-2</v>
      </c>
      <c r="T232" s="105">
        <f>IF(Body8Actif=TRUE,((((($B232*$T$4)+'Calculs 3D'!$C$13-OffsetX)/Ecran)*'Calculs 3D'!$C$31)+(((($C232*$T$4)+'Calculs 3D'!$D$13-OffsetY)/Ecran)*'Calculs 3D'!$D$31)+(((($D232*$T$4)+'Calculs 3D'!$E$13-OffsetZ)/Ecran)*'Calculs 3D'!$E$31)),0)</f>
        <v>0.16724489344207658</v>
      </c>
      <c r="U232" s="105">
        <f>IF(Body8Actif=TRUE,((((($B232*$T$4)+'Calculs 3D'!$C$13-OffsetX)/Ecran)*'Calculs 3D'!$C$32)+(((($C232*$T$4)+'Calculs 3D'!$D$13-OffsetY)/Ecran)*'Calculs 3D'!$D$32)+(((($D232*$T$4)+'Calculs 3D'!$E$13-OffsetZ)/Ecran)*'Calculs 3D'!$E$32)),0)</f>
        <v>-0.12752270984505998</v>
      </c>
      <c r="V232" s="105">
        <f>IF(Body9Actif=TRUE,((((($B232*$V$4)+'Calculs 3D'!$C$14-OffsetX)/Ecran)*'Calculs 3D'!$C$31)+(((($C232*$V$4)+'Calculs 3D'!$D$14-OffsetY)/Ecran)*'Calculs 3D'!$D$31)+(((($D232*$V$4)+'Calculs 3D'!$E$14-OffsetZ)/Ecran)*'Calculs 3D'!$E$31)),0)</f>
        <v>-0.17894362484716481</v>
      </c>
      <c r="W232" s="105">
        <f>IF(Body9Actif=TRUE,((((($B232*$V$4)+'Calculs 3D'!$C$14-OffsetX)/Ecran)*'Calculs 3D'!$C$32)+(((($C232*$V$4)+'Calculs 3D'!$D$14-OffsetY)/Ecran)*'Calculs 3D'!$D$32)+(((($D232*$V$4)+'Calculs 3D'!$E$14-OffsetZ)/Ecran)*'Calculs 3D'!$E$32)),0)</f>
        <v>0.29290255288921541</v>
      </c>
      <c r="X232" s="105">
        <f>IF(Body10Actif=TRUE,((((($B232*$X$4)+'Calculs 3D'!$C$15-OffsetX)/Ecran)*'Calculs 3D'!$C$31)+(((($C232*$X$4)+'Calculs 3D'!$D$15-OffsetY)/Ecran)*'Calculs 3D'!$D$31)+(((($D232*$X$4)+'Calculs 3D'!$E$15-OffsetZ)/Ecran)*'Calculs 3D'!$E$31)),0)</f>
        <v>-1.7381690623947718E-2</v>
      </c>
      <c r="Y232" s="105">
        <f>IF(Body10Actif=TRUE,((((($B232*$X$4)+'Calculs 3D'!$C$15-OffsetX)/Ecran)*'Calculs 3D'!$C$32)+(((($C232*$X$4)+'Calculs 3D'!$D$15-OffsetY)/Ecran)*'Calculs 3D'!$D$32)+(((($D232*$X$4)+'Calculs 3D'!$E$15-OffsetZ)/Ecran)*'Calculs 3D'!$E$32)),0)</f>
        <v>0.29892800672014086</v>
      </c>
    </row>
    <row r="233" spans="2:25" x14ac:dyDescent="0.3">
      <c r="B233" s="102">
        <v>0</v>
      </c>
      <c r="C233" s="102">
        <v>-0.58778525229247303</v>
      </c>
      <c r="D233" s="102">
        <v>0.80901699437494745</v>
      </c>
      <c r="F233" s="105">
        <f>IF(Body1Actif=TRUE,((((($B233*$F$4)+'Calculs 3D'!$C$6-OffsetX)/Ecran)*'Calculs 3D'!$C$31)+(((($C233*$F$4)+'Calculs 3D'!$D$6-OffsetY)/Ecran)*'Calculs 3D'!$D$31)+(((($D233*$F$4)+'Calculs 3D'!$E$6-OffsetZ)/Ecran)*'Calculs 3D'!$E$31)),0)</f>
        <v>4.9274305981819026E-2</v>
      </c>
      <c r="G233" s="105">
        <f>IF(Body1Actif=TRUE,((((($B233*$F$4)+'Calculs 3D'!$C$6-OffsetX)/Ecran)*'Calculs 3D'!$C$32)+(((($C233*$F$4)+'Calculs 3D'!$D$6-OffsetY)/Ecran)*'Calculs 3D'!$D$32)+(((($D233*$F$4)+'Calculs 3D'!$E$6-OffsetZ)/Ecran)*'Calculs 3D'!$E$32)),0)</f>
        <v>0.26525823582770547</v>
      </c>
      <c r="H233" s="105">
        <f>IF(Body2Actif=TRUE,((((($B233*$H$4)+'Calculs 3D'!$C$7-OffsetX)/Ecran)*'Calculs 3D'!$C$31)+(((($C233*$H$4)+'Calculs 3D'!$D$7-OffsetY)/Ecran)*'Calculs 3D'!$D$31)+(((($D233*$H$4)+'Calculs 3D'!$E$7-OffsetZ)/Ecran)*'Calculs 3D'!$E$31)),0)</f>
        <v>2.016196517333977E-2</v>
      </c>
      <c r="I233" s="105">
        <f>IF(Body2Actif=TRUE,((((($B233*$H$4)+'Calculs 3D'!$C$7-OffsetX)/Ecran)*'Calculs 3D'!$C$32)+(((($C233*$H$4)+'Calculs 3D'!$D$7-OffsetY)/Ecran)*'Calculs 3D'!$D$32)+(((($D233*$H$4)+'Calculs 3D'!$E$7-OffsetZ)/Ecran)*'Calculs 3D'!$E$32)),0)</f>
        <v>3.5758186164330893E-2</v>
      </c>
      <c r="J233" s="105">
        <f>IF(Body3Actif=TRUE,((((($B233*$J$4)+'Calculs 3D'!$C$8-OffsetX)/Ecran)*'Calculs 3D'!$C$31)+(((($C233*$J$4)+'Calculs 3D'!$D$8-OffsetY)/Ecran)*'Calculs 3D'!$D$31)+(((($D233*$J$4)+'Calculs 3D'!$E$8-OffsetZ)/Ecran)*'Calculs 3D'!$E$31)),0)</f>
        <v>0.21639960508896963</v>
      </c>
      <c r="K233" s="105">
        <f>IF(Body3Actif=TRUE,((((($B233*$J$4)+'Calculs 3D'!$C$8-OffsetX)/Ecran)*'Calculs 3D'!$C$32)+(((($C233*$J$4)+'Calculs 3D'!$D$8-OffsetY)/Ecran)*'Calculs 3D'!$D$32)+(((($D233*$J$4)+'Calculs 3D'!$E$8-OffsetZ)/Ecran)*'Calculs 3D'!$E$32)),0)</f>
        <v>-7.8450369143634152E-2</v>
      </c>
      <c r="L233" s="105">
        <f>IF(Body4Actif=TRUE,((((($B233*$L$4)+'Calculs 3D'!$C$9-OffsetX)/Ecran)*'Calculs 3D'!$C$31)+(((($C233*$L$4)+'Calculs 3D'!$D$9-OffsetY)/Ecran)*'Calculs 3D'!$D$31)+(((($D233*$L$4)+'Calculs 3D'!$E$9-OffsetZ)/Ecran)*'Calculs 3D'!$E$31)),0)</f>
        <v>-9.7465211610345936E-2</v>
      </c>
      <c r="M233" s="105">
        <f>IF(Body4Actif=TRUE,((((($B233*$L$4)+'Calculs 3D'!$C$9-OffsetX)/Ecran)*'Calculs 3D'!$C$32)+(((($C233*$L$4)+'Calculs 3D'!$D$9-OffsetY)/Ecran)*'Calculs 3D'!$D$32)+(((($D233*$L$4)+'Calculs 3D'!$E$9-OffsetZ)/Ecran)*'Calculs 3D'!$E$32)),0)</f>
        <v>-0.16896717762874516</v>
      </c>
      <c r="N233" s="105">
        <f>IF(Body5Actif=TRUE,((((($B233*$N$4)+'Calculs 3D'!$C$10-OffsetX)/Ecran)*'Calculs 3D'!$C$31)+(((($C233*$N$4)+'Calculs 3D'!$D$10-OffsetY)/Ecran)*'Calculs 3D'!$D$31)+(((($D233*$N$4)+'Calculs 3D'!$E$10-OffsetZ)/Ecran)*'Calculs 3D'!$E$31)),0)</f>
        <v>-2.4996540182223637E-3</v>
      </c>
      <c r="O233" s="105">
        <f>IF(Body5Actif=TRUE,((((($B233*$N$4)+'Calculs 3D'!$C$10-OffsetX)/Ecran)*'Calculs 3D'!$C$32)+(((($C233*$N$4)+'Calculs 3D'!$D$10-OffsetY)/Ecran)*'Calculs 3D'!$D$32)+(((($D233*$N$4)+'Calculs 3D'!$E$10-OffsetZ)/Ecran)*'Calculs 3D'!$E$32)),0)</f>
        <v>-1.6080403533416119E-3</v>
      </c>
      <c r="P233" s="105">
        <f>IF(Body6Actif=TRUE,((((($B233*$P$4)+'Calculs 3D'!$C$11-OffsetX)/Ecran)*'Calculs 3D'!$C$31)+(((($C233*$P$4)+'Calculs 3D'!$D$11-OffsetY)/Ecran)*'Calculs 3D'!$D$31)+(((($D233*$P$4)+'Calculs 3D'!$E$11-OffsetZ)/Ecran)*'Calculs 3D'!$E$31)),0)</f>
        <v>0.16581420242621861</v>
      </c>
      <c r="Q233" s="105">
        <f>IF(Body6Actif=TRUE,((((($B233*$P$4)+'Calculs 3D'!$C$11-OffsetX)/Ecran)*'Calculs 3D'!$C$32)+(((($C233*$P$4)+'Calculs 3D'!$D$11-OffsetY)/Ecran)*'Calculs 3D'!$D$32)+(((($D233*$P$4)+'Calculs 3D'!$E$11-OffsetZ)/Ecran)*'Calculs 3D'!$E$32)),0)</f>
        <v>0.13794192571031036</v>
      </c>
      <c r="R233" s="105">
        <f>IF(Body7Actif=TRUE,((((($B233*$R$4)+'Calculs 3D'!$C$12-OffsetX)/Ecran)*'Calculs 3D'!$C$31)+(((($C233*$R$4)+'Calculs 3D'!$D$12-OffsetY)/Ecran)*'Calculs 3D'!$D$31)+(((($D233*$R$4)+'Calculs 3D'!$E$12-OffsetZ)/Ecran)*'Calculs 3D'!$E$31)),0)</f>
        <v>-0.28562162910790023</v>
      </c>
      <c r="S233" s="105">
        <f>IF(Body7Actif=TRUE,((((($B233*$R$4)+'Calculs 3D'!$C$12-OffsetX)/Ecran)*'Calculs 3D'!$C$32)+(((($C233*$R$4)+'Calculs 3D'!$D$12-OffsetY)/Ecran)*'Calculs 3D'!$D$32)+(((($D233*$R$4)+'Calculs 3D'!$E$12-OffsetZ)/Ecran)*'Calculs 3D'!$E$32)),0)</f>
        <v>6.7251490502306069E-2</v>
      </c>
      <c r="T233" s="105">
        <f>IF(Body8Actif=TRUE,((((($B233*$T$4)+'Calculs 3D'!$C$13-OffsetX)/Ecran)*'Calculs 3D'!$C$31)+(((($C233*$T$4)+'Calculs 3D'!$D$13-OffsetY)/Ecran)*'Calculs 3D'!$D$31)+(((($D233*$T$4)+'Calculs 3D'!$E$13-OffsetZ)/Ecran)*'Calculs 3D'!$E$31)),0)</f>
        <v>0.16640961131636459</v>
      </c>
      <c r="U233" s="105">
        <f>IF(Body8Actif=TRUE,((((($B233*$T$4)+'Calculs 3D'!$C$13-OffsetX)/Ecran)*'Calculs 3D'!$C$32)+(((($C233*$T$4)+'Calculs 3D'!$D$13-OffsetY)/Ecran)*'Calculs 3D'!$D$32)+(((($D233*$T$4)+'Calculs 3D'!$E$13-OffsetZ)/Ecran)*'Calculs 3D'!$E$32)),0)</f>
        <v>-0.12880109038197829</v>
      </c>
      <c r="V233" s="105">
        <f>IF(Body9Actif=TRUE,((((($B233*$V$4)+'Calculs 3D'!$C$14-OffsetX)/Ecran)*'Calculs 3D'!$C$31)+(((($C233*$V$4)+'Calculs 3D'!$D$14-OffsetY)/Ecran)*'Calculs 3D'!$D$31)+(((($D233*$V$4)+'Calculs 3D'!$E$14-OffsetZ)/Ecran)*'Calculs 3D'!$E$31)),0)</f>
        <v>-0.18010259211181398</v>
      </c>
      <c r="W233" s="105">
        <f>IF(Body9Actif=TRUE,((((($B233*$V$4)+'Calculs 3D'!$C$14-OffsetX)/Ecran)*'Calculs 3D'!$C$32)+(((($C233*$V$4)+'Calculs 3D'!$D$14-OffsetY)/Ecran)*'Calculs 3D'!$D$32)+(((($D233*$V$4)+'Calculs 3D'!$E$14-OffsetZ)/Ecran)*'Calculs 3D'!$E$32)),0)</f>
        <v>0.29112877951559024</v>
      </c>
      <c r="X233" s="105">
        <f>IF(Body10Actif=TRUE,((((($B233*$X$4)+'Calculs 3D'!$C$15-OffsetX)/Ecran)*'Calculs 3D'!$C$31)+(((($C233*$X$4)+'Calculs 3D'!$D$15-OffsetY)/Ecran)*'Calculs 3D'!$D$31)+(((($D233*$X$4)+'Calculs 3D'!$E$15-OffsetZ)/Ecran)*'Calculs 3D'!$E$31)),0)</f>
        <v>-1.9131098508972488E-2</v>
      </c>
      <c r="Y233" s="105">
        <f>IF(Body10Actif=TRUE,((((($B233*$X$4)+'Calculs 3D'!$C$15-OffsetX)/Ecran)*'Calculs 3D'!$C$32)+(((($C233*$X$4)+'Calculs 3D'!$D$15-OffsetY)/Ecran)*'Calculs 3D'!$D$32)+(((($D233*$X$4)+'Calculs 3D'!$E$15-OffsetZ)/Ecran)*'Calculs 3D'!$E$32)),0)</f>
        <v>0.29625057723553316</v>
      </c>
    </row>
    <row r="234" spans="2:25" x14ac:dyDescent="0.3">
      <c r="B234" s="102">
        <v>0</v>
      </c>
      <c r="C234" s="102">
        <v>-0.80901699437494734</v>
      </c>
      <c r="D234" s="102">
        <v>0.58778525229247325</v>
      </c>
      <c r="F234" s="105">
        <f>IF(Body1Actif=TRUE,((((($B234*$F$4)+'Calculs 3D'!$C$6-OffsetX)/Ecran)*'Calculs 3D'!$C$31)+(((($C234*$F$4)+'Calculs 3D'!$D$6-OffsetY)/Ecran)*'Calculs 3D'!$D$31)+(((($D234*$F$4)+'Calculs 3D'!$E$6-OffsetZ)/Ecran)*'Calculs 3D'!$E$31)),0)</f>
        <v>4.8783176781502603E-2</v>
      </c>
      <c r="G234" s="105">
        <f>IF(Body1Actif=TRUE,((((($B234*$F$4)+'Calculs 3D'!$C$6-OffsetX)/Ecran)*'Calculs 3D'!$C$32)+(((($C234*$F$4)+'Calculs 3D'!$D$6-OffsetY)/Ecran)*'Calculs 3D'!$D$32)+(((($D234*$F$4)+'Calculs 3D'!$E$6-OffsetZ)/Ecran)*'Calculs 3D'!$E$32)),0)</f>
        <v>0.26418363075083412</v>
      </c>
      <c r="H234" s="105">
        <f>IF(Body2Actif=TRUE,((((($B234*$H$4)+'Calculs 3D'!$C$7-OffsetX)/Ecran)*'Calculs 3D'!$C$31)+(((($C234*$H$4)+'Calculs 3D'!$D$7-OffsetY)/Ecran)*'Calculs 3D'!$D$31)+(((($D234*$H$4)+'Calculs 3D'!$E$7-OffsetZ)/Ecran)*'Calculs 3D'!$E$31)),0)</f>
        <v>1.8247604233619066E-2</v>
      </c>
      <c r="I234" s="105">
        <f>IF(Body2Actif=TRUE,((((($B234*$H$4)+'Calculs 3D'!$C$7-OffsetX)/Ecran)*'Calculs 3D'!$C$32)+(((($C234*$H$4)+'Calculs 3D'!$D$7-OffsetY)/Ecran)*'Calculs 3D'!$D$32)+(((($D234*$H$4)+'Calculs 3D'!$E$7-OffsetZ)/Ecran)*'Calculs 3D'!$E$32)),0)</f>
        <v>3.1569508351114689E-2</v>
      </c>
      <c r="J234" s="105">
        <f>IF(Body3Actif=TRUE,((((($B234*$J$4)+'Calculs 3D'!$C$8-OffsetX)/Ecran)*'Calculs 3D'!$C$31)+(((($C234*$J$4)+'Calculs 3D'!$D$8-OffsetY)/Ecran)*'Calculs 3D'!$D$31)+(((($D234*$J$4)+'Calculs 3D'!$E$8-OffsetZ)/Ecran)*'Calculs 3D'!$E$31)),0)</f>
        <v>0.2155488205624457</v>
      </c>
      <c r="K234" s="105">
        <f>IF(Body3Actif=TRUE,((((($B234*$J$4)+'Calculs 3D'!$C$8-OffsetX)/Ecran)*'Calculs 3D'!$C$32)+(((($C234*$J$4)+'Calculs 3D'!$D$8-OffsetY)/Ecran)*'Calculs 3D'!$D$32)+(((($D234*$J$4)+'Calculs 3D'!$E$8-OffsetZ)/Ecran)*'Calculs 3D'!$E$32)),0)</f>
        <v>-8.0311910609580678E-2</v>
      </c>
      <c r="L234" s="105">
        <f>IF(Body4Actif=TRUE,((((($B234*$L$4)+'Calculs 3D'!$C$9-OffsetX)/Ecran)*'Calculs 3D'!$C$31)+(((($C234*$L$4)+'Calculs 3D'!$D$9-OffsetY)/Ecran)*'Calculs 3D'!$D$31)+(((($D234*$L$4)+'Calculs 3D'!$E$9-OffsetZ)/Ecran)*'Calculs 3D'!$E$31)),0)</f>
        <v>-9.8571480427727884E-2</v>
      </c>
      <c r="M234" s="105">
        <f>IF(Body4Actif=TRUE,((((($B234*$L$4)+'Calculs 3D'!$C$9-OffsetX)/Ecran)*'Calculs 3D'!$C$32)+(((($C234*$L$4)+'Calculs 3D'!$D$9-OffsetY)/Ecran)*'Calculs 3D'!$D$32)+(((($D234*$L$4)+'Calculs 3D'!$E$9-OffsetZ)/Ecran)*'Calculs 3D'!$E$32)),0)</f>
        <v>-0.17138772620695464</v>
      </c>
      <c r="N234" s="105">
        <f>IF(Body5Actif=TRUE,((((($B234*$N$4)+'Calculs 3D'!$C$10-OffsetX)/Ecran)*'Calculs 3D'!$C$31)+(((($C234*$N$4)+'Calculs 3D'!$D$10-OffsetY)/Ecran)*'Calculs 3D'!$D$31)+(((($D234*$N$4)+'Calculs 3D'!$E$10-OffsetZ)/Ecran)*'Calculs 3D'!$E$31)),0)</f>
        <v>-3.762561431717935E-3</v>
      </c>
      <c r="O234" s="105">
        <f>IF(Body5Actif=TRUE,((((($B234*$N$4)+'Calculs 3D'!$C$10-OffsetX)/Ecran)*'Calculs 3D'!$C$32)+(((($C234*$N$4)+'Calculs 3D'!$D$10-OffsetY)/Ecran)*'Calculs 3D'!$D$32)+(((($D234*$N$4)+'Calculs 3D'!$E$10-OffsetZ)/Ecran)*'Calculs 3D'!$E$32)),0)</f>
        <v>-4.3713187682401823E-3</v>
      </c>
      <c r="P234" s="105">
        <f>IF(Body6Actif=TRUE,((((($B234*$P$4)+'Calculs 3D'!$C$11-OffsetX)/Ecran)*'Calculs 3D'!$C$31)+(((($C234*$P$4)+'Calculs 3D'!$D$11-OffsetY)/Ecran)*'Calculs 3D'!$D$31)+(((($D234*$P$4)+'Calculs 3D'!$E$11-OffsetZ)/Ecran)*'Calculs 3D'!$E$31)),0)</f>
        <v>0.16398403398170755</v>
      </c>
      <c r="Q234" s="105">
        <f>IF(Body6Actif=TRUE,((((($B234*$P$4)+'Calculs 3D'!$C$11-OffsetX)/Ecran)*'Calculs 3D'!$C$32)+(((($C234*$P$4)+'Calculs 3D'!$D$11-OffsetY)/Ecran)*'Calculs 3D'!$D$32)+(((($D234*$P$4)+'Calculs 3D'!$E$11-OffsetZ)/Ecran)*'Calculs 3D'!$E$32)),0)</f>
        <v>0.13393746354285185</v>
      </c>
      <c r="R234" s="105">
        <f>IF(Body7Actif=TRUE,((((($B234*$R$4)+'Calculs 3D'!$C$12-OffsetX)/Ecran)*'Calculs 3D'!$C$31)+(((($C234*$R$4)+'Calculs 3D'!$D$12-OffsetY)/Ecran)*'Calculs 3D'!$D$31)+(((($D234*$R$4)+'Calculs 3D'!$E$12-OffsetZ)/Ecran)*'Calculs 3D'!$E$31)),0)</f>
        <v>-0.28745960048482933</v>
      </c>
      <c r="S234" s="105">
        <f>IF(Body7Actif=TRUE,((((($B234*$R$4)+'Calculs 3D'!$C$12-OffsetX)/Ecran)*'Calculs 3D'!$C$32)+(((($C234*$R$4)+'Calculs 3D'!$D$12-OffsetY)/Ecran)*'Calculs 3D'!$D$32)+(((($D234*$R$4)+'Calculs 3D'!$E$12-OffsetZ)/Ecran)*'Calculs 3D'!$E$32)),0)</f>
        <v>6.322995529014673E-2</v>
      </c>
      <c r="T234" s="105">
        <f>IF(Body8Actif=TRUE,((((($B234*$T$4)+'Calculs 3D'!$C$13-OffsetX)/Ecran)*'Calculs 3D'!$C$31)+(((($C234*$T$4)+'Calculs 3D'!$D$13-OffsetY)/Ecran)*'Calculs 3D'!$D$31)+(((($D234*$T$4)+'Calculs 3D'!$E$13-OffsetZ)/Ecran)*'Calculs 3D'!$E$31)),0)</f>
        <v>0.16574672766819726</v>
      </c>
      <c r="U234" s="105">
        <f>IF(Body8Actif=TRUE,((((($B234*$T$4)+'Calculs 3D'!$C$13-OffsetX)/Ecran)*'Calculs 3D'!$C$32)+(((($C234*$T$4)+'Calculs 3D'!$D$13-OffsetY)/Ecran)*'Calculs 3D'!$D$32)+(((($D234*$T$4)+'Calculs 3D'!$E$13-OffsetZ)/Ecran)*'Calculs 3D'!$E$32)),0)</f>
        <v>-0.13025149922192639</v>
      </c>
      <c r="V234" s="105">
        <f>IF(Body9Actif=TRUE,((((($B234*$V$4)+'Calculs 3D'!$C$14-OffsetX)/Ecran)*'Calculs 3D'!$C$31)+(((($C234*$V$4)+'Calculs 3D'!$D$14-OffsetY)/Ecran)*'Calculs 3D'!$D$31)+(((($D234*$V$4)+'Calculs 3D'!$E$14-OffsetZ)/Ecran)*'Calculs 3D'!$E$31)),0)</f>
        <v>-0.18102235374066755</v>
      </c>
      <c r="W234" s="105">
        <f>IF(Body9Actif=TRUE,((((($B234*$V$4)+'Calculs 3D'!$C$14-OffsetX)/Ecran)*'Calculs 3D'!$C$32)+(((($C234*$V$4)+'Calculs 3D'!$D$14-OffsetY)/Ecran)*'Calculs 3D'!$D$32)+(((($D234*$V$4)+'Calculs 3D'!$E$14-OffsetZ)/Ecran)*'Calculs 3D'!$E$32)),0)</f>
        <v>0.28911631412920991</v>
      </c>
      <c r="X234" s="105">
        <f>IF(Body10Actif=TRUE,((((($B234*$X$4)+'Calculs 3D'!$C$15-OffsetX)/Ecran)*'Calculs 3D'!$C$31)+(((($C234*$X$4)+'Calculs 3D'!$D$15-OffsetY)/Ecran)*'Calculs 3D'!$D$31)+(((($D234*$X$4)+'Calculs 3D'!$E$15-OffsetZ)/Ecran)*'Calculs 3D'!$E$31)),0)</f>
        <v>-2.0519436467203556E-2</v>
      </c>
      <c r="Y234" s="105">
        <f>IF(Body10Actif=TRUE,((((($B234*$X$4)+'Calculs 3D'!$C$15-OffsetX)/Ecran)*'Calculs 3D'!$C$32)+(((($C234*$X$4)+'Calculs 3D'!$D$15-OffsetY)/Ecran)*'Calculs 3D'!$D$32)+(((($D234*$X$4)+'Calculs 3D'!$E$15-OffsetZ)/Ecran)*'Calculs 3D'!$E$32)),0)</f>
        <v>0.29321285311453393</v>
      </c>
    </row>
    <row r="235" spans="2:25" x14ac:dyDescent="0.3">
      <c r="B235" s="102">
        <v>0</v>
      </c>
      <c r="C235" s="102">
        <v>-0.95105651629515353</v>
      </c>
      <c r="D235" s="102">
        <v>0.30901699437494751</v>
      </c>
      <c r="F235" s="105">
        <f>IF(Body1Actif=TRUE,((((($B235*$F$4)+'Calculs 3D'!$C$6-OffsetX)/Ecran)*'Calculs 3D'!$C$31)+(((($C235*$F$4)+'Calculs 3D'!$D$6-OffsetY)/Ecran)*'Calculs 3D'!$D$31)+(((($D235*$F$4)+'Calculs 3D'!$E$6-OffsetZ)/Ecran)*'Calculs 3D'!$E$31)),0)</f>
        <v>4.846785242453041E-2</v>
      </c>
      <c r="G235" s="105">
        <f>IF(Body1Actif=TRUE,((((($B235*$F$4)+'Calculs 3D'!$C$6-OffsetX)/Ecran)*'Calculs 3D'!$C$32)+(((($C235*$F$4)+'Calculs 3D'!$D$6-OffsetY)/Ecran)*'Calculs 3D'!$D$32)+(((($D235*$F$4)+'Calculs 3D'!$E$6-OffsetZ)/Ecran)*'Calculs 3D'!$E$32)),0)</f>
        <v>0.2630867600723571</v>
      </c>
      <c r="H235" s="105">
        <f>IF(Body2Actif=TRUE,((((($B235*$H$4)+'Calculs 3D'!$C$7-OffsetX)/Ecran)*'Calculs 3D'!$C$31)+(((($C235*$H$4)+'Calculs 3D'!$D$7-OffsetY)/Ecran)*'Calculs 3D'!$D$31)+(((($D235*$H$4)+'Calculs 3D'!$E$7-OffsetZ)/Ecran)*'Calculs 3D'!$E$31)),0)</f>
        <v>1.7018508851098069E-2</v>
      </c>
      <c r="I235" s="105">
        <f>IF(Body2Actif=TRUE,((((($B235*$H$4)+'Calculs 3D'!$C$7-OffsetX)/Ecran)*'Calculs 3D'!$C$32)+(((($C235*$H$4)+'Calculs 3D'!$D$7-OffsetY)/Ecran)*'Calculs 3D'!$D$32)+(((($D235*$H$4)+'Calculs 3D'!$E$7-OffsetZ)/Ecran)*'Calculs 3D'!$E$32)),0)</f>
        <v>2.7294041973940111E-2</v>
      </c>
      <c r="J235" s="105">
        <f>IF(Body3Actif=TRUE,((((($B235*$J$4)+'Calculs 3D'!$C$8-OffsetX)/Ecran)*'Calculs 3D'!$C$31)+(((($C235*$J$4)+'Calculs 3D'!$D$8-OffsetY)/Ecran)*'Calculs 3D'!$D$31)+(((($D235*$J$4)+'Calculs 3D'!$E$8-OffsetZ)/Ecran)*'Calculs 3D'!$E$31)),0)</f>
        <v>0.21500258327177915</v>
      </c>
      <c r="K235" s="105">
        <f>IF(Body3Actif=TRUE,((((($B235*$J$4)+'Calculs 3D'!$C$8-OffsetX)/Ecran)*'Calculs 3D'!$C$32)+(((($C235*$J$4)+'Calculs 3D'!$D$8-OffsetY)/Ecran)*'Calculs 3D'!$D$32)+(((($D235*$J$4)+'Calculs 3D'!$E$8-OffsetZ)/Ecran)*'Calculs 3D'!$E$32)),0)</f>
        <v>-8.2212022841239657E-2</v>
      </c>
      <c r="L235" s="105">
        <f>IF(Body4Actif=TRUE,((((($B235*$L$4)+'Calculs 3D'!$C$9-OffsetX)/Ecran)*'Calculs 3D'!$C$31)+(((($C235*$L$4)+'Calculs 3D'!$D$9-OffsetY)/Ecran)*'Calculs 3D'!$D$31)+(((($D235*$L$4)+'Calculs 3D'!$E$9-OffsetZ)/Ecran)*'Calculs 3D'!$E$31)),0)</f>
        <v>-9.9281748730355029E-2</v>
      </c>
      <c r="M235" s="105">
        <f>IF(Body4Actif=TRUE,((((($B235*$L$4)+'Calculs 3D'!$C$9-OffsetX)/Ecran)*'Calculs 3D'!$C$32)+(((($C235*$L$4)+'Calculs 3D'!$D$9-OffsetY)/Ecran)*'Calculs 3D'!$D$32)+(((($D235*$L$4)+'Calculs 3D'!$E$9-OffsetZ)/Ecran)*'Calculs 3D'!$E$32)),0)</f>
        <v>-0.17385842806609481</v>
      </c>
      <c r="N235" s="105">
        <f>IF(Body5Actif=TRUE,((((($B235*$N$4)+'Calculs 3D'!$C$10-OffsetX)/Ecran)*'Calculs 3D'!$C$31)+(((($C235*$N$4)+'Calculs 3D'!$D$10-OffsetY)/Ecran)*'Calculs 3D'!$D$31)+(((($D235*$N$4)+'Calculs 3D'!$E$10-OffsetZ)/Ecran)*'Calculs 3D'!$E$31)),0)</f>
        <v>-4.5733979037081169E-3</v>
      </c>
      <c r="O235" s="105">
        <f>IF(Body5Actif=TRUE,((((($B235*$N$4)+'Calculs 3D'!$C$10-OffsetX)/Ecran)*'Calculs 3D'!$C$32)+(((($C235*$N$4)+'Calculs 3D'!$D$10-OffsetY)/Ecran)*'Calculs 3D'!$D$32)+(((($D235*$N$4)+'Calculs 3D'!$E$10-OffsetZ)/Ecran)*'Calculs 3D'!$E$32)),0)</f>
        <v>-7.1918517575272371E-3</v>
      </c>
      <c r="P235" s="105">
        <f>IF(Body6Actif=TRUE,((((($B235*$P$4)+'Calculs 3D'!$C$11-OffsetX)/Ecran)*'Calculs 3D'!$C$31)+(((($C235*$P$4)+'Calculs 3D'!$D$11-OffsetY)/Ecran)*'Calculs 3D'!$D$31)+(((($D235*$P$4)+'Calculs 3D'!$E$11-OffsetZ)/Ecran)*'Calculs 3D'!$E$31)),0)</f>
        <v>0.16280899350856021</v>
      </c>
      <c r="Q235" s="105">
        <f>IF(Body6Actif=TRUE,((((($B235*$P$4)+'Calculs 3D'!$C$11-OffsetX)/Ecran)*'Calculs 3D'!$C$32)+(((($C235*$P$4)+'Calculs 3D'!$D$11-OffsetY)/Ecran)*'Calculs 3D'!$D$32)+(((($D235*$P$4)+'Calculs 3D'!$E$11-OffsetZ)/Ecran)*'Calculs 3D'!$E$32)),0)</f>
        <v>0.12985002972265777</v>
      </c>
      <c r="R235" s="105">
        <f>IF(Body7Actif=TRUE,((((($B235*$R$4)+'Calculs 3D'!$C$12-OffsetX)/Ecran)*'Calculs 3D'!$C$31)+(((($C235*$R$4)+'Calculs 3D'!$D$12-OffsetY)/Ecran)*'Calculs 3D'!$D$31)+(((($D235*$R$4)+'Calculs 3D'!$E$12-OffsetZ)/Ecran)*'Calculs 3D'!$E$31)),0)</f>
        <v>-0.28863965074897585</v>
      </c>
      <c r="S235" s="105">
        <f>IF(Body7Actif=TRUE,((((($B235*$R$4)+'Calculs 3D'!$C$12-OffsetX)/Ecran)*'Calculs 3D'!$C$32)+(((($C235*$R$4)+'Calculs 3D'!$D$12-OffsetY)/Ecran)*'Calculs 3D'!$D$32)+(((($D235*$R$4)+'Calculs 3D'!$E$12-OffsetZ)/Ecran)*'Calculs 3D'!$E$32)),0)</f>
        <v>5.9125094675190878E-2</v>
      </c>
      <c r="T235" s="105">
        <f>IF(Body8Actif=TRUE,((((($B235*$T$4)+'Calculs 3D'!$C$13-OffsetX)/Ecran)*'Calculs 3D'!$C$31)+(((($C235*$T$4)+'Calculs 3D'!$D$13-OffsetY)/Ecran)*'Calculs 3D'!$D$31)+(((($D235*$T$4)+'Calculs 3D'!$E$13-OffsetZ)/Ecran)*'Calculs 3D'!$E$31)),0)</f>
        <v>0.16532113016763919</v>
      </c>
      <c r="U235" s="105">
        <f>IF(Body8Actif=TRUE,((((($B235*$T$4)+'Calculs 3D'!$C$13-OffsetX)/Ecran)*'Calculs 3D'!$C$32)+(((($C235*$T$4)+'Calculs 3D'!$D$13-OffsetY)/Ecran)*'Calculs 3D'!$D$32)+(((($D235*$T$4)+'Calculs 3D'!$E$13-OffsetZ)/Ecran)*'Calculs 3D'!$E$32)),0)</f>
        <v>-0.13173196024205758</v>
      </c>
      <c r="V235" s="105">
        <f>IF(Body9Actif=TRUE,((((($B235*$V$4)+'Calculs 3D'!$C$14-OffsetX)/Ecran)*'Calculs 3D'!$C$31)+(((($C235*$V$4)+'Calculs 3D'!$D$14-OffsetY)/Ecran)*'Calculs 3D'!$D$31)+(((($D235*$V$4)+'Calculs 3D'!$E$14-OffsetZ)/Ecran)*'Calculs 3D'!$E$31)),0)</f>
        <v>-0.18161287705713725</v>
      </c>
      <c r="W235" s="105">
        <f>IF(Body9Actif=TRUE,((((($B235*$V$4)+'Calculs 3D'!$C$14-OffsetX)/Ecran)*'Calculs 3D'!$C$32)+(((($C235*$V$4)+'Calculs 3D'!$D$14-OffsetY)/Ecran)*'Calculs 3D'!$D$32)+(((($D235*$V$4)+'Calculs 3D'!$E$14-OffsetZ)/Ecran)*'Calculs 3D'!$E$32)),0)</f>
        <v>0.28706215086376397</v>
      </c>
      <c r="X235" s="105">
        <f>IF(Body10Actif=TRUE,((((($B235*$X$4)+'Calculs 3D'!$C$15-OffsetX)/Ecran)*'Calculs 3D'!$C$31)+(((($C235*$X$4)+'Calculs 3D'!$D$15-OffsetY)/Ecran)*'Calculs 3D'!$D$31)+(((($D235*$X$4)+'Calculs 3D'!$E$15-OffsetZ)/Ecran)*'Calculs 3D'!$E$31)),0)</f>
        <v>-2.1410804306169914E-2</v>
      </c>
      <c r="Y235" s="105">
        <f>IF(Body10Actif=TRUE,((((($B235*$X$4)+'Calculs 3D'!$C$15-OffsetX)/Ecran)*'Calculs 3D'!$C$32)+(((($C235*$X$4)+'Calculs 3D'!$D$15-OffsetY)/Ecran)*'Calculs 3D'!$D$32)+(((($D235*$X$4)+'Calculs 3D'!$E$15-OffsetZ)/Ecran)*'Calculs 3D'!$E$32)),0)</f>
        <v>0.29011218795917504</v>
      </c>
    </row>
    <row r="236" spans="2:25" x14ac:dyDescent="0.3">
      <c r="B236" s="102">
        <v>0</v>
      </c>
      <c r="C236" s="102">
        <v>-1</v>
      </c>
      <c r="D236" s="102">
        <v>1.22514845490862E-16</v>
      </c>
      <c r="F236" s="105">
        <f>IF(Body1Actif=TRUE,((((($B236*$F$4)+'Calculs 3D'!$C$6-OffsetX)/Ecran)*'Calculs 3D'!$C$31)+(((($C236*$F$4)+'Calculs 3D'!$D$6-OffsetY)/Ecran)*'Calculs 3D'!$D$31)+(((($D236*$F$4)+'Calculs 3D'!$E$6-OffsetZ)/Ecran)*'Calculs 3D'!$E$31)),0)</f>
        <v>4.8359199055956835E-2</v>
      </c>
      <c r="G236" s="105">
        <f>IF(Body1Actif=TRUE,((((($B236*$F$4)+'Calculs 3D'!$C$6-OffsetX)/Ecran)*'Calculs 3D'!$C$32)+(((($C236*$F$4)+'Calculs 3D'!$D$6-OffsetY)/Ecran)*'Calculs 3D'!$D$32)+(((($D236*$F$4)+'Calculs 3D'!$E$6-OffsetZ)/Ecran)*'Calculs 3D'!$E$32)),0)</f>
        <v>0.26207499313663096</v>
      </c>
      <c r="H236" s="105">
        <f>IF(Body2Actif=TRUE,((((($B236*$H$4)+'Calculs 3D'!$C$7-OffsetX)/Ecran)*'Calculs 3D'!$C$31)+(((($C236*$H$4)+'Calculs 3D'!$D$7-OffsetY)/Ecran)*'Calculs 3D'!$D$31)+(((($D236*$H$4)+'Calculs 3D'!$E$7-OffsetZ)/Ecran)*'Calculs 3D'!$E$31)),0)</f>
        <v>1.6594991445429013E-2</v>
      </c>
      <c r="I236" s="105">
        <f>IF(Body2Actif=TRUE,((((($B236*$H$4)+'Calculs 3D'!$C$7-OffsetX)/Ecran)*'Calculs 3D'!$C$32)+(((($C236*$H$4)+'Calculs 3D'!$D$7-OffsetY)/Ecran)*'Calculs 3D'!$D$32)+(((($D236*$H$4)+'Calculs 3D'!$E$7-OffsetZ)/Ecran)*'Calculs 3D'!$E$32)),0)</f>
        <v>2.3350299470730914E-2</v>
      </c>
      <c r="J236" s="105">
        <f>IF(Body3Actif=TRUE,((((($B236*$J$4)+'Calculs 3D'!$C$8-OffsetX)/Ecran)*'Calculs 3D'!$C$31)+(((($C236*$J$4)+'Calculs 3D'!$D$8-OffsetY)/Ecran)*'Calculs 3D'!$D$31)+(((($D236*$J$4)+'Calculs 3D'!$E$8-OffsetZ)/Ecran)*'Calculs 3D'!$E$31)),0)</f>
        <v>0.21481436272883944</v>
      </c>
      <c r="K236" s="105">
        <f>IF(Body3Actif=TRUE,((((($B236*$J$4)+'Calculs 3D'!$C$8-OffsetX)/Ecran)*'Calculs 3D'!$C$32)+(((($C236*$J$4)+'Calculs 3D'!$D$8-OffsetY)/Ecran)*'Calculs 3D'!$D$32)+(((($D236*$J$4)+'Calculs 3D'!$E$8-OffsetZ)/Ecran)*'Calculs 3D'!$E$32)),0)</f>
        <v>-8.3964709614515964E-2</v>
      </c>
      <c r="L236" s="105">
        <f>IF(Body4Actif=TRUE,((((($B236*$L$4)+'Calculs 3D'!$C$9-OffsetX)/Ecran)*'Calculs 3D'!$C$31)+(((($C236*$L$4)+'Calculs 3D'!$D$9-OffsetY)/Ecran)*'Calculs 3D'!$D$31)+(((($D236*$L$4)+'Calculs 3D'!$E$9-OffsetZ)/Ecran)*'Calculs 3D'!$E$31)),0)</f>
        <v>-9.952649050803597E-2</v>
      </c>
      <c r="M236" s="105">
        <f>IF(Body4Actif=TRUE,((((($B236*$L$4)+'Calculs 3D'!$C$9-OffsetX)/Ecran)*'Calculs 3D'!$C$32)+(((($C236*$L$4)+'Calculs 3D'!$D$9-OffsetY)/Ecran)*'Calculs 3D'!$D$32)+(((($D236*$L$4)+'Calculs 3D'!$E$9-OffsetZ)/Ecran)*'Calculs 3D'!$E$32)),0)</f>
        <v>-0.17613743369380089</v>
      </c>
      <c r="N236" s="105">
        <f>IF(Body5Actif=TRUE,((((($B236*$N$4)+'Calculs 3D'!$C$10-OffsetX)/Ecran)*'Calculs 3D'!$C$31)+(((($C236*$N$4)+'Calculs 3D'!$D$10-OffsetY)/Ecran)*'Calculs 3D'!$D$31)+(((($D236*$N$4)+'Calculs 3D'!$E$10-OffsetZ)/Ecran)*'Calculs 3D'!$E$31)),0)</f>
        <v>-4.8527931108846133E-3</v>
      </c>
      <c r="O236" s="105">
        <f>IF(Body5Actif=TRUE,((((($B236*$N$4)+'Calculs 3D'!$C$10-OffsetX)/Ecran)*'Calculs 3D'!$C$32)+(((($C236*$N$4)+'Calculs 3D'!$D$10-OffsetY)/Ecran)*'Calculs 3D'!$D$32)+(((($D236*$N$4)+'Calculs 3D'!$E$10-OffsetZ)/Ecran)*'Calculs 3D'!$E$32)),0)</f>
        <v>-9.7935459004024686E-3</v>
      </c>
      <c r="P236" s="105">
        <f>IF(Body6Actif=TRUE,((((($B236*$P$4)+'Calculs 3D'!$C$11-OffsetX)/Ecran)*'Calculs 3D'!$C$31)+(((($C236*$P$4)+'Calculs 3D'!$D$11-OffsetY)/Ecran)*'Calculs 3D'!$D$31)+(((($D236*$P$4)+'Calculs 3D'!$E$11-OffsetZ)/Ecran)*'Calculs 3D'!$E$31)),0)</f>
        <v>0.16240410215527668</v>
      </c>
      <c r="Q236" s="105">
        <f>IF(Body6Actif=TRUE,((((($B236*$P$4)+'Calculs 3D'!$C$11-OffsetX)/Ecran)*'Calculs 3D'!$C$32)+(((($C236*$P$4)+'Calculs 3D'!$D$11-OffsetY)/Ecran)*'Calculs 3D'!$D$32)+(((($D236*$P$4)+'Calculs 3D'!$E$11-OffsetZ)/Ecran)*'Calculs 3D'!$E$32)),0)</f>
        <v>0.12607973075087475</v>
      </c>
      <c r="R236" s="105">
        <f>IF(Body7Actif=TRUE,((((($B236*$R$4)+'Calculs 3D'!$C$12-OffsetX)/Ecran)*'Calculs 3D'!$C$31)+(((($C236*$R$4)+'Calculs 3D'!$D$12-OffsetY)/Ecran)*'Calculs 3D'!$D$31)+(((($D236*$R$4)+'Calculs 3D'!$E$12-OffsetZ)/Ecran)*'Calculs 3D'!$E$31)),0)</f>
        <v>-0.2890462683585916</v>
      </c>
      <c r="S236" s="105">
        <f>IF(Body7Actif=TRUE,((((($B236*$R$4)+'Calculs 3D'!$C$12-OffsetX)/Ecran)*'Calculs 3D'!$C$32)+(((($C236*$R$4)+'Calculs 3D'!$D$12-OffsetY)/Ecran)*'Calculs 3D'!$D$32)+(((($D236*$R$4)+'Calculs 3D'!$E$12-OffsetZ)/Ecran)*'Calculs 3D'!$E$32)),0)</f>
        <v>5.5338721014675948E-2</v>
      </c>
      <c r="T236" s="105">
        <f>IF(Body8Actif=TRUE,((((($B236*$T$4)+'Calculs 3D'!$C$13-OffsetX)/Ecran)*'Calculs 3D'!$C$31)+(((($C236*$T$4)+'Calculs 3D'!$D$13-OffsetY)/Ecran)*'Calculs 3D'!$D$31)+(((($D236*$T$4)+'Calculs 3D'!$E$13-OffsetZ)/Ecran)*'Calculs 3D'!$E$31)),0)</f>
        <v>0.16517447926335715</v>
      </c>
      <c r="U236" s="105">
        <f>IF(Body8Actif=TRUE,((((($B236*$T$4)+'Calculs 3D'!$C$13-OffsetX)/Ecran)*'Calculs 3D'!$C$32)+(((($C236*$T$4)+'Calculs 3D'!$D$13-OffsetY)/Ecran)*'Calculs 3D'!$D$32)+(((($D236*$T$4)+'Calculs 3D'!$E$13-OffsetZ)/Ecran)*'Calculs 3D'!$E$32)),0)</f>
        <v>-0.13309755560274292</v>
      </c>
      <c r="V236" s="105">
        <f>IF(Body9Actif=TRUE,((((($B236*$V$4)+'Calculs 3D'!$C$14-OffsetX)/Ecran)*'Calculs 3D'!$C$31)+(((($C236*$V$4)+'Calculs 3D'!$D$14-OffsetY)/Ecran)*'Calculs 3D'!$D$31)+(((($D236*$V$4)+'Calculs 3D'!$E$14-OffsetZ)/Ecran)*'Calculs 3D'!$E$31)),0)</f>
        <v>-0.18181635752458913</v>
      </c>
      <c r="W236" s="105">
        <f>IF(Body9Actif=TRUE,((((($B236*$V$4)+'Calculs 3D'!$C$14-OffsetX)/Ecran)*'Calculs 3D'!$C$32)+(((($C236*$V$4)+'Calculs 3D'!$D$14-OffsetY)/Ecran)*'Calculs 3D'!$D$32)+(((($D236*$V$4)+'Calculs 3D'!$E$14-OffsetZ)/Ecran)*'Calculs 3D'!$E$32)),0)</f>
        <v>0.2851673655318715</v>
      </c>
      <c r="X236" s="105">
        <f>IF(Body10Actif=TRUE,((((($B236*$X$4)+'Calculs 3D'!$C$15-OffsetX)/Ecran)*'Calculs 3D'!$C$31)+(((($C236*$X$4)+'Calculs 3D'!$D$15-OffsetY)/Ecran)*'Calculs 3D'!$D$31)+(((($D236*$X$4)+'Calculs 3D'!$E$15-OffsetZ)/Ecran)*'Calculs 3D'!$E$31)),0)</f>
        <v>-2.1717948731268602E-2</v>
      </c>
      <c r="Y236" s="105">
        <f>IF(Body10Actif=TRUE,((((($B236*$X$4)+'Calculs 3D'!$C$15-OffsetX)/Ecran)*'Calculs 3D'!$C$32)+(((($C236*$X$4)+'Calculs 3D'!$D$15-OffsetY)/Ecran)*'Calculs 3D'!$D$32)+(((($D236*$X$4)+'Calculs 3D'!$E$15-OffsetZ)/Ecran)*'Calculs 3D'!$E$32)),0)</f>
        <v>0.28725209647846744</v>
      </c>
    </row>
    <row r="237" spans="2:25" x14ac:dyDescent="0.3">
      <c r="B237" s="102">
        <v>0</v>
      </c>
      <c r="C237" s="102">
        <v>-0.95105651629515353</v>
      </c>
      <c r="D237" s="102">
        <v>-0.30901699437494773</v>
      </c>
      <c r="F237" s="105">
        <f>IF(Body1Actif=TRUE,((((($B237*$F$4)+'Calculs 3D'!$C$6-OffsetX)/Ecran)*'Calculs 3D'!$C$31)+(((($C237*$F$4)+'Calculs 3D'!$D$6-OffsetY)/Ecran)*'Calculs 3D'!$D$31)+(((($D237*$F$4)+'Calculs 3D'!$E$6-OffsetZ)/Ecran)*'Calculs 3D'!$E$31)),0)</f>
        <v>4.846785242453041E-2</v>
      </c>
      <c r="G237" s="105">
        <f>IF(Body1Actif=TRUE,((((($B237*$F$4)+'Calculs 3D'!$C$6-OffsetX)/Ecran)*'Calculs 3D'!$C$32)+(((($C237*$F$4)+'Calculs 3D'!$D$6-OffsetY)/Ecran)*'Calculs 3D'!$D$32)+(((($D237*$F$4)+'Calculs 3D'!$E$6-OffsetZ)/Ecran)*'Calculs 3D'!$E$32)),0)</f>
        <v>0.26124736874071941</v>
      </c>
      <c r="H237" s="105">
        <f>IF(Body2Actif=TRUE,((((($B237*$H$4)+'Calculs 3D'!$C$7-OffsetX)/Ecran)*'Calculs 3D'!$C$31)+(((($C237*$H$4)+'Calculs 3D'!$D$7-OffsetY)/Ecran)*'Calculs 3D'!$D$31)+(((($D237*$H$4)+'Calculs 3D'!$E$7-OffsetZ)/Ecran)*'Calculs 3D'!$E$31)),0)</f>
        <v>1.7018508851098069E-2</v>
      </c>
      <c r="I237" s="105">
        <f>IF(Body2Actif=TRUE,((((($B237*$H$4)+'Calculs 3D'!$C$7-OffsetX)/Ecran)*'Calculs 3D'!$C$32)+(((($C237*$H$4)+'Calculs 3D'!$D$7-OffsetY)/Ecran)*'Calculs 3D'!$D$32)+(((($D237*$H$4)+'Calculs 3D'!$E$7-OffsetZ)/Ecran)*'Calculs 3D'!$E$32)),0)</f>
        <v>2.0124321835370936E-2</v>
      </c>
      <c r="J237" s="105">
        <f>IF(Body3Actif=TRUE,((((($B237*$J$4)+'Calculs 3D'!$C$8-OffsetX)/Ecran)*'Calculs 3D'!$C$31)+(((($C237*$J$4)+'Calculs 3D'!$D$8-OffsetY)/Ecran)*'Calculs 3D'!$D$31)+(((($D237*$J$4)+'Calculs 3D'!$E$8-OffsetZ)/Ecran)*'Calculs 3D'!$E$31)),0)</f>
        <v>0.21500258327177915</v>
      </c>
      <c r="K237" s="105">
        <f>IF(Body3Actif=TRUE,((((($B237*$J$4)+'Calculs 3D'!$C$8-OffsetX)/Ecran)*'Calculs 3D'!$C$32)+(((($C237*$J$4)+'Calculs 3D'!$D$8-OffsetY)/Ecran)*'Calculs 3D'!$D$32)+(((($D237*$J$4)+'Calculs 3D'!$E$8-OffsetZ)/Ecran)*'Calculs 3D'!$E$32)),0)</f>
        <v>-8.5398405736354349E-2</v>
      </c>
      <c r="L237" s="105">
        <f>IF(Body4Actif=TRUE,((((($B237*$L$4)+'Calculs 3D'!$C$9-OffsetX)/Ecran)*'Calculs 3D'!$C$31)+(((($C237*$L$4)+'Calculs 3D'!$D$9-OffsetY)/Ecran)*'Calculs 3D'!$D$31)+(((($D237*$L$4)+'Calculs 3D'!$E$9-OffsetZ)/Ecran)*'Calculs 3D'!$E$31)),0)</f>
        <v>-9.9281748730355029E-2</v>
      </c>
      <c r="M237" s="105">
        <f>IF(Body4Actif=TRUE,((((($B237*$L$4)+'Calculs 3D'!$C$9-OffsetX)/Ecran)*'Calculs 3D'!$C$32)+(((($C237*$L$4)+'Calculs 3D'!$D$9-OffsetY)/Ecran)*'Calculs 3D'!$D$32)+(((($D237*$L$4)+'Calculs 3D'!$E$9-OffsetZ)/Ecran)*'Calculs 3D'!$E$32)),0)</f>
        <v>-0.17800165814046714</v>
      </c>
      <c r="N237" s="105">
        <f>IF(Body5Actif=TRUE,((((($B237*$N$4)+'Calculs 3D'!$C$10-OffsetX)/Ecran)*'Calculs 3D'!$C$31)+(((($C237*$N$4)+'Calculs 3D'!$D$10-OffsetY)/Ecran)*'Calculs 3D'!$D$31)+(((($D237*$N$4)+'Calculs 3D'!$E$10-OffsetZ)/Ecran)*'Calculs 3D'!$E$31)),0)</f>
        <v>-4.5733979037081169E-3</v>
      </c>
      <c r="O237" s="105">
        <f>IF(Body5Actif=TRUE,((((($B237*$N$4)+'Calculs 3D'!$C$10-OffsetX)/Ecran)*'Calculs 3D'!$C$32)+(((($C237*$N$4)+'Calculs 3D'!$D$10-OffsetY)/Ecran)*'Calculs 3D'!$D$32)+(((($D237*$N$4)+'Calculs 3D'!$E$10-OffsetZ)/Ecran)*'Calculs 3D'!$E$32)),0)</f>
        <v>-1.1921729247092269E-2</v>
      </c>
      <c r="P237" s="105">
        <f>IF(Body6Actif=TRUE,((((($B237*$P$4)+'Calculs 3D'!$C$11-OffsetX)/Ecran)*'Calculs 3D'!$C$31)+(((($C237*$P$4)+'Calculs 3D'!$D$11-OffsetY)/Ecran)*'Calculs 3D'!$D$31)+(((($D237*$P$4)+'Calculs 3D'!$E$11-OffsetZ)/Ecran)*'Calculs 3D'!$E$31)),0)</f>
        <v>0.16280899350856021</v>
      </c>
      <c r="Q237" s="105">
        <f>IF(Body6Actif=TRUE,((((($B237*$P$4)+'Calculs 3D'!$C$11-OffsetX)/Ecran)*'Calculs 3D'!$C$32)+(((($C237*$P$4)+'Calculs 3D'!$D$11-OffsetY)/Ecran)*'Calculs 3D'!$D$32)+(((($D237*$P$4)+'Calculs 3D'!$E$11-OffsetZ)/Ecran)*'Calculs 3D'!$E$32)),0)</f>
        <v>0.1229956297600785</v>
      </c>
      <c r="R237" s="105">
        <f>IF(Body7Actif=TRUE,((((($B237*$R$4)+'Calculs 3D'!$C$12-OffsetX)/Ecran)*'Calculs 3D'!$C$31)+(((($C237*$R$4)+'Calculs 3D'!$D$12-OffsetY)/Ecran)*'Calculs 3D'!$D$31)+(((($D237*$R$4)+'Calculs 3D'!$E$12-OffsetZ)/Ecran)*'Calculs 3D'!$E$31)),0)</f>
        <v>-0.28863965074897585</v>
      </c>
      <c r="S237" s="105">
        <f>IF(Body7Actif=TRUE,((((($B237*$R$4)+'Calculs 3D'!$C$12-OffsetX)/Ecran)*'Calculs 3D'!$C$32)+(((($C237*$R$4)+'Calculs 3D'!$D$12-OffsetY)/Ecran)*'Calculs 3D'!$D$32)+(((($D237*$R$4)+'Calculs 3D'!$E$12-OffsetZ)/Ecran)*'Calculs 3D'!$E$32)),0)</f>
        <v>5.224147094370972E-2</v>
      </c>
      <c r="T237" s="105">
        <f>IF(Body8Actif=TRUE,((((($B237*$T$4)+'Calculs 3D'!$C$13-OffsetX)/Ecran)*'Calculs 3D'!$C$31)+(((($C237*$T$4)+'Calculs 3D'!$D$13-OffsetY)/Ecran)*'Calculs 3D'!$D$31)+(((($D237*$T$4)+'Calculs 3D'!$E$13-OffsetZ)/Ecran)*'Calculs 3D'!$E$31)),0)</f>
        <v>0.16532113016763919</v>
      </c>
      <c r="U237" s="105">
        <f>IF(Body8Actif=TRUE,((((($B237*$T$4)+'Calculs 3D'!$C$13-OffsetX)/Ecran)*'Calculs 3D'!$C$32)+(((($C237*$T$4)+'Calculs 3D'!$D$13-OffsetY)/Ecran)*'Calculs 3D'!$D$32)+(((($D237*$T$4)+'Calculs 3D'!$E$13-OffsetZ)/Ecran)*'Calculs 3D'!$E$32)),0)</f>
        <v>-0.13421461131541618</v>
      </c>
      <c r="V237" s="105">
        <f>IF(Body9Actif=TRUE,((((($B237*$V$4)+'Calculs 3D'!$C$14-OffsetX)/Ecran)*'Calculs 3D'!$C$31)+(((($C237*$V$4)+'Calculs 3D'!$D$14-OffsetY)/Ecran)*'Calculs 3D'!$D$31)+(((($D237*$V$4)+'Calculs 3D'!$E$14-OffsetZ)/Ecran)*'Calculs 3D'!$E$31)),0)</f>
        <v>-0.18161287705713725</v>
      </c>
      <c r="W237" s="105">
        <f>IF(Body9Actif=TRUE,((((($B237*$V$4)+'Calculs 3D'!$C$14-OffsetX)/Ecran)*'Calculs 3D'!$C$32)+(((($C237*$V$4)+'Calculs 3D'!$D$14-OffsetY)/Ecran)*'Calculs 3D'!$D$32)+(((($D237*$V$4)+'Calculs 3D'!$E$14-OffsetZ)/Ecran)*'Calculs 3D'!$E$32)),0)</f>
        <v>0.28361743292356367</v>
      </c>
      <c r="X237" s="105">
        <f>IF(Body10Actif=TRUE,((((($B237*$X$4)+'Calculs 3D'!$C$15-OffsetX)/Ecran)*'Calculs 3D'!$C$31)+(((($C237*$X$4)+'Calculs 3D'!$D$15-OffsetY)/Ecran)*'Calculs 3D'!$D$31)+(((($D237*$X$4)+'Calculs 3D'!$E$15-OffsetZ)/Ecran)*'Calculs 3D'!$E$31)),0)</f>
        <v>-2.1410804306169914E-2</v>
      </c>
      <c r="Y237" s="105">
        <f>IF(Body10Actif=TRUE,((((($B237*$X$4)+'Calculs 3D'!$C$15-OffsetX)/Ecran)*'Calculs 3D'!$C$32)+(((($C237*$X$4)+'Calculs 3D'!$D$15-OffsetY)/Ecran)*'Calculs 3D'!$D$32)+(((($D237*$X$4)+'Calculs 3D'!$E$15-OffsetZ)/Ecran)*'Calculs 3D'!$E$32)),0)</f>
        <v>0.28491254435397195</v>
      </c>
    </row>
    <row r="238" spans="2:25" x14ac:dyDescent="0.3">
      <c r="B238" s="102">
        <v>0</v>
      </c>
      <c r="C238" s="102">
        <v>-0.80901699437494756</v>
      </c>
      <c r="D238" s="102">
        <v>-0.58778525229247303</v>
      </c>
      <c r="F238" s="105">
        <f>IF(Body1Actif=TRUE,((((($B238*$F$4)+'Calculs 3D'!$C$6-OffsetX)/Ecran)*'Calculs 3D'!$C$31)+(((($C238*$F$4)+'Calculs 3D'!$D$6-OffsetY)/Ecran)*'Calculs 3D'!$D$31)+(((($D238*$F$4)+'Calculs 3D'!$E$6-OffsetZ)/Ecran)*'Calculs 3D'!$E$31)),0)</f>
        <v>4.8783176781502603E-2</v>
      </c>
      <c r="G238" s="105">
        <f>IF(Body1Actif=TRUE,((((($B238*$F$4)+'Calculs 3D'!$C$6-OffsetX)/Ecran)*'Calculs 3D'!$C$32)+(((($C238*$F$4)+'Calculs 3D'!$D$6-OffsetY)/Ecran)*'Calculs 3D'!$D$32)+(((($D238*$F$4)+'Calculs 3D'!$E$6-OffsetZ)/Ecran)*'Calculs 3D'!$E$32)),0)</f>
        <v>0.26068490052689253</v>
      </c>
      <c r="H238" s="105">
        <f>IF(Body2Actif=TRUE,((((($B238*$H$4)+'Calculs 3D'!$C$7-OffsetX)/Ecran)*'Calculs 3D'!$C$31)+(((($C238*$H$4)+'Calculs 3D'!$D$7-OffsetY)/Ecran)*'Calculs 3D'!$D$31)+(((($D238*$H$4)+'Calculs 3D'!$E$7-OffsetZ)/Ecran)*'Calculs 3D'!$E$31)),0)</f>
        <v>1.8247604233619066E-2</v>
      </c>
      <c r="I238" s="105">
        <f>IF(Body2Actif=TRUE,((((($B238*$H$4)+'Calculs 3D'!$C$7-OffsetX)/Ecran)*'Calculs 3D'!$C$32)+(((($C238*$H$4)+'Calculs 3D'!$D$7-OffsetY)/Ecran)*'Calculs 3D'!$D$32)+(((($D238*$H$4)+'Calculs 3D'!$E$7-OffsetZ)/Ecran)*'Calculs 3D'!$E$32)),0)</f>
        <v>1.793189023551707E-2</v>
      </c>
      <c r="J238" s="105">
        <f>IF(Body3Actif=TRUE,((((($B238*$J$4)+'Calculs 3D'!$C$8-OffsetX)/Ecran)*'Calculs 3D'!$C$31)+(((($C238*$J$4)+'Calculs 3D'!$D$8-OffsetY)/Ecran)*'Calculs 3D'!$D$31)+(((($D238*$J$4)+'Calculs 3D'!$E$8-OffsetZ)/Ecran)*'Calculs 3D'!$E$31)),0)</f>
        <v>0.2155488205624457</v>
      </c>
      <c r="K238" s="105">
        <f>IF(Body3Actif=TRUE,((((($B238*$J$4)+'Calculs 3D'!$C$8-OffsetX)/Ecran)*'Calculs 3D'!$C$32)+(((($C238*$J$4)+'Calculs 3D'!$D$8-OffsetY)/Ecran)*'Calculs 3D'!$D$32)+(((($D238*$J$4)+'Calculs 3D'!$E$8-OffsetZ)/Ecran)*'Calculs 3D'!$E$32)),0)</f>
        <v>-8.6372771041201196E-2</v>
      </c>
      <c r="L238" s="105">
        <f>IF(Body4Actif=TRUE,((((($B238*$L$4)+'Calculs 3D'!$C$9-OffsetX)/Ecran)*'Calculs 3D'!$C$31)+(((($C238*$L$4)+'Calculs 3D'!$D$9-OffsetY)/Ecran)*'Calculs 3D'!$D$31)+(((($D238*$L$4)+'Calculs 3D'!$E$9-OffsetZ)/Ecran)*'Calculs 3D'!$E$31)),0)</f>
        <v>-9.8571480427727884E-2</v>
      </c>
      <c r="M238" s="105">
        <f>IF(Body4Actif=TRUE,((((($B238*$L$4)+'Calculs 3D'!$C$9-OffsetX)/Ecran)*'Calculs 3D'!$C$32)+(((($C238*$L$4)+'Calculs 3D'!$D$9-OffsetY)/Ecran)*'Calculs 3D'!$D$32)+(((($D238*$L$4)+'Calculs 3D'!$E$9-OffsetZ)/Ecran)*'Calculs 3D'!$E$32)),0)</f>
        <v>-0.17926861812843836</v>
      </c>
      <c r="N238" s="105">
        <f>IF(Body5Actif=TRUE,((((($B238*$N$4)+'Calculs 3D'!$C$10-OffsetX)/Ecran)*'Calculs 3D'!$C$31)+(((($C238*$N$4)+'Calculs 3D'!$D$10-OffsetY)/Ecran)*'Calculs 3D'!$D$31)+(((($D238*$N$4)+'Calculs 3D'!$E$10-OffsetZ)/Ecran)*'Calculs 3D'!$E$31)),0)</f>
        <v>-3.7625614317179363E-3</v>
      </c>
      <c r="O238" s="105">
        <f>IF(Body5Actif=TRUE,((((($B238*$N$4)+'Calculs 3D'!$C$10-OffsetX)/Ecran)*'Calculs 3D'!$C$32)+(((($C238*$N$4)+'Calculs 3D'!$D$10-OffsetY)/Ecran)*'Calculs 3D'!$D$32)+(((($D238*$N$4)+'Calculs 3D'!$E$10-OffsetZ)/Ecran)*'Calculs 3D'!$E$32)),0)</f>
        <v>-1.3368080383697342E-2</v>
      </c>
      <c r="P238" s="105">
        <f>IF(Body6Actif=TRUE,((((($B238*$P$4)+'Calculs 3D'!$C$11-OffsetX)/Ecran)*'Calculs 3D'!$C$31)+(((($C238*$P$4)+'Calculs 3D'!$D$11-OffsetY)/Ecran)*'Calculs 3D'!$D$31)+(((($D238*$P$4)+'Calculs 3D'!$E$11-OffsetZ)/Ecran)*'Calculs 3D'!$E$31)),0)</f>
        <v>0.16398403398170755</v>
      </c>
      <c r="Q238" s="105">
        <f>IF(Body6Actif=TRUE,((((($B238*$P$4)+'Calculs 3D'!$C$11-OffsetX)/Ecran)*'Calculs 3D'!$C$32)+(((($C238*$P$4)+'Calculs 3D'!$D$11-OffsetY)/Ecran)*'Calculs 3D'!$D$32)+(((($D238*$P$4)+'Calculs 3D'!$E$11-OffsetZ)/Ecran)*'Calculs 3D'!$E$32)),0)</f>
        <v>0.12089962004344335</v>
      </c>
      <c r="R238" s="105">
        <f>IF(Body7Actif=TRUE,((((($B238*$R$4)+'Calculs 3D'!$C$12-OffsetX)/Ecran)*'Calculs 3D'!$C$31)+(((($C238*$R$4)+'Calculs 3D'!$D$12-OffsetY)/Ecran)*'Calculs 3D'!$D$31)+(((($D238*$R$4)+'Calculs 3D'!$E$12-OffsetZ)/Ecran)*'Calculs 3D'!$E$31)),0)</f>
        <v>-0.28745960048482933</v>
      </c>
      <c r="S238" s="105">
        <f>IF(Body7Actif=TRUE,((((($B238*$R$4)+'Calculs 3D'!$C$12-OffsetX)/Ecran)*'Calculs 3D'!$C$32)+(((($C238*$R$4)+'Calculs 3D'!$D$12-OffsetY)/Ecran)*'Calculs 3D'!$D$32)+(((($D238*$R$4)+'Calculs 3D'!$E$12-OffsetZ)/Ecran)*'Calculs 3D'!$E$32)),0)</f>
        <v>5.0136524879048516E-2</v>
      </c>
      <c r="T238" s="105">
        <f>IF(Body8Actif=TRUE,((((($B238*$T$4)+'Calculs 3D'!$C$13-OffsetX)/Ecran)*'Calculs 3D'!$C$31)+(((($C238*$T$4)+'Calculs 3D'!$D$13-OffsetY)/Ecran)*'Calculs 3D'!$D$31)+(((($D238*$T$4)+'Calculs 3D'!$E$13-OffsetZ)/Ecran)*'Calculs 3D'!$E$31)),0)</f>
        <v>0.16574672766819726</v>
      </c>
      <c r="U238" s="105">
        <f>IF(Body8Actif=TRUE,((((($B238*$T$4)+'Calculs 3D'!$C$13-OffsetX)/Ecran)*'Calculs 3D'!$C$32)+(((($C238*$T$4)+'Calculs 3D'!$D$13-OffsetY)/Ecran)*'Calculs 3D'!$D$32)+(((($D238*$T$4)+'Calculs 3D'!$E$13-OffsetZ)/Ecran)*'Calculs 3D'!$E$32)),0)</f>
        <v>-0.13497378218393613</v>
      </c>
      <c r="V238" s="105">
        <f>IF(Body9Actif=TRUE,((((($B238*$V$4)+'Calculs 3D'!$C$14-OffsetX)/Ecran)*'Calculs 3D'!$C$31)+(((($C238*$V$4)+'Calculs 3D'!$D$14-OffsetY)/Ecran)*'Calculs 3D'!$D$31)+(((($D238*$V$4)+'Calculs 3D'!$E$14-OffsetZ)/Ecran)*'Calculs 3D'!$E$31)),0)</f>
        <v>-0.18102235374066755</v>
      </c>
      <c r="W238" s="105">
        <f>IF(Body9Actif=TRUE,((((($B238*$V$4)+'Calculs 3D'!$C$14-OffsetX)/Ecran)*'Calculs 3D'!$C$32)+(((($C238*$V$4)+'Calculs 3D'!$D$14-OffsetY)/Ecran)*'Calculs 3D'!$D$32)+(((($D238*$V$4)+'Calculs 3D'!$E$14-OffsetZ)/Ecran)*'Calculs 3D'!$E$32)),0)</f>
        <v>0.28256407124155725</v>
      </c>
      <c r="X238" s="105">
        <f>IF(Body10Actif=TRUE,((((($B238*$X$4)+'Calculs 3D'!$C$15-OffsetX)/Ecran)*'Calculs 3D'!$C$31)+(((($C238*$X$4)+'Calculs 3D'!$D$15-OffsetY)/Ecran)*'Calculs 3D'!$D$31)+(((($D238*$X$4)+'Calculs 3D'!$E$15-OffsetZ)/Ecran)*'Calculs 3D'!$E$31)),0)</f>
        <v>-2.0519436467203556E-2</v>
      </c>
      <c r="Y238" s="105">
        <f>IF(Body10Actif=TRUE,((((($B238*$X$4)+'Calculs 3D'!$C$15-OffsetX)/Ecran)*'Calculs 3D'!$C$32)+(((($C238*$X$4)+'Calculs 3D'!$D$15-OffsetY)/Ecran)*'Calculs 3D'!$D$32)+(((($D238*$X$4)+'Calculs 3D'!$E$15-OffsetZ)/Ecran)*'Calculs 3D'!$E$32)),0)</f>
        <v>0.28332254324825235</v>
      </c>
    </row>
    <row r="239" spans="2:25" x14ac:dyDescent="0.3">
      <c r="B239" s="102">
        <v>0</v>
      </c>
      <c r="C239" s="102">
        <v>-0.58778525229247325</v>
      </c>
      <c r="D239" s="102">
        <v>-0.80901699437494734</v>
      </c>
      <c r="F239" s="105">
        <f>IF(Body1Actif=TRUE,((((($B239*$F$4)+'Calculs 3D'!$C$6-OffsetX)/Ecran)*'Calculs 3D'!$C$31)+(((($C239*$F$4)+'Calculs 3D'!$D$6-OffsetY)/Ecran)*'Calculs 3D'!$D$31)+(((($D239*$F$4)+'Calculs 3D'!$E$6-OffsetZ)/Ecran)*'Calculs 3D'!$E$31)),0)</f>
        <v>4.9274305981819026E-2</v>
      </c>
      <c r="G239" s="105">
        <f>IF(Body1Actif=TRUE,((((($B239*$F$4)+'Calculs 3D'!$C$6-OffsetX)/Ecran)*'Calculs 3D'!$C$32)+(((($C239*$F$4)+'Calculs 3D'!$D$6-OffsetY)/Ecran)*'Calculs 3D'!$D$32)+(((($D239*$F$4)+'Calculs 3D'!$E$6-OffsetZ)/Ecran)*'Calculs 3D'!$E$32)),0)</f>
        <v>0.26044264680286616</v>
      </c>
      <c r="H239" s="105">
        <f>IF(Body2Actif=TRUE,((((($B239*$H$4)+'Calculs 3D'!$C$7-OffsetX)/Ecran)*'Calculs 3D'!$C$31)+(((($C239*$H$4)+'Calculs 3D'!$D$7-OffsetY)/Ecran)*'Calculs 3D'!$D$31)+(((($D239*$H$4)+'Calculs 3D'!$E$7-OffsetZ)/Ecran)*'Calculs 3D'!$E$31)),0)</f>
        <v>2.016196517333977E-2</v>
      </c>
      <c r="I239" s="105">
        <f>IF(Body2Actif=TRUE,((((($B239*$H$4)+'Calculs 3D'!$C$7-OffsetX)/Ecran)*'Calculs 3D'!$C$32)+(((($C239*$H$4)+'Calculs 3D'!$D$7-OffsetY)/Ecran)*'Calculs 3D'!$D$32)+(((($D239*$H$4)+'Calculs 3D'!$E$7-OffsetZ)/Ecran)*'Calculs 3D'!$E$32)),0)</f>
        <v>1.698761515173218E-2</v>
      </c>
      <c r="J239" s="105">
        <f>IF(Body3Actif=TRUE,((((($B239*$J$4)+'Calculs 3D'!$C$8-OffsetX)/Ecran)*'Calculs 3D'!$C$31)+(((($C239*$J$4)+'Calculs 3D'!$D$8-OffsetY)/Ecran)*'Calculs 3D'!$D$31)+(((($D239*$J$4)+'Calculs 3D'!$E$8-OffsetZ)/Ecran)*'Calculs 3D'!$E$31)),0)</f>
        <v>0.21639960508896963</v>
      </c>
      <c r="K239" s="105">
        <f>IF(Body3Actif=TRUE,((((($B239*$J$4)+'Calculs 3D'!$C$8-OffsetX)/Ecran)*'Calculs 3D'!$C$32)+(((($C239*$J$4)+'Calculs 3D'!$D$8-OffsetY)/Ecran)*'Calculs 3D'!$D$32)+(((($D239*$J$4)+'Calculs 3D'!$E$8-OffsetZ)/Ecran)*'Calculs 3D'!$E$32)),0)</f>
        <v>-8.6792427864215704E-2</v>
      </c>
      <c r="L239" s="105">
        <f>IF(Body4Actif=TRUE,((((($B239*$L$4)+'Calculs 3D'!$C$9-OffsetX)/Ecran)*'Calculs 3D'!$C$31)+(((($C239*$L$4)+'Calculs 3D'!$D$9-OffsetY)/Ecran)*'Calculs 3D'!$D$31)+(((($D239*$L$4)+'Calculs 3D'!$E$9-OffsetZ)/Ecran)*'Calculs 3D'!$E$31)),0)</f>
        <v>-9.7465211610345936E-2</v>
      </c>
      <c r="M239" s="105">
        <f>IF(Body4Actif=TRUE,((((($B239*$L$4)+'Calculs 3D'!$C$9-OffsetX)/Ecran)*'Calculs 3D'!$C$32)+(((($C239*$L$4)+'Calculs 3D'!$D$9-OffsetY)/Ecran)*'Calculs 3D'!$D$32)+(((($D239*$L$4)+'Calculs 3D'!$E$9-OffsetZ)/Ecran)*'Calculs 3D'!$E$32)),0)</f>
        <v>-0.17981429478666269</v>
      </c>
      <c r="N239" s="105">
        <f>IF(Body5Actif=TRUE,((((($B239*$N$4)+'Calculs 3D'!$C$10-OffsetX)/Ecran)*'Calculs 3D'!$C$31)+(((($C239*$N$4)+'Calculs 3D'!$D$10-OffsetY)/Ecran)*'Calculs 3D'!$D$31)+(((($D239*$N$4)+'Calculs 3D'!$E$10-OffsetZ)/Ecran)*'Calculs 3D'!$E$31)),0)</f>
        <v>-2.499654018222365E-3</v>
      </c>
      <c r="O239" s="105">
        <f>IF(Body5Actif=TRUE,((((($B239*$N$4)+'Calculs 3D'!$C$10-OffsetX)/Ecran)*'Calculs 3D'!$C$32)+(((($C239*$N$4)+'Calculs 3D'!$D$10-OffsetY)/Ecran)*'Calculs 3D'!$D$32)+(((($D239*$N$4)+'Calculs 3D'!$E$10-OffsetZ)/Ecran)*'Calculs 3D'!$E$32)),0)</f>
        <v>-1.3991020383645874E-2</v>
      </c>
      <c r="P239" s="105">
        <f>IF(Body6Actif=TRUE,((((($B239*$P$4)+'Calculs 3D'!$C$11-OffsetX)/Ecran)*'Calculs 3D'!$C$31)+(((($C239*$P$4)+'Calculs 3D'!$D$11-OffsetY)/Ecran)*'Calculs 3D'!$D$31)+(((($D239*$P$4)+'Calculs 3D'!$E$11-OffsetZ)/Ecran)*'Calculs 3D'!$E$31)),0)</f>
        <v>0.16581420242621861</v>
      </c>
      <c r="Q239" s="105">
        <f>IF(Body6Actif=TRUE,((((($B239*$P$4)+'Calculs 3D'!$C$11-OffsetX)/Ecran)*'Calculs 3D'!$C$32)+(((($C239*$P$4)+'Calculs 3D'!$D$11-OffsetY)/Ecran)*'Calculs 3D'!$D$32)+(((($D239*$P$4)+'Calculs 3D'!$E$11-OffsetZ)/Ecran)*'Calculs 3D'!$E$32)),0)</f>
        <v>0.11999687363579188</v>
      </c>
      <c r="R239" s="105">
        <f>IF(Body7Actif=TRUE,((((($B239*$R$4)+'Calculs 3D'!$C$12-OffsetX)/Ecran)*'Calculs 3D'!$C$31)+(((($C239*$R$4)+'Calculs 3D'!$D$12-OffsetY)/Ecran)*'Calculs 3D'!$D$31)+(((($D239*$R$4)+'Calculs 3D'!$E$12-OffsetZ)/Ecran)*'Calculs 3D'!$E$31)),0)</f>
        <v>-0.28562162910790023</v>
      </c>
      <c r="S239" s="105">
        <f>IF(Body7Actif=TRUE,((((($B239*$R$4)+'Calculs 3D'!$C$12-OffsetX)/Ecran)*'Calculs 3D'!$C$32)+(((($C239*$R$4)+'Calculs 3D'!$D$12-OffsetY)/Ecran)*'Calculs 3D'!$D$32)+(((($D239*$R$4)+'Calculs 3D'!$E$12-OffsetZ)/Ecran)*'Calculs 3D'!$E$32)),0)</f>
        <v>4.922992960752301E-2</v>
      </c>
      <c r="T239" s="105">
        <f>IF(Body8Actif=TRUE,((((($B239*$T$4)+'Calculs 3D'!$C$13-OffsetX)/Ecran)*'Calculs 3D'!$C$31)+(((($C239*$T$4)+'Calculs 3D'!$D$13-OffsetY)/Ecran)*'Calculs 3D'!$D$31)+(((($D239*$T$4)+'Calculs 3D'!$E$13-OffsetZ)/Ecran)*'Calculs 3D'!$E$31)),0)</f>
        <v>0.16640961131636459</v>
      </c>
      <c r="U239" s="105">
        <f>IF(Body8Actif=TRUE,((((($B239*$T$4)+'Calculs 3D'!$C$13-OffsetX)/Ecran)*'Calculs 3D'!$C$32)+(((($C239*$T$4)+'Calculs 3D'!$D$13-OffsetY)/Ecran)*'Calculs 3D'!$D$32)+(((($D239*$T$4)+'Calculs 3D'!$E$13-OffsetZ)/Ecran)*'Calculs 3D'!$E$32)),0)</f>
        <v>-0.13530075527423757</v>
      </c>
      <c r="V239" s="105">
        <f>IF(Body9Actif=TRUE,((((($B239*$V$4)+'Calculs 3D'!$C$14-OffsetX)/Ecran)*'Calculs 3D'!$C$31)+(((($C239*$V$4)+'Calculs 3D'!$D$14-OffsetY)/Ecran)*'Calculs 3D'!$D$31)+(((($D239*$V$4)+'Calculs 3D'!$E$14-OffsetZ)/Ecran)*'Calculs 3D'!$E$31)),0)</f>
        <v>-0.18010259211181398</v>
      </c>
      <c r="W239" s="105">
        <f>IF(Body9Actif=TRUE,((((($B239*$V$4)+'Calculs 3D'!$C$14-OffsetX)/Ecran)*'Calculs 3D'!$C$32)+(((($C239*$V$4)+'Calculs 3D'!$D$14-OffsetY)/Ecran)*'Calculs 3D'!$D$32)+(((($D239*$V$4)+'Calculs 3D'!$E$14-OffsetZ)/Ecran)*'Calculs 3D'!$E$32)),0)</f>
        <v>0.28211039086648937</v>
      </c>
      <c r="X239" s="105">
        <f>IF(Body10Actif=TRUE,((((($B239*$X$4)+'Calculs 3D'!$C$15-OffsetX)/Ecran)*'Calculs 3D'!$C$31)+(((($C239*$X$4)+'Calculs 3D'!$D$15-OffsetY)/Ecran)*'Calculs 3D'!$D$31)+(((($D239*$X$4)+'Calculs 3D'!$E$15-OffsetZ)/Ecran)*'Calculs 3D'!$E$31)),0)</f>
        <v>-1.9131098508972488E-2</v>
      </c>
      <c r="Y239" s="105">
        <f>IF(Body10Actif=TRUE,((((($B239*$X$4)+'Calculs 3D'!$C$15-OffsetX)/Ecran)*'Calculs 3D'!$C$32)+(((($C239*$X$4)+'Calculs 3D'!$D$15-OffsetY)/Ecran)*'Calculs 3D'!$D$32)+(((($D239*$X$4)+'Calculs 3D'!$E$15-OffsetZ)/Ecran)*'Calculs 3D'!$E$32)),0)</f>
        <v>0.28263773354772553</v>
      </c>
    </row>
    <row r="240" spans="2:25" x14ac:dyDescent="0.3">
      <c r="B240" s="102">
        <v>0</v>
      </c>
      <c r="C240" s="102">
        <v>-0.30901699437494756</v>
      </c>
      <c r="D240" s="102">
        <v>-0.95105651629515353</v>
      </c>
      <c r="F240" s="105">
        <f>IF(Body1Actif=TRUE,((((($B240*$F$4)+'Calculs 3D'!$C$6-OffsetX)/Ecran)*'Calculs 3D'!$C$31)+(((($C240*$F$4)+'Calculs 3D'!$D$6-OffsetY)/Ecran)*'Calculs 3D'!$D$31)+(((($D240*$F$4)+'Calculs 3D'!$E$6-OffsetZ)/Ecran)*'Calculs 3D'!$E$31)),0)</f>
        <v>4.9893164877454342E-2</v>
      </c>
      <c r="G240" s="105">
        <f>IF(Body1Actif=TRUE,((((($B240*$F$4)+'Calculs 3D'!$C$6-OffsetX)/Ecran)*'Calculs 3D'!$C$32)+(((($C240*$F$4)+'Calculs 3D'!$D$6-OffsetY)/Ecran)*'Calculs 3D'!$D$32)+(((($D240*$F$4)+'Calculs 3D'!$E$6-OffsetZ)/Ecran)*'Calculs 3D'!$E$32)),0)</f>
        <v>0.26054432105102893</v>
      </c>
      <c r="H240" s="105">
        <f>IF(Body2Actif=TRUE,((((($B240*$H$4)+'Calculs 3D'!$C$7-OffsetX)/Ecran)*'Calculs 3D'!$C$31)+(((($C240*$H$4)+'Calculs 3D'!$D$7-OffsetY)/Ecran)*'Calculs 3D'!$D$31)+(((($D240*$H$4)+'Calculs 3D'!$E$7-OffsetZ)/Ecran)*'Calculs 3D'!$E$31)),0)</f>
        <v>2.2574200683343353E-2</v>
      </c>
      <c r="I240" s="105">
        <f>IF(Body2Actif=TRUE,((((($B240*$H$4)+'Calculs 3D'!$C$7-OffsetX)/Ecran)*'Calculs 3D'!$C$32)+(((($C240*$H$4)+'Calculs 3D'!$D$7-OffsetY)/Ecran)*'Calculs 3D'!$D$32)+(((($D240*$H$4)+'Calculs 3D'!$E$7-OffsetZ)/Ecran)*'Calculs 3D'!$E$32)),0)</f>
        <v>1.7383928808368514E-2</v>
      </c>
      <c r="J240" s="105">
        <f>IF(Body3Actif=TRUE,((((($B240*$J$4)+'Calculs 3D'!$C$8-OffsetX)/Ecran)*'Calculs 3D'!$C$31)+(((($C240*$J$4)+'Calculs 3D'!$D$8-OffsetY)/Ecran)*'Calculs 3D'!$D$31)+(((($D240*$J$4)+'Calculs 3D'!$E$8-OffsetZ)/Ecran)*'Calculs 3D'!$E$31)),0)</f>
        <v>0.21747165613413047</v>
      </c>
      <c r="K240" s="105">
        <f>IF(Body3Actif=TRUE,((((($B240*$J$4)+'Calculs 3D'!$C$8-OffsetX)/Ecran)*'Calculs 3D'!$C$32)+(((($C240*$J$4)+'Calculs 3D'!$D$8-OffsetY)/Ecran)*'Calculs 3D'!$D$32)+(((($D240*$J$4)+'Calculs 3D'!$E$8-OffsetZ)/Ecran)*'Calculs 3D'!$E$32)),0)</f>
        <v>-8.6616297271640219E-2</v>
      </c>
      <c r="L240" s="105">
        <f>IF(Body4Actif=TRUE,((((($B240*$L$4)+'Calculs 3D'!$C$9-OffsetX)/Ecran)*'Calculs 3D'!$C$31)+(((($C240*$L$4)+'Calculs 3D'!$D$9-OffsetY)/Ecran)*'Calculs 3D'!$D$31)+(((($D240*$L$4)+'Calculs 3D'!$E$9-OffsetZ)/Ecran)*'Calculs 3D'!$E$31)),0)</f>
        <v>-9.6071231577882582E-2</v>
      </c>
      <c r="M240" s="105">
        <f>IF(Body4Actif=TRUE,((((($B240*$L$4)+'Calculs 3D'!$C$9-OffsetX)/Ecran)*'Calculs 3D'!$C$32)+(((($C240*$L$4)+'Calculs 3D'!$D$9-OffsetY)/Ecran)*'Calculs 3D'!$D$32)+(((($D240*$L$4)+'Calculs 3D'!$E$9-OffsetZ)/Ecran)*'Calculs 3D'!$E$32)),0)</f>
        <v>-0.17958527348188028</v>
      </c>
      <c r="N240" s="105">
        <f>IF(Body5Actif=TRUE,((((($B240*$N$4)+'Calculs 3D'!$C$10-OffsetX)/Ecran)*'Calculs 3D'!$C$31)+(((($C240*$N$4)+'Calculs 3D'!$D$10-OffsetY)/Ecran)*'Calculs 3D'!$D$31)+(((($D240*$N$4)+'Calculs 3D'!$E$10-OffsetZ)/Ecran)*'Calculs 3D'!$E$31)),0)</f>
        <v>-9.0829784004770389E-4</v>
      </c>
      <c r="O240" s="105">
        <f>IF(Body5Actif=TRUE,((((($B240*$N$4)+'Calculs 3D'!$C$10-OffsetX)/Ecran)*'Calculs 3D'!$C$32)+(((($C240*$N$4)+'Calculs 3D'!$D$10-OffsetY)/Ecran)*'Calculs 3D'!$D$32)+(((($D240*$N$4)+'Calculs 3D'!$E$10-OffsetZ)/Ecran)*'Calculs 3D'!$E$32)),0)</f>
        <v>-1.3729571539464705E-2</v>
      </c>
      <c r="P240" s="105">
        <f>IF(Body6Actif=TRUE,((((($B240*$P$4)+'Calculs 3D'!$C$11-OffsetX)/Ecran)*'Calculs 3D'!$C$31)+(((($C240*$P$4)+'Calculs 3D'!$D$11-OffsetY)/Ecran)*'Calculs 3D'!$D$31)+(((($D240*$P$4)+'Calculs 3D'!$E$11-OffsetZ)/Ecran)*'Calculs 3D'!$E$31)),0)</f>
        <v>0.16812034920321128</v>
      </c>
      <c r="Q240" s="105">
        <f>IF(Body6Actif=TRUE,((((($B240*$P$4)+'Calculs 3D'!$C$11-OffsetX)/Ecran)*'Calculs 3D'!$C$32)+(((($C240*$P$4)+'Calculs 3D'!$D$11-OffsetY)/Ecran)*'Calculs 3D'!$D$32)+(((($D240*$P$4)+'Calculs 3D'!$E$11-OffsetZ)/Ecran)*'Calculs 3D'!$E$32)),0)</f>
        <v>0.12037575764530911</v>
      </c>
      <c r="R240" s="105">
        <f>IF(Body7Actif=TRUE,((((($B240*$R$4)+'Calculs 3D'!$C$12-OffsetX)/Ecran)*'Calculs 3D'!$C$31)+(((($C240*$R$4)+'Calculs 3D'!$D$12-OffsetY)/Ecran)*'Calculs 3D'!$D$31)+(((($D240*$R$4)+'Calculs 3D'!$E$12-OffsetZ)/Ecran)*'Calculs 3D'!$E$31)),0)</f>
        <v>-0.28330565006246206</v>
      </c>
      <c r="S240" s="105">
        <f>IF(Body7Actif=TRUE,((((($B240*$R$4)+'Calculs 3D'!$C$12-OffsetX)/Ecran)*'Calculs 3D'!$C$32)+(((($C240*$R$4)+'Calculs 3D'!$D$12-OffsetY)/Ecran)*'Calculs 3D'!$D$32)+(((($D240*$R$4)+'Calculs 3D'!$E$12-OffsetZ)/Ecran)*'Calculs 3D'!$E$32)),0)</f>
        <v>4.9610428990930808E-2</v>
      </c>
      <c r="T240" s="105">
        <f>IF(Body8Actif=TRUE,((((($B240*$T$4)+'Calculs 3D'!$C$13-OffsetX)/Ecran)*'Calculs 3D'!$C$31)+(((($C240*$T$4)+'Calculs 3D'!$D$13-OffsetY)/Ecran)*'Calculs 3D'!$D$31)+(((($D240*$T$4)+'Calculs 3D'!$E$13-OffsetZ)/Ecran)*'Calculs 3D'!$E$31)),0)</f>
        <v>0.16724489344207658</v>
      </c>
      <c r="U240" s="105">
        <f>IF(Body8Actif=TRUE,((((($B240*$T$4)+'Calculs 3D'!$C$13-OffsetX)/Ecran)*'Calculs 3D'!$C$32)+(((($C240*$T$4)+'Calculs 3D'!$D$13-OffsetY)/Ecran)*'Calculs 3D'!$D$32)+(((($D240*$T$4)+'Calculs 3D'!$E$13-OffsetZ)/Ecran)*'Calculs 3D'!$E$32)),0)</f>
        <v>-0.1351635241820863</v>
      </c>
      <c r="V240" s="105">
        <f>IF(Body9Actif=TRUE,((((($B240*$V$4)+'Calculs 3D'!$C$14-OffsetX)/Ecran)*'Calculs 3D'!$C$31)+(((($C240*$V$4)+'Calculs 3D'!$D$14-OffsetY)/Ecran)*'Calculs 3D'!$D$31)+(((($D240*$V$4)+'Calculs 3D'!$E$14-OffsetZ)/Ecran)*'Calculs 3D'!$E$31)),0)</f>
        <v>-0.17894362484716481</v>
      </c>
      <c r="W240" s="105">
        <f>IF(Body9Actif=TRUE,((((($B240*$V$4)+'Calculs 3D'!$C$14-OffsetX)/Ecran)*'Calculs 3D'!$C$32)+(((($C240*$V$4)+'Calculs 3D'!$D$14-OffsetY)/Ecran)*'Calculs 3D'!$D$32)+(((($D240*$V$4)+'Calculs 3D'!$E$14-OffsetZ)/Ecran)*'Calculs 3D'!$E$32)),0)</f>
        <v>0.28230080119444867</v>
      </c>
      <c r="X240" s="105">
        <f>IF(Body10Actif=TRUE,((((($B240*$X$4)+'Calculs 3D'!$C$15-OffsetX)/Ecran)*'Calculs 3D'!$C$31)+(((($C240*$X$4)+'Calculs 3D'!$D$15-OffsetY)/Ecran)*'Calculs 3D'!$D$31)+(((($D240*$X$4)+'Calculs 3D'!$E$15-OffsetZ)/Ecran)*'Calculs 3D'!$E$31)),0)</f>
        <v>-1.7381690623947732E-2</v>
      </c>
      <c r="Y240" s="105">
        <f>IF(Body10Actif=TRUE,((((($B240*$X$4)+'Calculs 3D'!$C$15-OffsetX)/Ecran)*'Calculs 3D'!$C$32)+(((($C240*$X$4)+'Calculs 3D'!$D$15-OffsetY)/Ecran)*'Calculs 3D'!$D$32)+(((($D240*$X$4)+'Calculs 3D'!$E$15-OffsetZ)/Ecran)*'Calculs 3D'!$E$32)),0)</f>
        <v>0.28292514919722883</v>
      </c>
    </row>
    <row r="241" spans="2:25" x14ac:dyDescent="0.3">
      <c r="B241" s="102">
        <v>0</v>
      </c>
      <c r="C241" s="102">
        <v>-1.83772268236293E-16</v>
      </c>
      <c r="D241" s="102">
        <v>-1</v>
      </c>
      <c r="F241" s="105">
        <f>IF(Body1Actif=TRUE,((((($B241*$F$4)+'Calculs 3D'!$C$6-OffsetX)/Ecran)*'Calculs 3D'!$C$31)+(((($C241*$F$4)+'Calculs 3D'!$D$6-OffsetY)/Ecran)*'Calculs 3D'!$D$31)+(((($D241*$F$4)+'Calculs 3D'!$E$6-OffsetZ)/Ecran)*'Calculs 3D'!$E$31)),0)</f>
        <v>5.0579175247860285E-2</v>
      </c>
      <c r="G241" s="105">
        <f>IF(Body1Actif=TRUE,((((($B241*$F$4)+'Calculs 3D'!$C$6-OffsetX)/Ecran)*'Calculs 3D'!$C$32)+(((($C241*$F$4)+'Calculs 3D'!$D$6-OffsetY)/Ecran)*'Calculs 3D'!$D$32)+(((($D241*$F$4)+'Calculs 3D'!$E$6-OffsetZ)/Ecran)*'Calculs 3D'!$E$32)),0)</f>
        <v>0.26097997068756451</v>
      </c>
      <c r="H241" s="105">
        <f>IF(Body2Actif=TRUE,((((($B241*$H$4)+'Calculs 3D'!$C$7-OffsetX)/Ecran)*'Calculs 3D'!$C$31)+(((($C241*$H$4)+'Calculs 3D'!$D$7-OffsetY)/Ecran)*'Calculs 3D'!$D$31)+(((($D241*$H$4)+'Calculs 3D'!$E$7-OffsetZ)/Ecran)*'Calculs 3D'!$E$31)),0)</f>
        <v>2.5248184344877585E-2</v>
      </c>
      <c r="I241" s="105">
        <f>IF(Body2Actif=TRUE,((((($B241*$H$4)+'Calculs 3D'!$C$7-OffsetX)/Ecran)*'Calculs 3D'!$C$32)+(((($C241*$H$4)+'Calculs 3D'!$D$7-OffsetY)/Ecran)*'Calculs 3D'!$D$32)+(((($D241*$H$4)+'Calculs 3D'!$E$7-OffsetZ)/Ecran)*'Calculs 3D'!$E$32)),0)</f>
        <v>1.9082037263434885E-2</v>
      </c>
      <c r="J241" s="105">
        <f>IF(Body3Actif=TRUE,((((($B241*$J$4)+'Calculs 3D'!$C$8-OffsetX)/Ecran)*'Calculs 3D'!$C$31)+(((($C241*$J$4)+'Calculs 3D'!$D$8-OffsetY)/Ecran)*'Calculs 3D'!$D$31)+(((($D241*$J$4)+'Calculs 3D'!$E$8-OffsetZ)/Ecran)*'Calculs 3D'!$E$31)),0)</f>
        <v>0.21866003387220898</v>
      </c>
      <c r="K241" s="105">
        <f>IF(Body3Actif=TRUE,((((($B241*$J$4)+'Calculs 3D'!$C$8-OffsetX)/Ecran)*'Calculs 3D'!$C$32)+(((($C241*$J$4)+'Calculs 3D'!$D$8-OffsetY)/Ecran)*'Calculs 3D'!$D$32)+(((($D241*$J$4)+'Calculs 3D'!$E$8-OffsetZ)/Ecran)*'Calculs 3D'!$E$32)),0)</f>
        <v>-8.5861620153050128E-2</v>
      </c>
      <c r="L241" s="105">
        <f>IF(Body4Actif=TRUE,((((($B241*$L$4)+'Calculs 3D'!$C$9-OffsetX)/Ecran)*'Calculs 3D'!$C$31)+(((($C241*$L$4)+'Calculs 3D'!$D$9-OffsetY)/Ecran)*'Calculs 3D'!$D$31)+(((($D241*$L$4)+'Calculs 3D'!$E$9-OffsetZ)/Ecran)*'Calculs 3D'!$E$31)),0)</f>
        <v>-9.4525992808345366E-2</v>
      </c>
      <c r="M241" s="105">
        <f>IF(Body4Actif=TRUE,((((($B241*$L$4)+'Calculs 3D'!$C$9-OffsetX)/Ecran)*'Calculs 3D'!$C$32)+(((($C241*$L$4)+'Calculs 3D'!$D$9-OffsetY)/Ecran)*'Calculs 3D'!$D$32)+(((($D241*$L$4)+'Calculs 3D'!$E$9-OffsetZ)/Ecran)*'Calculs 3D'!$E$32)),0)</f>
        <v>-0.17860397241508841</v>
      </c>
      <c r="N241" s="105">
        <f>IF(Body5Actif=TRUE,((((($B241*$N$4)+'Calculs 3D'!$C$10-OffsetX)/Ecran)*'Calculs 3D'!$C$31)+(((($C241*$N$4)+'Calculs 3D'!$D$10-OffsetY)/Ecran)*'Calculs 3D'!$D$31)+(((($D241*$N$4)+'Calculs 3D'!$E$10-OffsetZ)/Ecran)*'Calculs 3D'!$E$31)),0)</f>
        <v>8.5573407245585244E-4</v>
      </c>
      <c r="O241" s="105">
        <f>IF(Body5Actif=TRUE,((((($B241*$N$4)+'Calculs 3D'!$C$10-OffsetX)/Ecran)*'Calculs 3D'!$C$32)+(((($C241*$N$4)+'Calculs 3D'!$D$10-OffsetY)/Ecran)*'Calculs 3D'!$D$32)+(((($D241*$N$4)+'Calculs 3D'!$E$10-OffsetZ)/Ecran)*'Calculs 3D'!$E$32)),0)</f>
        <v>-1.260932628564349E-2</v>
      </c>
      <c r="P241" s="105">
        <f>IF(Body6Actif=TRUE,((((($B241*$P$4)+'Calculs 3D'!$C$11-OffsetX)/Ecran)*'Calculs 3D'!$C$31)+(((($C241*$P$4)+'Calculs 3D'!$D$11-OffsetY)/Ecran)*'Calculs 3D'!$D$31)+(((($D241*$P$4)+'Calculs 3D'!$E$11-OffsetZ)/Ecran)*'Calculs 3D'!$E$31)),0)</f>
        <v>0.1706767325982842</v>
      </c>
      <c r="Q241" s="105">
        <f>IF(Body6Actif=TRUE,((((($B241*$P$4)+'Calculs 3D'!$C$11-OffsetX)/Ecran)*'Calculs 3D'!$C$32)+(((($C241*$P$4)+'Calculs 3D'!$D$11-OffsetY)/Ecran)*'Calculs 3D'!$D$32)+(((($D241*$P$4)+'Calculs 3D'!$E$11-OffsetZ)/Ecran)*'Calculs 3D'!$E$32)),0)</f>
        <v>0.12199918426530344</v>
      </c>
      <c r="R241" s="105">
        <f>IF(Body7Actif=TRUE,((((($B241*$R$4)+'Calculs 3D'!$C$12-OffsetX)/Ecran)*'Calculs 3D'!$C$31)+(((($C241*$R$4)+'Calculs 3D'!$D$12-OffsetY)/Ecran)*'Calculs 3D'!$D$31)+(((($D241*$R$4)+'Calculs 3D'!$E$12-OffsetZ)/Ecran)*'Calculs 3D'!$E$31)),0)</f>
        <v>-0.28073836751385717</v>
      </c>
      <c r="S241" s="105">
        <f>IF(Body7Actif=TRUE,((((($B241*$R$4)+'Calculs 3D'!$C$12-OffsetX)/Ecran)*'Calculs 3D'!$C$32)+(((($C241*$R$4)+'Calculs 3D'!$D$12-OffsetY)/Ecran)*'Calculs 3D'!$D$32)+(((($D241*$R$4)+'Calculs 3D'!$E$12-OffsetZ)/Ecran)*'Calculs 3D'!$E$32)),0)</f>
        <v>5.1240777098528811E-2</v>
      </c>
      <c r="T241" s="105">
        <f>IF(Body8Actif=TRUE,((((($B241*$T$4)+'Calculs 3D'!$C$13-OffsetX)/Ecran)*'Calculs 3D'!$C$31)+(((($C241*$T$4)+'Calculs 3D'!$D$13-OffsetY)/Ecran)*'Calculs 3D'!$D$31)+(((($D241*$T$4)+'Calculs 3D'!$E$13-OffsetZ)/Ecran)*'Calculs 3D'!$E$31)),0)</f>
        <v>0.16817081081111579</v>
      </c>
      <c r="U241" s="105">
        <f>IF(Body8Actif=TRUE,((((($B241*$T$4)+'Calculs 3D'!$C$13-OffsetX)/Ecran)*'Calculs 3D'!$C$32)+(((($C241*$T$4)+'Calculs 3D'!$D$13-OffsetY)/Ecran)*'Calculs 3D'!$D$32)+(((($D241*$T$4)+'Calculs 3D'!$E$13-OffsetZ)/Ecran)*'Calculs 3D'!$E$32)),0)</f>
        <v>-0.13457552204292733</v>
      </c>
      <c r="V241" s="105">
        <f>IF(Body9Actif=TRUE,((((($B241*$V$4)+'Calculs 3D'!$C$14-OffsetX)/Ecran)*'Calculs 3D'!$C$31)+(((($C241*$V$4)+'Calculs 3D'!$D$14-OffsetY)/Ecran)*'Calculs 3D'!$D$31)+(((($D241*$V$4)+'Calculs 3D'!$E$14-OffsetZ)/Ecran)*'Calculs 3D'!$E$31)),0)</f>
        <v>-0.17765889973758367</v>
      </c>
      <c r="W241" s="105">
        <f>IF(Body9Actif=TRUE,((((($B241*$V$4)+'Calculs 3D'!$C$14-OffsetX)/Ecran)*'Calculs 3D'!$C$32)+(((($C241*$V$4)+'Calculs 3D'!$D$14-OffsetY)/Ecran)*'Calculs 3D'!$D$32)+(((($D241*$V$4)+'Calculs 3D'!$E$14-OffsetZ)/Ecran)*'Calculs 3D'!$E$32)),0)</f>
        <v>0.28311666353586784</v>
      </c>
      <c r="X241" s="105">
        <f>IF(Body10Actif=TRUE,((((($B241*$X$4)+'Calculs 3D'!$C$15-OffsetX)/Ecran)*'Calculs 3D'!$C$31)+(((($C241*$X$4)+'Calculs 3D'!$D$15-OffsetY)/Ecran)*'Calculs 3D'!$D$31)+(((($D241*$X$4)+'Calculs 3D'!$E$15-OffsetZ)/Ecran)*'Calculs 3D'!$E$31)),0)</f>
        <v>-1.5442457044756913E-2</v>
      </c>
      <c r="Y241" s="105">
        <f>IF(Body10Actif=TRUE,((((($B241*$X$4)+'Calculs 3D'!$C$15-OffsetX)/Ecran)*'Calculs 3D'!$C$32)+(((($C241*$X$4)+'Calculs 3D'!$D$15-OffsetY)/Ecran)*'Calculs 3D'!$D$32)+(((($D241*$X$4)+'Calculs 3D'!$E$15-OffsetZ)/Ecran)*'Calculs 3D'!$E$32)),0)</f>
        <v>0.28415665595044626</v>
      </c>
    </row>
    <row r="242" spans="2:25" x14ac:dyDescent="0.3">
      <c r="B242" s="102">
        <v>0</v>
      </c>
      <c r="C242" s="102">
        <v>0.30901699437494723</v>
      </c>
      <c r="D242" s="102">
        <v>-0.95105651629515364</v>
      </c>
      <c r="F242" s="105">
        <f>IF(Body1Actif=TRUE,((((($B242*$F$4)+'Calculs 3D'!$C$6-OffsetX)/Ecran)*'Calculs 3D'!$C$31)+(((($C242*$F$4)+'Calculs 3D'!$D$6-OffsetY)/Ecran)*'Calculs 3D'!$D$31)+(((($D242*$F$4)+'Calculs 3D'!$E$6-OffsetZ)/Ecran)*'Calculs 3D'!$E$31)),0)</f>
        <v>5.1265185618266214E-2</v>
      </c>
      <c r="G242" s="105">
        <f>IF(Body1Actif=TRUE,((((($B242*$F$4)+'Calculs 3D'!$C$6-OffsetX)/Ecran)*'Calculs 3D'!$C$32)+(((($C242*$F$4)+'Calculs 3D'!$D$6-OffsetY)/Ecran)*'Calculs 3D'!$D$32)+(((($D242*$F$4)+'Calculs 3D'!$E$6-OffsetZ)/Ecran)*'Calculs 3D'!$E$32)),0)</f>
        <v>0.26170695129069937</v>
      </c>
      <c r="H242" s="105">
        <f>IF(Body2Actif=TRUE,((((($B242*$H$4)+'Calculs 3D'!$C$7-OffsetX)/Ecran)*'Calculs 3D'!$C$31)+(((($C242*$H$4)+'Calculs 3D'!$D$7-OffsetY)/Ecran)*'Calculs 3D'!$D$31)+(((($D242*$H$4)+'Calculs 3D'!$E$7-OffsetZ)/Ecran)*'Calculs 3D'!$E$31)),0)</f>
        <v>2.792216800641182E-2</v>
      </c>
      <c r="I242" s="105">
        <f>IF(Body2Actif=TRUE,((((($B242*$H$4)+'Calculs 3D'!$C$7-OffsetX)/Ecran)*'Calculs 3D'!$C$32)+(((($C242*$H$4)+'Calculs 3D'!$D$7-OffsetY)/Ecran)*'Calculs 3D'!$D$32)+(((($D242*$H$4)+'Calculs 3D'!$E$7-OffsetZ)/Ecran)*'Calculs 3D'!$E$32)),0)</f>
        <v>2.191571782993209E-2</v>
      </c>
      <c r="J242" s="105">
        <f>IF(Body3Actif=TRUE,((((($B242*$J$4)+'Calculs 3D'!$C$8-OffsetX)/Ecran)*'Calculs 3D'!$C$31)+(((($C242*$J$4)+'Calculs 3D'!$D$8-OffsetY)/Ecran)*'Calculs 3D'!$D$31)+(((($D242*$J$4)+'Calculs 3D'!$E$8-OffsetZ)/Ecran)*'Calculs 3D'!$E$31)),0)</f>
        <v>0.21984841161028748</v>
      </c>
      <c r="K242" s="105">
        <f>IF(Body3Actif=TRUE,((((($B242*$J$4)+'Calculs 3D'!$C$8-OffsetX)/Ecran)*'Calculs 3D'!$C$32)+(((($C242*$J$4)+'Calculs 3D'!$D$8-OffsetY)/Ecran)*'Calculs 3D'!$D$32)+(((($D242*$J$4)+'Calculs 3D'!$E$8-OffsetZ)/Ecran)*'Calculs 3D'!$E$32)),0)</f>
        <v>-8.4602269562957522E-2</v>
      </c>
      <c r="L242" s="105">
        <f>IF(Body4Actif=TRUE,((((($B242*$L$4)+'Calculs 3D'!$C$9-OffsetX)/Ecran)*'Calculs 3D'!$C$31)+(((($C242*$L$4)+'Calculs 3D'!$D$9-OffsetY)/Ecran)*'Calculs 3D'!$D$31)+(((($D242*$L$4)+'Calculs 3D'!$E$9-OffsetZ)/Ecran)*'Calculs 3D'!$E$31)),0)</f>
        <v>-9.2980754038808122E-2</v>
      </c>
      <c r="M242" s="105">
        <f>IF(Body4Actif=TRUE,((((($B242*$L$4)+'Calculs 3D'!$C$9-OffsetX)/Ecran)*'Calculs 3D'!$C$32)+(((($C242*$L$4)+'Calculs 3D'!$D$9-OffsetY)/Ecran)*'Calculs 3D'!$D$32)+(((($D242*$L$4)+'Calculs 3D'!$E$9-OffsetZ)/Ecran)*'Calculs 3D'!$E$32)),0)</f>
        <v>-0.17696644817183133</v>
      </c>
      <c r="N242" s="105">
        <f>IF(Body5Actif=TRUE,((((($B242*$N$4)+'Calculs 3D'!$C$10-OffsetX)/Ecran)*'Calculs 3D'!$C$31)+(((($C242*$N$4)+'Calculs 3D'!$D$10-OffsetY)/Ecran)*'Calculs 3D'!$D$31)+(((($D242*$N$4)+'Calculs 3D'!$E$10-OffsetZ)/Ecran)*'Calculs 3D'!$E$31)),0)</f>
        <v>2.619765984959407E-3</v>
      </c>
      <c r="O242" s="105">
        <f>IF(Body5Actif=TRUE,((((($B242*$N$4)+'Calculs 3D'!$C$10-OffsetX)/Ecran)*'Calculs 3D'!$C$32)+(((($C242*$N$4)+'Calculs 3D'!$D$10-OffsetY)/Ecran)*'Calculs 3D'!$D$32)+(((($D242*$N$4)+'Calculs 3D'!$E$10-OffsetZ)/Ecran)*'Calculs 3D'!$E$32)),0)</f>
        <v>-1.0739942032833901E-2</v>
      </c>
      <c r="P242" s="105">
        <f>IF(Body6Actif=TRUE,((((($B242*$P$4)+'Calculs 3D'!$C$11-OffsetX)/Ecran)*'Calculs 3D'!$C$31)+(((($C242*$P$4)+'Calculs 3D'!$D$11-OffsetY)/Ecran)*'Calculs 3D'!$D$31)+(((($D242*$P$4)+'Calculs 3D'!$E$11-OffsetZ)/Ecran)*'Calculs 3D'!$E$31)),0)</f>
        <v>0.17323311599335706</v>
      </c>
      <c r="Q242" s="105">
        <f>IF(Body6Actif=TRUE,((((($B242*$P$4)+'Calculs 3D'!$C$11-OffsetX)/Ecran)*'Calculs 3D'!$C$32)+(((($C242*$P$4)+'Calculs 3D'!$D$11-OffsetY)/Ecran)*'Calculs 3D'!$D$32)+(((($D242*$P$4)+'Calculs 3D'!$E$11-OffsetZ)/Ecran)*'Calculs 3D'!$E$32)),0)</f>
        <v>0.12470824118713136</v>
      </c>
      <c r="R242" s="105">
        <f>IF(Body7Actif=TRUE,((((($B242*$R$4)+'Calculs 3D'!$C$12-OffsetX)/Ecran)*'Calculs 3D'!$C$31)+(((($C242*$R$4)+'Calculs 3D'!$D$12-OffsetY)/Ecran)*'Calculs 3D'!$D$31)+(((($D242*$R$4)+'Calculs 3D'!$E$12-OffsetZ)/Ecran)*'Calculs 3D'!$E$31)),0)</f>
        <v>-0.27817108496525222</v>
      </c>
      <c r="S242" s="105">
        <f>IF(Body7Actif=TRUE,((((($B242*$R$4)+'Calculs 3D'!$C$12-OffsetX)/Ecran)*'Calculs 3D'!$C$32)+(((($C242*$R$4)+'Calculs 3D'!$D$12-OffsetY)/Ecran)*'Calculs 3D'!$D$32)+(((($D242*$R$4)+'Calculs 3D'!$E$12-OffsetZ)/Ecran)*'Calculs 3D'!$E$32)),0)</f>
        <v>5.3961384098242166E-2</v>
      </c>
      <c r="T242" s="105">
        <f>IF(Body8Actif=TRUE,((((($B242*$T$4)+'Calculs 3D'!$C$13-OffsetX)/Ecran)*'Calculs 3D'!$C$31)+(((($C242*$T$4)+'Calculs 3D'!$D$13-OffsetY)/Ecran)*'Calculs 3D'!$D$31)+(((($D242*$T$4)+'Calculs 3D'!$E$13-OffsetZ)/Ecran)*'Calculs 3D'!$E$31)),0)</f>
        <v>0.16909672818015498</v>
      </c>
      <c r="U242" s="105">
        <f>IF(Body8Actif=TRUE,((((($B242*$T$4)+'Calculs 3D'!$C$13-OffsetX)/Ecran)*'Calculs 3D'!$C$32)+(((($C242*$T$4)+'Calculs 3D'!$D$13-OffsetY)/Ecran)*'Calculs 3D'!$D$32)+(((($D242*$T$4)+'Calculs 3D'!$E$13-OffsetZ)/Ecran)*'Calculs 3D'!$E$32)),0)</f>
        <v>-0.13359430660299332</v>
      </c>
      <c r="V242" s="105">
        <f>IF(Body9Actif=TRUE,((((($B242*$V$4)+'Calculs 3D'!$C$14-OffsetX)/Ecran)*'Calculs 3D'!$C$31)+(((($C242*$V$4)+'Calculs 3D'!$D$14-OffsetY)/Ecran)*'Calculs 3D'!$D$31)+(((($D242*$V$4)+'Calculs 3D'!$E$14-OffsetZ)/Ecran)*'Calculs 3D'!$E$31)),0)</f>
        <v>-0.17637417462800251</v>
      </c>
      <c r="W242" s="105">
        <f>IF(Body9Actif=TRUE,((((($B242*$V$4)+'Calculs 3D'!$C$14-OffsetX)/Ecran)*'Calculs 3D'!$C$32)+(((($C242*$V$4)+'Calculs 3D'!$D$14-OffsetY)/Ecran)*'Calculs 3D'!$D$32)+(((($D242*$V$4)+'Calculs 3D'!$E$14-OffsetZ)/Ecran)*'Calculs 3D'!$E$32)),0)</f>
        <v>0.28447811560032144</v>
      </c>
      <c r="X242" s="105">
        <f>IF(Body10Actif=TRUE,((((($B242*$X$4)+'Calculs 3D'!$C$15-OffsetX)/Ecran)*'Calculs 3D'!$C$31)+(((($C242*$X$4)+'Calculs 3D'!$D$15-OffsetY)/Ecran)*'Calculs 3D'!$D$31)+(((($D242*$X$4)+'Calculs 3D'!$E$15-OffsetZ)/Ecran)*'Calculs 3D'!$E$31)),0)</f>
        <v>-1.3503223465566122E-2</v>
      </c>
      <c r="Y242" s="105">
        <f>IF(Body10Actif=TRUE,((((($B242*$X$4)+'Calculs 3D'!$C$15-OffsetX)/Ecran)*'Calculs 3D'!$C$32)+(((($C242*$X$4)+'Calculs 3D'!$D$15-OffsetY)/Ecran)*'Calculs 3D'!$D$32)+(((($D242*$X$4)+'Calculs 3D'!$E$15-OffsetZ)/Ecran)*'Calculs 3D'!$E$32)),0)</f>
        <v>0.28621170534596091</v>
      </c>
    </row>
    <row r="243" spans="2:25" x14ac:dyDescent="0.3">
      <c r="B243" s="102">
        <v>0</v>
      </c>
      <c r="C243" s="102">
        <v>0.58778525229247292</v>
      </c>
      <c r="D243" s="102">
        <v>-0.80901699437494756</v>
      </c>
      <c r="F243" s="105">
        <f>IF(Body1Actif=TRUE,((((($B243*$F$4)+'Calculs 3D'!$C$6-OffsetX)/Ecran)*'Calculs 3D'!$C$31)+(((($C243*$F$4)+'Calculs 3D'!$D$6-OffsetY)/Ecran)*'Calculs 3D'!$D$31)+(((($D243*$F$4)+'Calculs 3D'!$E$6-OffsetZ)/Ecran)*'Calculs 3D'!$E$31)),0)</f>
        <v>5.188404451390153E-2</v>
      </c>
      <c r="G243" s="105">
        <f>IF(Body1Actif=TRUE,((((($B243*$F$4)+'Calculs 3D'!$C$6-OffsetX)/Ecran)*'Calculs 3D'!$C$32)+(((($C243*$F$4)+'Calculs 3D'!$D$6-OffsetY)/Ecran)*'Calculs 3D'!$D$32)+(((($D243*$F$4)+'Calculs 3D'!$E$6-OffsetZ)/Ecran)*'Calculs 3D'!$E$32)),0)</f>
        <v>0.26265410093382691</v>
      </c>
      <c r="H243" s="105">
        <f>IF(Body2Actif=TRUE,((((($B243*$H$4)+'Calculs 3D'!$C$7-OffsetX)/Ecran)*'Calculs 3D'!$C$31)+(((($C243*$H$4)+'Calculs 3D'!$D$7-OffsetY)/Ecran)*'Calculs 3D'!$D$31)+(((($D243*$H$4)+'Calculs 3D'!$E$7-OffsetZ)/Ecran)*'Calculs 3D'!$E$31)),0)</f>
        <v>3.0334403516415399E-2</v>
      </c>
      <c r="I243" s="105">
        <f>IF(Body2Actif=TRUE,((((($B243*$H$4)+'Calculs 3D'!$C$7-OffsetX)/Ecran)*'Calculs 3D'!$C$32)+(((($C243*$H$4)+'Calculs 3D'!$D$7-OffsetY)/Ecran)*'Calculs 3D'!$D$32)+(((($D243*$H$4)+'Calculs 3D'!$E$7-OffsetZ)/Ecran)*'Calculs 3D'!$E$32)),0)</f>
        <v>2.560759011059794E-2</v>
      </c>
      <c r="J243" s="105">
        <f>IF(Body3Actif=TRUE,((((($B243*$J$4)+'Calculs 3D'!$C$8-OffsetX)/Ecran)*'Calculs 3D'!$C$31)+(((($C243*$J$4)+'Calculs 3D'!$D$8-OffsetY)/Ecran)*'Calculs 3D'!$D$31)+(((($D243*$J$4)+'Calculs 3D'!$E$8-OffsetZ)/Ecran)*'Calculs 3D'!$E$31)),0)</f>
        <v>0.22092046265544832</v>
      </c>
      <c r="K243" s="105">
        <f>IF(Body3Actif=TRUE,((((($B243*$J$4)+'Calculs 3D'!$C$8-OffsetX)/Ecran)*'Calculs 3D'!$C$32)+(((($C243*$J$4)+'Calculs 3D'!$D$8-OffsetY)/Ecran)*'Calculs 3D'!$D$32)+(((($D243*$J$4)+'Calculs 3D'!$E$8-OffsetZ)/Ecran)*'Calculs 3D'!$E$32)),0)</f>
        <v>-8.2961519511532328E-2</v>
      </c>
      <c r="L243" s="105">
        <f>IF(Body4Actif=TRUE,((((($B243*$L$4)+'Calculs 3D'!$C$9-OffsetX)/Ecran)*'Calculs 3D'!$C$31)+(((($C243*$L$4)+'Calculs 3D'!$D$9-OffsetY)/Ecran)*'Calculs 3D'!$D$31)+(((($D243*$L$4)+'Calculs 3D'!$E$9-OffsetZ)/Ecran)*'Calculs 3D'!$E$31)),0)</f>
        <v>-9.1586774006344782E-2</v>
      </c>
      <c r="M243" s="105">
        <f>IF(Body4Actif=TRUE,((((($B243*$L$4)+'Calculs 3D'!$C$9-OffsetX)/Ecran)*'Calculs 3D'!$C$32)+(((($C243*$L$4)+'Calculs 3D'!$D$9-OffsetY)/Ecran)*'Calculs 3D'!$D$32)+(((($D243*$L$4)+'Calculs 3D'!$E$9-OffsetZ)/Ecran)*'Calculs 3D'!$E$32)),0)</f>
        <v>-0.17483299303434122</v>
      </c>
      <c r="N243" s="105">
        <f>IF(Body5Actif=TRUE,((((($B243*$N$4)+'Calculs 3D'!$C$10-OffsetX)/Ecran)*'Calculs 3D'!$C$31)+(((($C243*$N$4)+'Calculs 3D'!$D$10-OffsetY)/Ecran)*'Calculs 3D'!$D$31)+(((($D243*$N$4)+'Calculs 3D'!$E$10-OffsetZ)/Ecran)*'Calculs 3D'!$E$31)),0)</f>
        <v>4.2111221631340682E-3</v>
      </c>
      <c r="O243" s="105">
        <f>IF(Body5Actif=TRUE,((((($B243*$N$4)+'Calculs 3D'!$C$10-OffsetX)/Ecran)*'Calculs 3D'!$C$32)+(((($C243*$N$4)+'Calculs 3D'!$D$10-OffsetY)/Ecran)*'Calculs 3D'!$D$32)+(((($D243*$N$4)+'Calculs 3D'!$E$10-OffsetZ)/Ecran)*'Calculs 3D'!$E$32)),0)</f>
        <v>-8.3044071364668948E-3</v>
      </c>
      <c r="P243" s="105">
        <f>IF(Body6Actif=TRUE,((((($B243*$P$4)+'Calculs 3D'!$C$11-OffsetX)/Ecran)*'Calculs 3D'!$C$31)+(((($C243*$P$4)+'Calculs 3D'!$D$11-OffsetY)/Ecran)*'Calculs 3D'!$D$31)+(((($D243*$P$4)+'Calculs 3D'!$E$11-OffsetZ)/Ecran)*'Calculs 3D'!$E$31)),0)</f>
        <v>0.17553926277034973</v>
      </c>
      <c r="Q243" s="105">
        <f>IF(Body6Actif=TRUE,((((($B243*$P$4)+'Calculs 3D'!$C$11-OffsetX)/Ecran)*'Calculs 3D'!$C$32)+(((($C243*$P$4)+'Calculs 3D'!$D$11-OffsetY)/Ecran)*'Calculs 3D'!$D$32)+(((($D243*$P$4)+'Calculs 3D'!$E$11-OffsetZ)/Ecran)*'Calculs 3D'!$E$32)),0)</f>
        <v>0.12823774704417498</v>
      </c>
      <c r="R243" s="105">
        <f>IF(Body7Actif=TRUE,((((($B243*$R$4)+'Calculs 3D'!$C$12-OffsetX)/Ecran)*'Calculs 3D'!$C$31)+(((($C243*$R$4)+'Calculs 3D'!$D$12-OffsetY)/Ecran)*'Calculs 3D'!$D$31)+(((($D243*$R$4)+'Calculs 3D'!$E$12-OffsetZ)/Ecran)*'Calculs 3D'!$E$31)),0)</f>
        <v>-0.27585510591981405</v>
      </c>
      <c r="S243" s="105">
        <f>IF(Body7Actif=TRUE,((((($B243*$R$4)+'Calculs 3D'!$C$12-OffsetX)/Ecran)*'Calculs 3D'!$C$32)+(((($C243*$R$4)+'Calculs 3D'!$D$12-OffsetY)/Ecran)*'Calculs 3D'!$D$32)+(((($D243*$R$4)+'Calculs 3D'!$E$12-OffsetZ)/Ecran)*'Calculs 3D'!$E$32)),0)</f>
        <v>5.7505938021355341E-2</v>
      </c>
      <c r="T243" s="105">
        <f>IF(Body8Actif=TRUE,((((($B243*$T$4)+'Calculs 3D'!$C$13-OffsetX)/Ecran)*'Calculs 3D'!$C$31)+(((($C243*$T$4)+'Calculs 3D'!$D$13-OffsetY)/Ecran)*'Calculs 3D'!$D$31)+(((($D243*$T$4)+'Calculs 3D'!$E$13-OffsetZ)/Ecran)*'Calculs 3D'!$E$31)),0)</f>
        <v>0.16993201030586699</v>
      </c>
      <c r="U243" s="105">
        <f>IF(Body8Actif=TRUE,((((($B243*$T$4)+'Calculs 3D'!$C$13-OffsetX)/Ecran)*'Calculs 3D'!$C$32)+(((($C243*$T$4)+'Calculs 3D'!$D$13-OffsetY)/Ecran)*'Calculs 3D'!$D$32)+(((($D243*$T$4)+'Calculs 3D'!$E$13-OffsetZ)/Ecran)*'Calculs 3D'!$E$32)),0)</f>
        <v>-0.13231592606607503</v>
      </c>
      <c r="V243" s="105">
        <f>IF(Body9Actif=TRUE,((((($B243*$V$4)+'Calculs 3D'!$C$14-OffsetX)/Ecran)*'Calculs 3D'!$C$31)+(((($C243*$V$4)+'Calculs 3D'!$D$14-OffsetY)/Ecran)*'Calculs 3D'!$D$31)+(((($D243*$V$4)+'Calculs 3D'!$E$14-OffsetZ)/Ecran)*'Calculs 3D'!$E$31)),0)</f>
        <v>-0.17521520736335336</v>
      </c>
      <c r="W243" s="105">
        <f>IF(Body9Actif=TRUE,((((($B243*$V$4)+'Calculs 3D'!$C$14-OffsetX)/Ecran)*'Calculs 3D'!$C$32)+(((($C243*$V$4)+'Calculs 3D'!$D$14-OffsetY)/Ecran)*'Calculs 3D'!$D$32)+(((($D243*$V$4)+'Calculs 3D'!$E$14-OffsetZ)/Ecran)*'Calculs 3D'!$E$32)),0)</f>
        <v>0.2862518889739466</v>
      </c>
      <c r="X243" s="105">
        <f>IF(Body10Actif=TRUE,((((($B243*$X$4)+'Calculs 3D'!$C$15-OffsetX)/Ecran)*'Calculs 3D'!$C$31)+(((($C243*$X$4)+'Calculs 3D'!$D$15-OffsetY)/Ecran)*'Calculs 3D'!$D$31)+(((($D243*$X$4)+'Calculs 3D'!$E$15-OffsetZ)/Ecran)*'Calculs 3D'!$E$31)),0)</f>
        <v>-1.1753815580541338E-2</v>
      </c>
      <c r="Y243" s="105">
        <f>IF(Body10Actif=TRUE,((((($B243*$X$4)+'Calculs 3D'!$C$15-OffsetX)/Ecran)*'Calculs 3D'!$C$32)+(((($C243*$X$4)+'Calculs 3D'!$D$15-OffsetY)/Ecran)*'Calculs 3D'!$D$32)+(((($D243*$X$4)+'Calculs 3D'!$E$15-OffsetZ)/Ecran)*'Calculs 3D'!$E$32)),0)</f>
        <v>0.28888913483056855</v>
      </c>
    </row>
    <row r="244" spans="2:25" x14ac:dyDescent="0.3">
      <c r="B244" s="102">
        <v>0</v>
      </c>
      <c r="C244" s="102">
        <v>0.80901699437494734</v>
      </c>
      <c r="D244" s="102">
        <v>-0.58778525229247336</v>
      </c>
      <c r="F244" s="105">
        <f>IF(Body1Actif=TRUE,((((($B244*$F$4)+'Calculs 3D'!$C$6-OffsetX)/Ecran)*'Calculs 3D'!$C$31)+(((($C244*$F$4)+'Calculs 3D'!$D$6-OffsetY)/Ecran)*'Calculs 3D'!$D$31)+(((($D244*$F$4)+'Calculs 3D'!$E$6-OffsetZ)/Ecran)*'Calculs 3D'!$E$31)),0)</f>
        <v>5.2375173714217953E-2</v>
      </c>
      <c r="G244" s="105">
        <f>IF(Body1Actif=TRUE,((((($B244*$F$4)+'Calculs 3D'!$C$6-OffsetX)/Ecran)*'Calculs 3D'!$C$32)+(((($C244*$F$4)+'Calculs 3D'!$D$6-OffsetY)/Ecran)*'Calculs 3D'!$D$32)+(((($D244*$F$4)+'Calculs 3D'!$E$6-OffsetZ)/Ecran)*'Calculs 3D'!$E$32)),0)</f>
        <v>0.2637287060106982</v>
      </c>
      <c r="H244" s="105">
        <f>IF(Body2Actif=TRUE,((((($B244*$H$4)+'Calculs 3D'!$C$7-OffsetX)/Ecran)*'Calculs 3D'!$C$31)+(((($C244*$H$4)+'Calculs 3D'!$D$7-OffsetY)/Ecran)*'Calculs 3D'!$D$31)+(((($D244*$H$4)+'Calculs 3D'!$E$7-OffsetZ)/Ecran)*'Calculs 3D'!$E$31)),0)</f>
        <v>3.2248764456136114E-2</v>
      </c>
      <c r="I244" s="105">
        <f>IF(Body2Actif=TRUE,((((($B244*$H$4)+'Calculs 3D'!$C$7-OffsetX)/Ecran)*'Calculs 3D'!$C$32)+(((($C244*$H$4)+'Calculs 3D'!$D$7-OffsetY)/Ecran)*'Calculs 3D'!$D$32)+(((($D244*$H$4)+'Calculs 3D'!$E$7-OffsetZ)/Ecran)*'Calculs 3D'!$E$32)),0)</f>
        <v>2.9796267923814155E-2</v>
      </c>
      <c r="J244" s="105">
        <f>IF(Body3Actif=TRUE,((((($B244*$J$4)+'Calculs 3D'!$C$8-OffsetX)/Ecran)*'Calculs 3D'!$C$31)+(((($C244*$J$4)+'Calculs 3D'!$D$8-OffsetY)/Ecran)*'Calculs 3D'!$D$31)+(((($D244*$J$4)+'Calculs 3D'!$E$8-OffsetZ)/Ecran)*'Calculs 3D'!$E$31)),0)</f>
        <v>0.22177124718197225</v>
      </c>
      <c r="K244" s="105">
        <f>IF(Body3Actif=TRUE,((((($B244*$J$4)+'Calculs 3D'!$C$8-OffsetX)/Ecran)*'Calculs 3D'!$C$32)+(((($C244*$J$4)+'Calculs 3D'!$D$8-OffsetY)/Ecran)*'Calculs 3D'!$D$32)+(((($D244*$J$4)+'Calculs 3D'!$E$8-OffsetZ)/Ecran)*'Calculs 3D'!$E$32)),0)</f>
        <v>-8.1099978045585774E-2</v>
      </c>
      <c r="L244" s="105">
        <f>IF(Body4Actif=TRUE,((((($B244*$L$4)+'Calculs 3D'!$C$9-OffsetX)/Ecran)*'Calculs 3D'!$C$31)+(((($C244*$L$4)+'Calculs 3D'!$D$9-OffsetY)/Ecran)*'Calculs 3D'!$D$31)+(((($D244*$L$4)+'Calculs 3D'!$E$9-OffsetZ)/Ecran)*'Calculs 3D'!$E$31)),0)</f>
        <v>-9.0480505188962834E-2</v>
      </c>
      <c r="M244" s="105">
        <f>IF(Body4Actif=TRUE,((((($B244*$L$4)+'Calculs 3D'!$C$9-OffsetX)/Ecran)*'Calculs 3D'!$C$32)+(((($C244*$L$4)+'Calculs 3D'!$D$9-OffsetY)/Ecran)*'Calculs 3D'!$D$32)+(((($D244*$L$4)+'Calculs 3D'!$E$9-OffsetZ)/Ecran)*'Calculs 3D'!$E$32)),0)</f>
        <v>-0.17241244445613174</v>
      </c>
      <c r="N244" s="105">
        <f>IF(Body5Actif=TRUE,((((($B244*$N$4)+'Calculs 3D'!$C$10-OffsetX)/Ecran)*'Calculs 3D'!$C$31)+(((($C244*$N$4)+'Calculs 3D'!$D$10-OffsetY)/Ecran)*'Calculs 3D'!$D$31)+(((($D244*$N$4)+'Calculs 3D'!$E$10-OffsetZ)/Ecran)*'Calculs 3D'!$E$31)),0)</f>
        <v>5.4740295766296417E-3</v>
      </c>
      <c r="O244" s="105">
        <f>IF(Body5Actif=TRUE,((((($B244*$N$4)+'Calculs 3D'!$C$10-OffsetX)/Ecran)*'Calculs 3D'!$C$32)+(((($C244*$N$4)+'Calculs 3D'!$D$10-OffsetY)/Ecran)*'Calculs 3D'!$D$32)+(((($D244*$N$4)+'Calculs 3D'!$E$10-OffsetZ)/Ecran)*'Calculs 3D'!$E$32)),0)</f>
        <v>-5.5411287215683218E-3</v>
      </c>
      <c r="P244" s="105">
        <f>IF(Body6Actif=TRUE,((((($B244*$P$4)+'Calculs 3D'!$C$11-OffsetX)/Ecran)*'Calculs 3D'!$C$31)+(((($C244*$P$4)+'Calculs 3D'!$D$11-OffsetY)/Ecran)*'Calculs 3D'!$D$31)+(((($D244*$P$4)+'Calculs 3D'!$E$11-OffsetZ)/Ecran)*'Calculs 3D'!$E$31)),0)</f>
        <v>0.17736943121486082</v>
      </c>
      <c r="Q244" s="105">
        <f>IF(Body6Actif=TRUE,((((($B244*$P$4)+'Calculs 3D'!$C$11-OffsetX)/Ecran)*'Calculs 3D'!$C$32)+(((($C244*$P$4)+'Calculs 3D'!$D$11-OffsetY)/Ecran)*'Calculs 3D'!$D$32)+(((($D244*$P$4)+'Calculs 3D'!$E$11-OffsetZ)/Ecran)*'Calculs 3D'!$E$32)),0)</f>
        <v>0.13224220921163352</v>
      </c>
      <c r="R244" s="105">
        <f>IF(Body7Actif=TRUE,((((($B244*$R$4)+'Calculs 3D'!$C$12-OffsetX)/Ecran)*'Calculs 3D'!$C$31)+(((($C244*$R$4)+'Calculs 3D'!$D$12-OffsetY)/Ecran)*'Calculs 3D'!$D$31)+(((($D244*$R$4)+'Calculs 3D'!$E$12-OffsetZ)/Ecran)*'Calculs 3D'!$E$31)),0)</f>
        <v>-0.27401713454288501</v>
      </c>
      <c r="S244" s="105">
        <f>IF(Body7Actif=TRUE,((((($B244*$R$4)+'Calculs 3D'!$C$12-OffsetX)/Ecran)*'Calculs 3D'!$C$32)+(((($C244*$R$4)+'Calculs 3D'!$D$12-OffsetY)/Ecran)*'Calculs 3D'!$D$32)+(((($D244*$R$4)+'Calculs 3D'!$E$12-OffsetZ)/Ecran)*'Calculs 3D'!$E$32)),0)</f>
        <v>6.1527473233514679E-2</v>
      </c>
      <c r="T244" s="105">
        <f>IF(Body8Actif=TRUE,((((($B244*$T$4)+'Calculs 3D'!$C$13-OffsetX)/Ecran)*'Calculs 3D'!$C$31)+(((($C244*$T$4)+'Calculs 3D'!$D$13-OffsetY)/Ecran)*'Calculs 3D'!$D$31)+(((($D244*$T$4)+'Calculs 3D'!$E$13-OffsetZ)/Ecran)*'Calculs 3D'!$E$31)),0)</f>
        <v>0.17059489395403429</v>
      </c>
      <c r="U244" s="105">
        <f>IF(Body8Actif=TRUE,((((($B244*$T$4)+'Calculs 3D'!$C$13-OffsetX)/Ecran)*'Calculs 3D'!$C$32)+(((($C244*$T$4)+'Calculs 3D'!$D$13-OffsetY)/Ecran)*'Calculs 3D'!$D$32)+(((($D244*$T$4)+'Calculs 3D'!$E$13-OffsetZ)/Ecran)*'Calculs 3D'!$E$32)),0)</f>
        <v>-0.13086551722612691</v>
      </c>
      <c r="V244" s="105">
        <f>IF(Body9Actif=TRUE,((((($B244*$V$4)+'Calculs 3D'!$C$14-OffsetX)/Ecran)*'Calculs 3D'!$C$31)+(((($C244*$V$4)+'Calculs 3D'!$D$14-OffsetY)/Ecran)*'Calculs 3D'!$D$31)+(((($D244*$V$4)+'Calculs 3D'!$E$14-OffsetZ)/Ecran)*'Calculs 3D'!$E$31)),0)</f>
        <v>-0.17429544573449979</v>
      </c>
      <c r="W244" s="105">
        <f>IF(Body9Actif=TRUE,((((($B244*$V$4)+'Calculs 3D'!$C$14-OffsetX)/Ecran)*'Calculs 3D'!$C$32)+(((($C244*$V$4)+'Calculs 3D'!$D$14-OffsetY)/Ecran)*'Calculs 3D'!$D$32)+(((($D244*$V$4)+'Calculs 3D'!$E$14-OffsetZ)/Ecran)*'Calculs 3D'!$E$32)),0)</f>
        <v>0.28826435436032694</v>
      </c>
      <c r="X244" s="105">
        <f>IF(Body10Actif=TRUE,((((($B244*$X$4)+'Calculs 3D'!$C$15-OffsetX)/Ecran)*'Calculs 3D'!$C$31)+(((($C244*$X$4)+'Calculs 3D'!$D$15-OffsetY)/Ecran)*'Calculs 3D'!$D$31)+(((($D244*$X$4)+'Calculs 3D'!$E$15-OffsetZ)/Ecran)*'Calculs 3D'!$E$31)),0)</f>
        <v>-1.0365477622310271E-2</v>
      </c>
      <c r="Y244" s="105">
        <f>IF(Body10Actif=TRUE,((((($B244*$X$4)+'Calculs 3D'!$C$15-OffsetX)/Ecran)*'Calculs 3D'!$C$32)+(((($C244*$X$4)+'Calculs 3D'!$D$15-OffsetY)/Ecran)*'Calculs 3D'!$D$32)+(((($D244*$X$4)+'Calculs 3D'!$E$15-OffsetZ)/Ecran)*'Calculs 3D'!$E$32)),0)</f>
        <v>0.29192685895156778</v>
      </c>
    </row>
    <row r="245" spans="2:25" x14ac:dyDescent="0.3">
      <c r="B245" s="102">
        <v>0</v>
      </c>
      <c r="C245" s="102">
        <v>0.95105651629515353</v>
      </c>
      <c r="D245" s="102">
        <v>-0.30901699437494762</v>
      </c>
      <c r="F245" s="105">
        <f>IF(Body1Actif=TRUE,((((($B245*$F$4)+'Calculs 3D'!$C$6-OffsetX)/Ecran)*'Calculs 3D'!$C$31)+(((($C245*$F$4)+'Calculs 3D'!$D$6-OffsetY)/Ecran)*'Calculs 3D'!$D$31)+(((($D245*$F$4)+'Calculs 3D'!$E$6-OffsetZ)/Ecran)*'Calculs 3D'!$E$31)),0)</f>
        <v>5.269049807119016E-2</v>
      </c>
      <c r="G245" s="105">
        <f>IF(Body1Actif=TRUE,((((($B245*$F$4)+'Calculs 3D'!$C$6-OffsetX)/Ecran)*'Calculs 3D'!$C$32)+(((($C245*$F$4)+'Calculs 3D'!$D$6-OffsetY)/Ecran)*'Calculs 3D'!$D$32)+(((($D245*$F$4)+'Calculs 3D'!$E$6-OffsetZ)/Ecran)*'Calculs 3D'!$E$32)),0)</f>
        <v>0.26482557668917528</v>
      </c>
      <c r="H245" s="105">
        <f>IF(Body2Actif=TRUE,((((($B245*$H$4)+'Calculs 3D'!$C$7-OffsetX)/Ecran)*'Calculs 3D'!$C$31)+(((($C245*$H$4)+'Calculs 3D'!$D$7-OffsetY)/Ecran)*'Calculs 3D'!$D$31)+(((($D245*$H$4)+'Calculs 3D'!$E$7-OffsetZ)/Ecran)*'Calculs 3D'!$E$31)),0)</f>
        <v>3.3477859838657101E-2</v>
      </c>
      <c r="I245" s="105">
        <f>IF(Body2Actif=TRUE,((((($B245*$H$4)+'Calculs 3D'!$C$7-OffsetX)/Ecran)*'Calculs 3D'!$C$32)+(((($C245*$H$4)+'Calculs 3D'!$D$7-OffsetY)/Ecran)*'Calculs 3D'!$D$32)+(((($D245*$H$4)+'Calculs 3D'!$E$7-OffsetZ)/Ecran)*'Calculs 3D'!$E$32)),0)</f>
        <v>3.4071734300988726E-2</v>
      </c>
      <c r="J245" s="105">
        <f>IF(Body3Actif=TRUE,((((($B245*$J$4)+'Calculs 3D'!$C$8-OffsetX)/Ecran)*'Calculs 3D'!$C$31)+(((($C245*$J$4)+'Calculs 3D'!$D$8-OffsetY)/Ecran)*'Calculs 3D'!$D$31)+(((($D245*$J$4)+'Calculs 3D'!$E$8-OffsetZ)/Ecran)*'Calculs 3D'!$E$31)),0)</f>
        <v>0.22231748447263877</v>
      </c>
      <c r="K245" s="105">
        <f>IF(Body3Actif=TRUE,((((($B245*$J$4)+'Calculs 3D'!$C$8-OffsetX)/Ecran)*'Calculs 3D'!$C$32)+(((($C245*$J$4)+'Calculs 3D'!$D$8-OffsetY)/Ecran)*'Calculs 3D'!$D$32)+(((($D245*$J$4)+'Calculs 3D'!$E$8-OffsetZ)/Ecran)*'Calculs 3D'!$E$32)),0)</f>
        <v>-7.9199865813926795E-2</v>
      </c>
      <c r="L245" s="105">
        <f>IF(Body4Actif=TRUE,((((($B245*$L$4)+'Calculs 3D'!$C$9-OffsetX)/Ecran)*'Calculs 3D'!$C$31)+(((($C245*$L$4)+'Calculs 3D'!$D$9-OffsetY)/Ecran)*'Calculs 3D'!$D$31)+(((($D245*$L$4)+'Calculs 3D'!$E$9-OffsetZ)/Ecran)*'Calculs 3D'!$E$31)),0)</f>
        <v>-8.9770236886335689E-2</v>
      </c>
      <c r="M245" s="105">
        <f>IF(Body4Actif=TRUE,((((($B245*$L$4)+'Calculs 3D'!$C$9-OffsetX)/Ecran)*'Calculs 3D'!$C$32)+(((($C245*$L$4)+'Calculs 3D'!$D$9-OffsetY)/Ecran)*'Calculs 3D'!$D$32)+(((($D245*$L$4)+'Calculs 3D'!$E$9-OffsetZ)/Ecran)*'Calculs 3D'!$E$32)),0)</f>
        <v>-0.1699417425969916</v>
      </c>
      <c r="N245" s="105">
        <f>IF(Body5Actif=TRUE,((((($B245*$N$4)+'Calculs 3D'!$C$10-OffsetX)/Ecran)*'Calculs 3D'!$C$31)+(((($C245*$N$4)+'Calculs 3D'!$D$10-OffsetY)/Ecran)*'Calculs 3D'!$D$31)+(((($D245*$N$4)+'Calculs 3D'!$E$10-OffsetZ)/Ecran)*'Calculs 3D'!$E$31)),0)</f>
        <v>6.2848660486198218E-3</v>
      </c>
      <c r="O245" s="105">
        <f>IF(Body5Actif=TRUE,((((($B245*$N$4)+'Calculs 3D'!$C$10-OffsetX)/Ecran)*'Calculs 3D'!$C$32)+(((($C245*$N$4)+'Calculs 3D'!$D$10-OffsetY)/Ecran)*'Calculs 3D'!$D$32)+(((($D245*$N$4)+'Calculs 3D'!$E$10-OffsetZ)/Ecran)*'Calculs 3D'!$E$32)),0)</f>
        <v>-2.7205957322812713E-3</v>
      </c>
      <c r="P245" s="105">
        <f>IF(Body6Actif=TRUE,((((($B245*$P$4)+'Calculs 3D'!$C$11-OffsetX)/Ecran)*'Calculs 3D'!$C$31)+(((($C245*$P$4)+'Calculs 3D'!$D$11-OffsetY)/Ecran)*'Calculs 3D'!$D$31)+(((($D245*$P$4)+'Calculs 3D'!$E$11-OffsetZ)/Ecran)*'Calculs 3D'!$E$31)),0)</f>
        <v>0.17854447168800813</v>
      </c>
      <c r="Q245" s="105">
        <f>IF(Body6Actif=TRUE,((((($B245*$P$4)+'Calculs 3D'!$C$11-OffsetX)/Ecran)*'Calculs 3D'!$C$32)+(((($C245*$P$4)+'Calculs 3D'!$D$11-OffsetY)/Ecran)*'Calculs 3D'!$D$32)+(((($D245*$P$4)+'Calculs 3D'!$E$11-OffsetZ)/Ecran)*'Calculs 3D'!$E$32)),0)</f>
        <v>0.1363296430318276</v>
      </c>
      <c r="R245" s="105">
        <f>IF(Body7Actif=TRUE,((((($B245*$R$4)+'Calculs 3D'!$C$12-OffsetX)/Ecran)*'Calculs 3D'!$C$31)+(((($C245*$R$4)+'Calculs 3D'!$D$12-OffsetY)/Ecran)*'Calculs 3D'!$D$31)+(((($D245*$R$4)+'Calculs 3D'!$E$12-OffsetZ)/Ecran)*'Calculs 3D'!$E$31)),0)</f>
        <v>-0.27283708427873843</v>
      </c>
      <c r="S245" s="105">
        <f>IF(Body7Actif=TRUE,((((($B245*$R$4)+'Calculs 3D'!$C$12-OffsetX)/Ecran)*'Calculs 3D'!$C$32)+(((($C245*$R$4)+'Calculs 3D'!$D$12-OffsetY)/Ecran)*'Calculs 3D'!$D$32)+(((($D245*$R$4)+'Calculs 3D'!$E$12-OffsetZ)/Ecran)*'Calculs 3D'!$E$32)),0)</f>
        <v>6.5632333848470517E-2</v>
      </c>
      <c r="T245" s="105">
        <f>IF(Body8Actif=TRUE,((((($B245*$T$4)+'Calculs 3D'!$C$13-OffsetX)/Ecran)*'Calculs 3D'!$C$31)+(((($C245*$T$4)+'Calculs 3D'!$D$13-OffsetY)/Ecran)*'Calculs 3D'!$D$31)+(((($D245*$T$4)+'Calculs 3D'!$E$13-OffsetZ)/Ecran)*'Calculs 3D'!$E$31)),0)</f>
        <v>0.17102049145459236</v>
      </c>
      <c r="U245" s="105">
        <f>IF(Body8Actif=TRUE,((((($B245*$T$4)+'Calculs 3D'!$C$13-OffsetX)/Ecran)*'Calculs 3D'!$C$32)+(((($C245*$T$4)+'Calculs 3D'!$D$13-OffsetY)/Ecran)*'Calculs 3D'!$D$32)+(((($D245*$T$4)+'Calculs 3D'!$E$13-OffsetZ)/Ecran)*'Calculs 3D'!$E$32)),0)</f>
        <v>-0.12938505620599572</v>
      </c>
      <c r="V245" s="105">
        <f>IF(Body9Actif=TRUE,((((($B245*$V$4)+'Calculs 3D'!$C$14-OffsetX)/Ecran)*'Calculs 3D'!$C$31)+(((($C245*$V$4)+'Calculs 3D'!$D$14-OffsetY)/Ecran)*'Calculs 3D'!$D$31)+(((($D245*$V$4)+'Calculs 3D'!$E$14-OffsetZ)/Ecran)*'Calculs 3D'!$E$31)),0)</f>
        <v>-0.17370492241803009</v>
      </c>
      <c r="W245" s="105">
        <f>IF(Body9Actif=TRUE,((((($B245*$V$4)+'Calculs 3D'!$C$14-OffsetX)/Ecran)*'Calculs 3D'!$C$32)+(((($C245*$V$4)+'Calculs 3D'!$D$14-OffsetY)/Ecran)*'Calculs 3D'!$D$32)+(((($D245*$V$4)+'Calculs 3D'!$E$14-OffsetZ)/Ecran)*'Calculs 3D'!$E$32)),0)</f>
        <v>0.29031851762577282</v>
      </c>
      <c r="X245" s="105">
        <f>IF(Body10Actif=TRUE,((((($B245*$X$4)+'Calculs 3D'!$C$15-OffsetX)/Ecran)*'Calculs 3D'!$C$31)+(((($C245*$X$4)+'Calculs 3D'!$D$15-OffsetY)/Ecran)*'Calculs 3D'!$D$31)+(((($D245*$X$4)+'Calculs 3D'!$E$15-OffsetZ)/Ecran)*'Calculs 3D'!$E$31)),0)</f>
        <v>-9.4741097833438981E-3</v>
      </c>
      <c r="Y245" s="105">
        <f>IF(Body10Actif=TRUE,((((($B245*$X$4)+'Calculs 3D'!$C$15-OffsetX)/Ecran)*'Calculs 3D'!$C$32)+(((($C245*$X$4)+'Calculs 3D'!$D$15-OffsetY)/Ecran)*'Calculs 3D'!$D$32)+(((($D245*$X$4)+'Calculs 3D'!$E$15-OffsetZ)/Ecran)*'Calculs 3D'!$E$32)),0)</f>
        <v>0.29502752410692668</v>
      </c>
    </row>
    <row r="246" spans="2:25" x14ac:dyDescent="0.3">
      <c r="B246" s="103">
        <v>0</v>
      </c>
      <c r="C246" s="103">
        <v>1</v>
      </c>
      <c r="D246" s="103">
        <v>-2.45029690981724E-16</v>
      </c>
      <c r="F246" s="105">
        <f>IF(Body1Actif=TRUE,((((($B246*$F$4)+'Calculs 3D'!$C$6-OffsetX)/Ecran)*'Calculs 3D'!$C$31)+(((($C246*$F$4)+'Calculs 3D'!$D$6-OffsetY)/Ecran)*'Calculs 3D'!$D$31)+(((($D246*$F$4)+'Calculs 3D'!$E$6-OffsetZ)/Ecran)*'Calculs 3D'!$E$31)),0)</f>
        <v>5.2799151439763735E-2</v>
      </c>
      <c r="G246" s="105">
        <f>IF(Body1Actif=TRUE,((((($B246*$F$4)+'Calculs 3D'!$C$6-OffsetX)/Ecran)*'Calculs 3D'!$C$32)+(((($C246*$F$4)+'Calculs 3D'!$D$6-OffsetY)/Ecran)*'Calculs 3D'!$D$32)+(((($D246*$F$4)+'Calculs 3D'!$E$6-OffsetZ)/Ecran)*'Calculs 3D'!$E$32)),0)</f>
        <v>0.26583734362490141</v>
      </c>
      <c r="H246" s="105">
        <f>IF(Body2Actif=TRUE,((((($B246*$H$4)+'Calculs 3D'!$C$7-OffsetX)/Ecran)*'Calculs 3D'!$C$31)+(((($C246*$H$4)+'Calculs 3D'!$D$7-OffsetY)/Ecran)*'Calculs 3D'!$D$31)+(((($D246*$H$4)+'Calculs 3D'!$E$7-OffsetZ)/Ecran)*'Calculs 3D'!$E$31)),0)</f>
        <v>3.390137724432616E-2</v>
      </c>
      <c r="I246" s="105">
        <f>IF(Body2Actif=TRUE,((((($B246*$H$4)+'Calculs 3D'!$C$7-OffsetX)/Ecran)*'Calculs 3D'!$C$32)+(((($C246*$H$4)+'Calculs 3D'!$D$7-OffsetY)/Ecran)*'Calculs 3D'!$D$32)+(((($D246*$H$4)+'Calculs 3D'!$E$7-OffsetZ)/Ecran)*'Calculs 3D'!$E$32)),0)</f>
        <v>3.8015476804197923E-2</v>
      </c>
      <c r="J246" s="105">
        <f>IF(Body3Actif=TRUE,((((($B246*$J$4)+'Calculs 3D'!$C$8-OffsetX)/Ecran)*'Calculs 3D'!$C$31)+(((($C246*$J$4)+'Calculs 3D'!$D$8-OffsetY)/Ecran)*'Calculs 3D'!$D$31)+(((($D246*$J$4)+'Calculs 3D'!$E$8-OffsetZ)/Ecran)*'Calculs 3D'!$E$31)),0)</f>
        <v>0.22250570501557851</v>
      </c>
      <c r="K246" s="105">
        <f>IF(Body3Actif=TRUE,((((($B246*$J$4)+'Calculs 3D'!$C$8-OffsetX)/Ecran)*'Calculs 3D'!$C$32)+(((($C246*$J$4)+'Calculs 3D'!$D$8-OffsetY)/Ecran)*'Calculs 3D'!$D$32)+(((($D246*$J$4)+'Calculs 3D'!$E$8-OffsetZ)/Ecran)*'Calculs 3D'!$E$32)),0)</f>
        <v>-7.7447179040650543E-2</v>
      </c>
      <c r="L246" s="105">
        <f>IF(Body4Actif=TRUE,((((($B246*$L$4)+'Calculs 3D'!$C$9-OffsetX)/Ecran)*'Calculs 3D'!$C$31)+(((($C246*$L$4)+'Calculs 3D'!$D$9-OffsetY)/Ecran)*'Calculs 3D'!$D$31)+(((($D246*$L$4)+'Calculs 3D'!$E$9-OffsetZ)/Ecran)*'Calculs 3D'!$E$31)),0)</f>
        <v>-8.9525495108654748E-2</v>
      </c>
      <c r="M246" s="105">
        <f>IF(Body4Actif=TRUE,((((($B246*$L$4)+'Calculs 3D'!$C$9-OffsetX)/Ecran)*'Calculs 3D'!$C$32)+(((($C246*$L$4)+'Calculs 3D'!$D$9-OffsetY)/Ecran)*'Calculs 3D'!$D$32)+(((($D246*$L$4)+'Calculs 3D'!$E$9-OffsetZ)/Ecran)*'Calculs 3D'!$E$32)),0)</f>
        <v>-0.16766273696928549</v>
      </c>
      <c r="N246" s="105">
        <f>IF(Body5Actif=TRUE,((((($B246*$N$4)+'Calculs 3D'!$C$10-OffsetX)/Ecran)*'Calculs 3D'!$C$31)+(((($C246*$N$4)+'Calculs 3D'!$D$10-OffsetY)/Ecran)*'Calculs 3D'!$D$31)+(((($D246*$N$4)+'Calculs 3D'!$E$10-OffsetZ)/Ecran)*'Calculs 3D'!$E$31)),0)</f>
        <v>6.5642612557963182E-3</v>
      </c>
      <c r="O246" s="105">
        <f>IF(Body5Actif=TRUE,((((($B246*$N$4)+'Calculs 3D'!$C$10-OffsetX)/Ecran)*'Calculs 3D'!$C$32)+(((($C246*$N$4)+'Calculs 3D'!$D$10-OffsetY)/Ecran)*'Calculs 3D'!$D$32)+(((($D246*$N$4)+'Calculs 3D'!$E$10-OffsetZ)/Ecran)*'Calculs 3D'!$E$32)),0)</f>
        <v>-1.1890158940603898E-4</v>
      </c>
      <c r="P246" s="105">
        <f>IF(Body6Actif=TRUE,((((($B246*$P$4)+'Calculs 3D'!$C$11-OffsetX)/Ecran)*'Calculs 3D'!$C$31)+(((($C246*$P$4)+'Calculs 3D'!$D$11-OffsetY)/Ecran)*'Calculs 3D'!$D$31)+(((($D246*$P$4)+'Calculs 3D'!$E$11-OffsetZ)/Ecran)*'Calculs 3D'!$E$31)),0)</f>
        <v>0.17894936304129166</v>
      </c>
      <c r="Q246" s="105">
        <f>IF(Body6Actif=TRUE,((((($B246*$P$4)+'Calculs 3D'!$C$11-OffsetX)/Ecran)*'Calculs 3D'!$C$32)+(((($C246*$P$4)+'Calculs 3D'!$D$11-OffsetY)/Ecran)*'Calculs 3D'!$D$32)+(((($D246*$P$4)+'Calculs 3D'!$E$11-OffsetZ)/Ecran)*'Calculs 3D'!$E$32)),0)</f>
        <v>0.14009994200361059</v>
      </c>
      <c r="R246" s="105">
        <f>IF(Body7Actif=TRUE,((((($B246*$R$4)+'Calculs 3D'!$C$12-OffsetX)/Ecran)*'Calculs 3D'!$C$31)+(((($C246*$R$4)+'Calculs 3D'!$D$12-OffsetY)/Ecran)*'Calculs 3D'!$D$31)+(((($D246*$R$4)+'Calculs 3D'!$E$12-OffsetZ)/Ecran)*'Calculs 3D'!$E$31)),0)</f>
        <v>-0.27243046666912274</v>
      </c>
      <c r="S246" s="105">
        <f>IF(Body7Actif=TRUE,((((($B246*$R$4)+'Calculs 3D'!$C$12-OffsetX)/Ecran)*'Calculs 3D'!$C$32)+(((($C246*$R$4)+'Calculs 3D'!$D$12-OffsetY)/Ecran)*'Calculs 3D'!$D$32)+(((($D246*$R$4)+'Calculs 3D'!$E$12-OffsetZ)/Ecran)*'Calculs 3D'!$E$32)),0)</f>
        <v>6.9418707508985447E-2</v>
      </c>
      <c r="T246" s="105">
        <f>IF(Body8Actif=TRUE,((((($B246*$T$4)+'Calculs 3D'!$C$13-OffsetX)/Ecran)*'Calculs 3D'!$C$31)+(((($C246*$T$4)+'Calculs 3D'!$D$13-OffsetY)/Ecran)*'Calculs 3D'!$D$31)+(((($D246*$T$4)+'Calculs 3D'!$E$13-OffsetZ)/Ecran)*'Calculs 3D'!$E$31)),0)</f>
        <v>0.17116714235887442</v>
      </c>
      <c r="U246" s="105">
        <f>IF(Body8Actif=TRUE,((((($B246*$T$4)+'Calculs 3D'!$C$13-OffsetX)/Ecran)*'Calculs 3D'!$C$32)+(((($C246*$T$4)+'Calculs 3D'!$D$13-OffsetY)/Ecran)*'Calculs 3D'!$D$32)+(((($D246*$T$4)+'Calculs 3D'!$E$13-OffsetZ)/Ecran)*'Calculs 3D'!$E$32)),0)</f>
        <v>-0.12801946084531041</v>
      </c>
      <c r="V246" s="105">
        <f>IF(Body9Actif=TRUE,((((($B246*$V$4)+'Calculs 3D'!$C$14-OffsetX)/Ecran)*'Calculs 3D'!$C$31)+(((($C246*$V$4)+'Calculs 3D'!$D$14-OffsetY)/Ecran)*'Calculs 3D'!$D$31)+(((($D246*$V$4)+'Calculs 3D'!$E$14-OffsetZ)/Ecran)*'Calculs 3D'!$E$31)),0)</f>
        <v>-0.17350144195057821</v>
      </c>
      <c r="W246" s="105">
        <f>IF(Body9Actif=TRUE,((((($B246*$V$4)+'Calculs 3D'!$C$14-OffsetX)/Ecran)*'Calculs 3D'!$C$32)+(((($C246*$V$4)+'Calculs 3D'!$D$14-OffsetY)/Ecran)*'Calculs 3D'!$D$32)+(((($D246*$V$4)+'Calculs 3D'!$E$14-OffsetZ)/Ecran)*'Calculs 3D'!$E$32)),0)</f>
        <v>0.29221330295766534</v>
      </c>
      <c r="X246" s="105">
        <f>IF(Body10Actif=TRUE,((((($B246*$X$4)+'Calculs 3D'!$C$15-OffsetX)/Ecran)*'Calculs 3D'!$C$31)+(((($C246*$X$4)+'Calculs 3D'!$D$15-OffsetY)/Ecran)*'Calculs 3D'!$D$31)+(((($D246*$X$4)+'Calculs 3D'!$E$15-OffsetZ)/Ecran)*'Calculs 3D'!$E$31)),0)</f>
        <v>-9.1669653582452382E-3</v>
      </c>
      <c r="Y246" s="105">
        <f>IF(Body10Actif=TRUE,((((($B246*$X$4)+'Calculs 3D'!$C$15-OffsetX)/Ecran)*'Calculs 3D'!$C$32)+(((($C246*$X$4)+'Calculs 3D'!$D$15-OffsetY)/Ecran)*'Calculs 3D'!$D$32)+(((($D246*$X$4)+'Calculs 3D'!$E$15-OffsetZ)/Ecran)*'Calculs 3D'!$E$32)),0)</f>
        <v>0.29788761558763427</v>
      </c>
    </row>
    <row r="247" spans="2:25" x14ac:dyDescent="0.3">
      <c r="B247" s="19"/>
      <c r="C247" s="19"/>
      <c r="D247" s="19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2:25" x14ac:dyDescent="0.3">
      <c r="B248" s="101">
        <v>0</v>
      </c>
      <c r="C248" s="101">
        <v>0</v>
      </c>
      <c r="D248" s="101">
        <v>1</v>
      </c>
      <c r="F248" s="105">
        <f>IF(Body1Actif=TRUE,((((($B248*$F$4)+'Calculs 3D'!$C$6-OffsetX)/Ecran)*'Calculs 3D'!$C$31)+(((($C248*$F$4)+'Calculs 3D'!$D$6-OffsetY)/Ecran)*'Calculs 3D'!$D$31)+(((($D248*$F$4)+'Calculs 3D'!$E$6-OffsetZ)/Ecran)*'Calculs 3D'!$E$31)),0)</f>
        <v>5.0579175247860285E-2</v>
      </c>
      <c r="G248" s="105">
        <f>IF(Body1Actif=TRUE,((((($B248*$F$4)+'Calculs 3D'!$C$6-OffsetX)/Ecran)*'Calculs 3D'!$C$32)+(((($C248*$F$4)+'Calculs 3D'!$D$6-OffsetY)/Ecran)*'Calculs 3D'!$D$32)+(((($D248*$F$4)+'Calculs 3D'!$E$6-OffsetZ)/Ecran)*'Calculs 3D'!$E$32)),0)</f>
        <v>0.26693236607396786</v>
      </c>
      <c r="H248" s="105">
        <f>IF(Body2Actif=TRUE,((((($B248*$H$4)+'Calculs 3D'!$C$7-OffsetX)/Ecran)*'Calculs 3D'!$C$31)+(((($C248*$H$4)+'Calculs 3D'!$D$7-OffsetY)/Ecran)*'Calculs 3D'!$D$31)+(((($D248*$H$4)+'Calculs 3D'!$E$7-OffsetZ)/Ecran)*'Calculs 3D'!$E$31)),0)</f>
        <v>2.5248184344877585E-2</v>
      </c>
      <c r="I248" s="105">
        <f>IF(Body2Actif=TRUE,((((($B248*$H$4)+'Calculs 3D'!$C$7-OffsetX)/Ecran)*'Calculs 3D'!$C$32)+(((($C248*$H$4)+'Calculs 3D'!$D$7-OffsetY)/Ecran)*'Calculs 3D'!$D$32)+(((($D248*$H$4)+'Calculs 3D'!$E$7-OffsetZ)/Ecran)*'Calculs 3D'!$E$32)),0)</f>
        <v>4.2283739011493945E-2</v>
      </c>
      <c r="J248" s="105">
        <f>IF(Body3Actif=TRUE,((((($B248*$J$4)+'Calculs 3D'!$C$8-OffsetX)/Ecran)*'Calculs 3D'!$C$31)+(((($C248*$J$4)+'Calculs 3D'!$D$8-OffsetY)/Ecran)*'Calculs 3D'!$D$31)+(((($D248*$J$4)+'Calculs 3D'!$E$8-OffsetZ)/Ecran)*'Calculs 3D'!$E$31)),0)</f>
        <v>0.21866003387220898</v>
      </c>
      <c r="K248" s="105">
        <f>IF(Body3Actif=TRUE,((((($B248*$J$4)+'Calculs 3D'!$C$8-OffsetX)/Ecran)*'Calculs 3D'!$C$32)+(((($C248*$J$4)+'Calculs 3D'!$D$8-OffsetY)/Ecran)*'Calculs 3D'!$D$32)+(((($D248*$J$4)+'Calculs 3D'!$E$8-OffsetZ)/Ecran)*'Calculs 3D'!$E$32)),0)</f>
        <v>-7.5550268502116352E-2</v>
      </c>
      <c r="L248" s="105">
        <f>IF(Body4Actif=TRUE,((((($B248*$L$4)+'Calculs 3D'!$C$9-OffsetX)/Ecran)*'Calculs 3D'!$C$31)+(((($C248*$L$4)+'Calculs 3D'!$D$9-OffsetY)/Ecran)*'Calculs 3D'!$D$31)+(((($D248*$L$4)+'Calculs 3D'!$E$9-OffsetZ)/Ecran)*'Calculs 3D'!$E$31)),0)</f>
        <v>-9.4525992808345366E-2</v>
      </c>
      <c r="M248" s="105">
        <f>IF(Body4Actif=TRUE,((((($B248*$L$4)+'Calculs 3D'!$C$9-OffsetX)/Ecran)*'Calculs 3D'!$C$32)+(((($C248*$L$4)+'Calculs 3D'!$D$9-OffsetY)/Ecran)*'Calculs 3D'!$D$32)+(((($D248*$L$4)+'Calculs 3D'!$E$9-OffsetZ)/Ecran)*'Calculs 3D'!$E$32)),0)</f>
        <v>-0.165196198247998</v>
      </c>
      <c r="N248" s="105">
        <f>IF(Body5Actif=TRUE,((((($B248*$N$4)+'Calculs 3D'!$C$10-OffsetX)/Ecran)*'Calculs 3D'!$C$31)+(((($C248*$N$4)+'Calculs 3D'!$D$10-OffsetY)/Ecran)*'Calculs 3D'!$D$31)+(((($D248*$N$4)+'Calculs 3D'!$E$10-OffsetZ)/Ecran)*'Calculs 3D'!$E$31)),0)</f>
        <v>8.557340724558533E-4</v>
      </c>
      <c r="O248" s="105">
        <f>IF(Body5Actif=TRUE,((((($B248*$N$4)+'Calculs 3D'!$C$10-OffsetX)/Ecran)*'Calculs 3D'!$C$32)+(((($C248*$N$4)+'Calculs 3D'!$D$10-OffsetY)/Ecran)*'Calculs 3D'!$D$32)+(((($D248*$N$4)+'Calculs 3D'!$E$10-OffsetZ)/Ecran)*'Calculs 3D'!$E$32)),0)</f>
        <v>2.6968787958349836E-3</v>
      </c>
      <c r="P248" s="105">
        <f>IF(Body6Actif=TRUE,((((($B248*$P$4)+'Calculs 3D'!$C$11-OffsetX)/Ecran)*'Calculs 3D'!$C$31)+(((($C248*$P$4)+'Calculs 3D'!$D$11-OffsetY)/Ecran)*'Calculs 3D'!$D$31)+(((($D248*$P$4)+'Calculs 3D'!$E$11-OffsetZ)/Ecran)*'Calculs 3D'!$E$31)),0)</f>
        <v>0.1706767325982842</v>
      </c>
      <c r="Q248" s="105">
        <f>IF(Body6Actif=TRUE,((((($B248*$P$4)+'Calculs 3D'!$C$11-OffsetX)/Ecran)*'Calculs 3D'!$C$32)+(((($C248*$P$4)+'Calculs 3D'!$D$11-OffsetY)/Ecran)*'Calculs 3D'!$D$32)+(((($D248*$P$4)+'Calculs 3D'!$E$11-OffsetZ)/Ecran)*'Calculs 3D'!$E$32)),0)</f>
        <v>0.14418048848918191</v>
      </c>
      <c r="R248" s="105">
        <f>IF(Body7Actif=TRUE,((((($B248*$R$4)+'Calculs 3D'!$C$12-OffsetX)/Ecran)*'Calculs 3D'!$C$31)+(((($C248*$R$4)+'Calculs 3D'!$D$12-OffsetY)/Ecran)*'Calculs 3D'!$D$31)+(((($D248*$R$4)+'Calculs 3D'!$E$12-OffsetZ)/Ecran)*'Calculs 3D'!$E$31)),0)</f>
        <v>-0.28073836751385717</v>
      </c>
      <c r="S248" s="105">
        <f>IF(Body7Actif=TRUE,((((($B248*$R$4)+'Calculs 3D'!$C$12-OffsetX)/Ecran)*'Calculs 3D'!$C$32)+(((($C248*$R$4)+'Calculs 3D'!$D$12-OffsetY)/Ecran)*'Calculs 3D'!$D$32)+(((($D248*$R$4)+'Calculs 3D'!$E$12-OffsetZ)/Ecran)*'Calculs 3D'!$E$32)),0)</f>
        <v>7.3516651425132598E-2</v>
      </c>
      <c r="T248" s="105">
        <f>IF(Body8Actif=TRUE,((((($B248*$T$4)+'Calculs 3D'!$C$13-OffsetX)/Ecran)*'Calculs 3D'!$C$31)+(((($C248*$T$4)+'Calculs 3D'!$D$13-OffsetY)/Ecran)*'Calculs 3D'!$D$31)+(((($D248*$T$4)+'Calculs 3D'!$E$13-OffsetZ)/Ecran)*'Calculs 3D'!$E$31)),0)</f>
        <v>0.16817081081111579</v>
      </c>
      <c r="U248" s="105">
        <f>IF(Body8Actif=TRUE,((((($B248*$T$4)+'Calculs 3D'!$C$13-OffsetX)/Ecran)*'Calculs 3D'!$C$32)+(((($C248*$T$4)+'Calculs 3D'!$D$13-OffsetY)/Ecran)*'Calculs 3D'!$D$32)+(((($D248*$T$4)+'Calculs 3D'!$E$13-OffsetZ)/Ecran)*'Calculs 3D'!$E$32)),0)</f>
        <v>-0.12654149440512596</v>
      </c>
      <c r="V248" s="105">
        <f>IF(Body9Actif=TRUE,((((($B248*$V$4)+'Calculs 3D'!$C$14-OffsetX)/Ecran)*'Calculs 3D'!$C$31)+(((($C248*$V$4)+'Calculs 3D'!$D$14-OffsetY)/Ecran)*'Calculs 3D'!$D$31)+(((($D248*$V$4)+'Calculs 3D'!$E$14-OffsetZ)/Ecran)*'Calculs 3D'!$E$31)),0)</f>
        <v>-0.17765889973758367</v>
      </c>
      <c r="W248" s="105">
        <f>IF(Body9Actif=TRUE,((((($B248*$V$4)+'Calculs 3D'!$C$14-OffsetX)/Ecran)*'Calculs 3D'!$C$32)+(((($C248*$V$4)+'Calculs 3D'!$D$14-OffsetY)/Ecran)*'Calculs 3D'!$D$32)+(((($D248*$V$4)+'Calculs 3D'!$E$14-OffsetZ)/Ecran)*'Calculs 3D'!$E$32)),0)</f>
        <v>0.294264004953669</v>
      </c>
      <c r="X248" s="105">
        <f>IF(Body10Actif=TRUE,((((($B248*$X$4)+'Calculs 3D'!$C$15-OffsetX)/Ecran)*'Calculs 3D'!$C$31)+(((($C248*$X$4)+'Calculs 3D'!$D$15-OffsetY)/Ecran)*'Calculs 3D'!$D$31)+(((($D248*$X$4)+'Calculs 3D'!$E$15-OffsetZ)/Ecran)*'Calculs 3D'!$E$31)),0)</f>
        <v>-1.5442457044756913E-2</v>
      </c>
      <c r="Y248" s="105">
        <f>IF(Body10Actif=TRUE,((((($B248*$X$4)+'Calculs 3D'!$C$15-OffsetX)/Ecran)*'Calculs 3D'!$C$32)+(((($C248*$X$4)+'Calculs 3D'!$D$15-OffsetY)/Ecran)*'Calculs 3D'!$D$32)+(((($D248*$X$4)+'Calculs 3D'!$E$15-OffsetZ)/Ecran)*'Calculs 3D'!$E$32)),0)</f>
        <v>0.30098305611565546</v>
      </c>
    </row>
    <row r="249" spans="2:25" x14ac:dyDescent="0.3">
      <c r="B249" s="102">
        <v>0.21850801222441052</v>
      </c>
      <c r="C249" s="102">
        <v>0.21850801222441049</v>
      </c>
      <c r="D249" s="102">
        <v>0.95105651629515353</v>
      </c>
      <c r="F249" s="105">
        <f>IF(Body1Actif=TRUE,((((($B249*$F$4)+'Calculs 3D'!$C$6-OffsetX)/Ecran)*'Calculs 3D'!$C$31)+(((($C249*$F$4)+'Calculs 3D'!$D$6-OffsetY)/Ecran)*'Calculs 3D'!$D$31)+(((($D249*$F$4)+'Calculs 3D'!$E$6-OffsetZ)/Ecran)*'Calculs 3D'!$E$31)),0)</f>
        <v>5.1731916732500584E-2</v>
      </c>
      <c r="G249" s="105">
        <f>IF(Body1Actif=TRUE,((((($B249*$F$4)+'Calculs 3D'!$C$6-OffsetX)/Ecran)*'Calculs 3D'!$C$32)+(((($C249*$F$4)+'Calculs 3D'!$D$6-OffsetY)/Ecran)*'Calculs 3D'!$D$32)+(((($D249*$F$4)+'Calculs 3D'!$E$6-OffsetZ)/Ecran)*'Calculs 3D'!$E$32)),0)</f>
        <v>0.26689910579404902</v>
      </c>
      <c r="H249" s="105">
        <f>IF(Body2Actif=TRUE,((((($B249*$H$4)+'Calculs 3D'!$C$7-OffsetX)/Ecran)*'Calculs 3D'!$C$31)+(((($C249*$H$4)+'Calculs 3D'!$D$7-OffsetY)/Ecran)*'Calculs 3D'!$D$31)+(((($D249*$H$4)+'Calculs 3D'!$E$7-OffsetZ)/Ecran)*'Calculs 3D'!$E$31)),0)</f>
        <v>2.9741428221171894E-2</v>
      </c>
      <c r="I249" s="105">
        <f>IF(Body2Actif=TRUE,((((($B249*$H$4)+'Calculs 3D'!$C$7-OffsetX)/Ecran)*'Calculs 3D'!$C$32)+(((($C249*$H$4)+'Calculs 3D'!$D$7-OffsetY)/Ecran)*'Calculs 3D'!$D$32)+(((($D249*$H$4)+'Calculs 3D'!$E$7-OffsetZ)/Ecran)*'Calculs 3D'!$E$32)),0)</f>
        <v>4.215409454995557E-2</v>
      </c>
      <c r="J249" s="105">
        <f>IF(Body3Actif=TRUE,((((($B249*$J$4)+'Calculs 3D'!$C$8-OffsetX)/Ecran)*'Calculs 3D'!$C$31)+(((($C249*$J$4)+'Calculs 3D'!$D$8-OffsetY)/Ecran)*'Calculs 3D'!$D$31)+(((($D249*$J$4)+'Calculs 3D'!$E$8-OffsetZ)/Ecran)*'Calculs 3D'!$E$31)),0)</f>
        <v>0.22065693126210628</v>
      </c>
      <c r="K249" s="105">
        <f>IF(Body3Actif=TRUE,((((($B249*$J$4)+'Calculs 3D'!$C$8-OffsetX)/Ecran)*'Calculs 3D'!$C$32)+(((($C249*$J$4)+'Calculs 3D'!$D$8-OffsetY)/Ecran)*'Calculs 3D'!$D$32)+(((($D249*$J$4)+'Calculs 3D'!$E$8-OffsetZ)/Ecran)*'Calculs 3D'!$E$32)),0)</f>
        <v>-7.5607885380698542E-2</v>
      </c>
      <c r="L249" s="105">
        <f>IF(Body4Actif=TRUE,((((($B249*$L$4)+'Calculs 3D'!$C$9-OffsetX)/Ecran)*'Calculs 3D'!$C$31)+(((($C249*$L$4)+'Calculs 3D'!$D$9-OffsetY)/Ecran)*'Calculs 3D'!$D$31)+(((($D249*$L$4)+'Calculs 3D'!$E$9-OffsetZ)/Ecran)*'Calculs 3D'!$E$31)),0)</f>
        <v>-9.1929441924914757E-2</v>
      </c>
      <c r="M249" s="105">
        <f>IF(Body4Actif=TRUE,((((($B249*$L$4)+'Calculs 3D'!$C$9-OffsetX)/Ecran)*'Calculs 3D'!$C$32)+(((($C249*$L$4)+'Calculs 3D'!$D$9-OffsetY)/Ecran)*'Calculs 3D'!$D$32)+(((($D249*$L$4)+'Calculs 3D'!$E$9-OffsetZ)/Ecran)*'Calculs 3D'!$E$32)),0)</f>
        <v>-0.16527111704840303</v>
      </c>
      <c r="N249" s="105">
        <f>IF(Body5Actif=TRUE,((((($B249*$N$4)+'Calculs 3D'!$C$10-OffsetX)/Ecran)*'Calculs 3D'!$C$31)+(((($C249*$N$4)+'Calculs 3D'!$D$10-OffsetY)/Ecran)*'Calculs 3D'!$D$31)+(((($D249*$N$4)+'Calculs 3D'!$E$10-OffsetZ)/Ecran)*'Calculs 3D'!$E$31)),0)</f>
        <v>3.8199352762495042E-3</v>
      </c>
      <c r="O249" s="105">
        <f>IF(Body5Actif=TRUE,((((($B249*$N$4)+'Calculs 3D'!$C$10-OffsetX)/Ecran)*'Calculs 3D'!$C$32)+(((($C249*$N$4)+'Calculs 3D'!$D$10-OffsetY)/Ecran)*'Calculs 3D'!$D$32)+(((($D249*$N$4)+'Calculs 3D'!$E$10-OffsetZ)/Ecran)*'Calculs 3D'!$E$32)),0)</f>
        <v>2.6113521074251338E-3</v>
      </c>
      <c r="P249" s="105">
        <f>IF(Body6Actif=TRUE,((((($B249*$P$4)+'Calculs 3D'!$C$11-OffsetX)/Ecran)*'Calculs 3D'!$C$31)+(((($C249*$P$4)+'Calculs 3D'!$D$11-OffsetY)/Ecran)*'Calculs 3D'!$D$31)+(((($D249*$P$4)+'Calculs 3D'!$E$11-OffsetZ)/Ecran)*'Calculs 3D'!$E$31)),0)</f>
        <v>0.17497236618819967</v>
      </c>
      <c r="Q249" s="105">
        <f>IF(Body6Actif=TRUE,((((($B249*$P$4)+'Calculs 3D'!$C$11-OffsetX)/Ecran)*'Calculs 3D'!$C$32)+(((($C249*$P$4)+'Calculs 3D'!$D$11-OffsetY)/Ecran)*'Calculs 3D'!$D$32)+(((($D249*$P$4)+'Calculs 3D'!$E$11-OffsetZ)/Ecran)*'Calculs 3D'!$E$32)),0)</f>
        <v>0.14405654571664095</v>
      </c>
      <c r="R249" s="105">
        <f>IF(Body7Actif=TRUE,((((($B249*$R$4)+'Calculs 3D'!$C$12-OffsetX)/Ecran)*'Calculs 3D'!$C$31)+(((($C249*$R$4)+'Calculs 3D'!$D$12-OffsetY)/Ecran)*'Calculs 3D'!$D$31)+(((($D249*$R$4)+'Calculs 3D'!$E$12-OffsetZ)/Ecran)*'Calculs 3D'!$E$31)),0)</f>
        <v>-0.2764244194684089</v>
      </c>
      <c r="S249" s="105">
        <f>IF(Body7Actif=TRUE,((((($B249*$R$4)+'Calculs 3D'!$C$12-OffsetX)/Ecran)*'Calculs 3D'!$C$32)+(((($C249*$R$4)+'Calculs 3D'!$D$12-OffsetY)/Ecran)*'Calculs 3D'!$D$32)+(((($D249*$R$4)+'Calculs 3D'!$E$12-OffsetZ)/Ecran)*'Calculs 3D'!$E$32)),0)</f>
        <v>7.3392180221954095E-2</v>
      </c>
      <c r="T249" s="105">
        <f>IF(Body8Actif=TRUE,((((($B249*$T$4)+'Calculs 3D'!$C$13-OffsetX)/Ecran)*'Calculs 3D'!$C$31)+(((($C249*$T$4)+'Calculs 3D'!$D$13-OffsetY)/Ecran)*'Calculs 3D'!$D$31)+(((($D249*$T$4)+'Calculs 3D'!$E$13-OffsetZ)/Ecran)*'Calculs 3D'!$E$31)),0)</f>
        <v>0.16972668140532984</v>
      </c>
      <c r="U249" s="105">
        <f>IF(Body8Actif=TRUE,((((($B249*$T$4)+'Calculs 3D'!$C$13-OffsetX)/Ecran)*'Calculs 3D'!$C$32)+(((($C249*$T$4)+'Calculs 3D'!$D$13-OffsetY)/Ecran)*'Calculs 3D'!$D$32)+(((($D249*$T$4)+'Calculs 3D'!$E$13-OffsetZ)/Ecran)*'Calculs 3D'!$E$32)),0)</f>
        <v>-0.12658638624962934</v>
      </c>
      <c r="V249" s="105">
        <f>IF(Body9Actif=TRUE,((((($B249*$V$4)+'Calculs 3D'!$C$14-OffsetX)/Ecran)*'Calculs 3D'!$C$31)+(((($C249*$V$4)+'Calculs 3D'!$D$14-OffsetY)/Ecran)*'Calculs 3D'!$D$31)+(((($D249*$V$4)+'Calculs 3D'!$E$14-OffsetZ)/Ecran)*'Calculs 3D'!$E$31)),0)</f>
        <v>-0.17550010448599454</v>
      </c>
      <c r="W249" s="105">
        <f>IF(Body9Actif=TRUE,((((($B249*$V$4)+'Calculs 3D'!$C$14-OffsetX)/Ecran)*'Calculs 3D'!$C$32)+(((($C249*$V$4)+'Calculs 3D'!$D$14-OffsetY)/Ecran)*'Calculs 3D'!$D$32)+(((($D249*$V$4)+'Calculs 3D'!$E$14-OffsetZ)/Ecran)*'Calculs 3D'!$E$32)),0)</f>
        <v>0.2942017168038002</v>
      </c>
      <c r="X249" s="105">
        <f>IF(Body10Actif=TRUE,((((($B249*$X$4)+'Calculs 3D'!$C$15-OffsetX)/Ecran)*'Calculs 3D'!$C$31)+(((($C249*$X$4)+'Calculs 3D'!$D$15-OffsetY)/Ecran)*'Calculs 3D'!$D$31)+(((($D249*$X$4)+'Calculs 3D'!$E$15-OffsetZ)/Ecran)*'Calculs 3D'!$E$31)),0)</f>
        <v>-1.2183854709317071E-2</v>
      </c>
      <c r="Y249" s="105">
        <f>IF(Body10Actif=TRUE,((((($B249*$X$4)+'Calculs 3D'!$C$15-OffsetX)/Ecran)*'Calculs 3D'!$C$32)+(((($C249*$X$4)+'Calculs 3D'!$D$15-OffsetY)/Ecran)*'Calculs 3D'!$D$32)+(((($D249*$X$4)+'Calculs 3D'!$E$15-OffsetZ)/Ecran)*'Calculs 3D'!$E$32)),0)</f>
        <v>0.30088903501268915</v>
      </c>
    </row>
    <row r="250" spans="2:25" x14ac:dyDescent="0.3">
      <c r="B250" s="102">
        <v>0.41562693777745346</v>
      </c>
      <c r="C250" s="102">
        <v>0.41562693777745341</v>
      </c>
      <c r="D250" s="102">
        <v>0.80901699437494745</v>
      </c>
      <c r="F250" s="105">
        <f>IF(Body1Actif=TRUE,((((($B250*$F$4)+'Calculs 3D'!$C$6-OffsetX)/Ecran)*'Calculs 3D'!$C$31)+(((($C250*$F$4)+'Calculs 3D'!$D$6-OffsetY)/Ecran)*'Calculs 3D'!$D$31)+(((($D250*$F$4)+'Calculs 3D'!$E$6-OffsetZ)/Ecran)*'Calculs 3D'!$E$31)),0)</f>
        <v>5.2771819849002109E-2</v>
      </c>
      <c r="G250" s="105">
        <f>IF(Body1Actif=TRUE,((((($B250*$F$4)+'Calculs 3D'!$C$6-OffsetX)/Ecran)*'Calculs 3D'!$C$32)+(((($C250*$F$4)+'Calculs 3D'!$D$6-OffsetY)/Ecran)*'Calculs 3D'!$D$32)+(((($D250*$F$4)+'Calculs 3D'!$E$6-OffsetZ)/Ecran)*'Calculs 3D'!$E$32)),0)</f>
        <v>0.26657777029546736</v>
      </c>
      <c r="H250" s="105">
        <f>IF(Body2Actif=TRUE,((((($B250*$H$4)+'Calculs 3D'!$C$7-OffsetX)/Ecran)*'Calculs 3D'!$C$31)+(((($C250*$H$4)+'Calculs 3D'!$D$7-OffsetY)/Ecran)*'Calculs 3D'!$D$31)+(((($D250*$H$4)+'Calculs 3D'!$E$7-OffsetZ)/Ecran)*'Calculs 3D'!$E$31)),0)</f>
        <v>3.379484208058358E-2</v>
      </c>
      <c r="I250" s="105">
        <f>IF(Body2Actif=TRUE,((((($B250*$H$4)+'Calculs 3D'!$C$7-OffsetX)/Ecran)*'Calculs 3D'!$C$32)+(((($C250*$H$4)+'Calculs 3D'!$D$7-OffsetY)/Ecran)*'Calculs 3D'!$D$32)+(((($D250*$H$4)+'Calculs 3D'!$E$7-OffsetZ)/Ecran)*'Calculs 3D'!$E$32)),0)</f>
        <v>4.0901568480167787E-2</v>
      </c>
      <c r="J250" s="105">
        <f>IF(Body3Actif=TRUE,((((($B250*$J$4)+'Calculs 3D'!$C$8-OffsetX)/Ecran)*'Calculs 3D'!$C$31)+(((($C250*$J$4)+'Calculs 3D'!$D$8-OffsetY)/Ecran)*'Calculs 3D'!$D$31)+(((($D250*$J$4)+'Calculs 3D'!$E$8-OffsetZ)/Ecran)*'Calculs 3D'!$E$31)),0)</f>
        <v>0.22245835842227824</v>
      </c>
      <c r="K250" s="105">
        <f>IF(Body3Actif=TRUE,((((($B250*$J$4)+'Calculs 3D'!$C$8-OffsetX)/Ecran)*'Calculs 3D'!$C$32)+(((($C250*$J$4)+'Calculs 3D'!$D$8-OffsetY)/Ecran)*'Calculs 3D'!$D$32)+(((($D250*$J$4)+'Calculs 3D'!$E$8-OffsetZ)/Ecran)*'Calculs 3D'!$E$32)),0)</f>
        <v>-7.6164535789267157E-2</v>
      </c>
      <c r="L250" s="105">
        <f>IF(Body4Actif=TRUE,((((($B250*$L$4)+'Calculs 3D'!$C$9-OffsetX)/Ecran)*'Calculs 3D'!$C$31)+(((($C250*$L$4)+'Calculs 3D'!$D$9-OffsetY)/Ecran)*'Calculs 3D'!$D$31)+(((($D250*$L$4)+'Calculs 3D'!$E$9-OffsetZ)/Ecran)*'Calculs 3D'!$E$31)),0)</f>
        <v>-8.9587059533188129E-2</v>
      </c>
      <c r="M250" s="105">
        <f>IF(Body4Actif=TRUE,((((($B250*$L$4)+'Calculs 3D'!$C$9-OffsetX)/Ecran)*'Calculs 3D'!$C$32)+(((($C250*$L$4)+'Calculs 3D'!$D$9-OffsetY)/Ecran)*'Calculs 3D'!$D$32)+(((($D250*$L$4)+'Calculs 3D'!$E$9-OffsetZ)/Ecran)*'Calculs 3D'!$E$32)),0)</f>
        <v>-0.16599492545109976</v>
      </c>
      <c r="N250" s="105">
        <f>IF(Body5Actif=TRUE,((((($B250*$N$4)+'Calculs 3D'!$C$10-OffsetX)/Ecran)*'Calculs 3D'!$C$31)+(((($C250*$N$4)+'Calculs 3D'!$D$10-OffsetY)/Ecran)*'Calculs 3D'!$D$31)+(((($D250*$N$4)+'Calculs 3D'!$E$10-OffsetZ)/Ecran)*'Calculs 3D'!$E$31)),0)</f>
        <v>6.4939798134116336E-3</v>
      </c>
      <c r="O250" s="105">
        <f>IF(Body5Actif=TRUE,((((($B250*$N$4)+'Calculs 3D'!$C$10-OffsetX)/Ecran)*'Calculs 3D'!$C$32)+(((($C250*$N$4)+'Calculs 3D'!$D$10-OffsetY)/Ecran)*'Calculs 3D'!$D$32)+(((($D250*$N$4)+'Calculs 3D'!$E$10-OffsetZ)/Ecran)*'Calculs 3D'!$E$32)),0)</f>
        <v>1.7850583681879402E-3</v>
      </c>
      <c r="P250" s="105">
        <f>IF(Body6Actif=TRUE,((((($B250*$P$4)+'Calculs 3D'!$C$11-OffsetX)/Ecran)*'Calculs 3D'!$C$31)+(((($C250*$P$4)+'Calculs 3D'!$D$11-OffsetY)/Ecran)*'Calculs 3D'!$D$31)+(((($D250*$P$4)+'Calculs 3D'!$E$11-OffsetZ)/Ecran)*'Calculs 3D'!$E$31)),0)</f>
        <v>0.17884751323289508</v>
      </c>
      <c r="Q250" s="105">
        <f>IF(Body6Actif=TRUE,((((($B250*$P$4)+'Calculs 3D'!$C$11-OffsetX)/Ecran)*'Calculs 3D'!$C$32)+(((($C250*$P$4)+'Calculs 3D'!$D$11-OffsetY)/Ecran)*'Calculs 3D'!$D$32)+(((($D250*$P$4)+'Calculs 3D'!$E$11-OffsetZ)/Ecran)*'Calculs 3D'!$E$32)),0)</f>
        <v>0.14285910502440263</v>
      </c>
      <c r="R250" s="105">
        <f>IF(Body7Actif=TRUE,((((($B250*$R$4)+'Calculs 3D'!$C$12-OffsetX)/Ecran)*'Calculs 3D'!$C$31)+(((($C250*$R$4)+'Calculs 3D'!$D$12-OffsetY)/Ecran)*'Calculs 3D'!$D$31)+(((($D250*$R$4)+'Calculs 3D'!$E$12-OffsetZ)/Ecran)*'Calculs 3D'!$E$31)),0)</f>
        <v>-0.27253275071469241</v>
      </c>
      <c r="S250" s="105">
        <f>IF(Body7Actif=TRUE,((((($B250*$R$4)+'Calculs 3D'!$C$12-OffsetX)/Ecran)*'Calculs 3D'!$C$32)+(((($C250*$R$4)+'Calculs 3D'!$D$12-OffsetY)/Ecran)*'Calculs 3D'!$D$32)+(((($D250*$R$4)+'Calculs 3D'!$E$12-OffsetZ)/Ecran)*'Calculs 3D'!$E$32)),0)</f>
        <v>7.2189634235269265E-2</v>
      </c>
      <c r="T250" s="105">
        <f>IF(Body8Actif=TRUE,((((($B250*$T$4)+'Calculs 3D'!$C$13-OffsetX)/Ecran)*'Calculs 3D'!$C$31)+(((($C250*$T$4)+'Calculs 3D'!$D$13-OffsetY)/Ecran)*'Calculs 3D'!$D$31)+(((($D250*$T$4)+'Calculs 3D'!$E$13-OffsetZ)/Ecran)*'Calculs 3D'!$E$31)),0)</f>
        <v>0.17113025254539438</v>
      </c>
      <c r="U250" s="105">
        <f>IF(Body8Actif=TRUE,((((($B250*$T$4)+'Calculs 3D'!$C$13-OffsetX)/Ecran)*'Calculs 3D'!$C$32)+(((($C250*$T$4)+'Calculs 3D'!$D$13-OffsetY)/Ecran)*'Calculs 3D'!$D$32)+(((($D250*$T$4)+'Calculs 3D'!$E$13-OffsetZ)/Ecran)*'Calculs 3D'!$E$32)),0)</f>
        <v>-0.12702009706838785</v>
      </c>
      <c r="V250" s="105">
        <f>IF(Body9Actif=TRUE,((((($B250*$V$4)+'Calculs 3D'!$C$14-OffsetX)/Ecran)*'Calculs 3D'!$C$31)+(((($C250*$V$4)+'Calculs 3D'!$D$14-OffsetY)/Ecran)*'Calculs 3D'!$D$31)+(((($D250*$V$4)+'Calculs 3D'!$E$14-OffsetZ)/Ecran)*'Calculs 3D'!$E$31)),0)</f>
        <v>-0.17355262715484193</v>
      </c>
      <c r="W250" s="105">
        <f>IF(Body9Actif=TRUE,((((($B250*$V$4)+'Calculs 3D'!$C$14-OffsetX)/Ecran)*'Calculs 3D'!$C$32)+(((($C250*$V$4)+'Calculs 3D'!$D$14-OffsetY)/Ecran)*'Calculs 3D'!$D$32)+(((($D250*$V$4)+'Calculs 3D'!$E$14-OffsetZ)/Ecran)*'Calculs 3D'!$E$32)),0)</f>
        <v>0.29359993612899304</v>
      </c>
      <c r="X250" s="105">
        <f>IF(Body10Actif=TRUE,((((($B250*$X$4)+'Calculs 3D'!$C$15-OffsetX)/Ecran)*'Calculs 3D'!$C$31)+(((($C250*$X$4)+'Calculs 3D'!$D$15-OffsetY)/Ecran)*'Calculs 3D'!$D$31)+(((($D250*$X$4)+'Calculs 3D'!$E$15-OffsetZ)/Ecran)*'Calculs 3D'!$E$31)),0)</f>
        <v>-9.2442270744875765E-3</v>
      </c>
      <c r="Y250" s="105">
        <f>IF(Body10Actif=TRUE,((((($B250*$X$4)+'Calculs 3D'!$C$15-OffsetX)/Ecran)*'Calculs 3D'!$C$32)+(((($C250*$X$4)+'Calculs 3D'!$D$15-OffsetY)/Ecran)*'Calculs 3D'!$D$32)+(((($D250*$X$4)+'Calculs 3D'!$E$15-OffsetZ)/Ecran)*'Calculs 3D'!$E$32)),0)</f>
        <v>0.29998067470806755</v>
      </c>
    </row>
    <row r="251" spans="2:25" x14ac:dyDescent="0.3">
      <c r="B251" s="102">
        <v>0.57206140281768436</v>
      </c>
      <c r="C251" s="102">
        <v>0.57206140281768425</v>
      </c>
      <c r="D251" s="102">
        <v>0.58778525229247314</v>
      </c>
      <c r="F251" s="105">
        <f>IF(Body1Actif=TRUE,((((($B251*$F$4)+'Calculs 3D'!$C$6-OffsetX)/Ecran)*'Calculs 3D'!$C$31)+(((($C251*$F$4)+'Calculs 3D'!$D$6-OffsetY)/Ecran)*'Calculs 3D'!$D$31)+(((($D251*$F$4)+'Calculs 3D'!$E$6-OffsetZ)/Ecran)*'Calculs 3D'!$E$31)),0)</f>
        <v>5.3597091634890612E-2</v>
      </c>
      <c r="G251" s="105">
        <f>IF(Body1Actif=TRUE,((((($B251*$F$4)+'Calculs 3D'!$C$6-OffsetX)/Ecran)*'Calculs 3D'!$C$32)+(((($C251*$F$4)+'Calculs 3D'!$D$6-OffsetY)/Ecran)*'Calculs 3D'!$D$32)+(((($D251*$F$4)+'Calculs 3D'!$E$6-OffsetZ)/Ecran)*'Calculs 3D'!$E$32)),0)</f>
        <v>0.26599981413570023</v>
      </c>
      <c r="H251" s="105">
        <f>IF(Body2Actif=TRUE,((((($B251*$H$4)+'Calculs 3D'!$C$7-OffsetX)/Ecran)*'Calculs 3D'!$C$31)+(((($C251*$H$4)+'Calculs 3D'!$D$7-OffsetY)/Ecran)*'Calculs 3D'!$D$31)+(((($D251*$H$4)+'Calculs 3D'!$E$7-OffsetZ)/Ecran)*'Calculs 3D'!$E$31)),0)</f>
        <v>3.7011649532758407E-2</v>
      </c>
      <c r="I251" s="105">
        <f>IF(Body2Actif=TRUE,((((($B251*$H$4)+'Calculs 3D'!$C$7-OffsetX)/Ecran)*'Calculs 3D'!$C$32)+(((($C251*$H$4)+'Calculs 3D'!$D$7-OffsetY)/Ecran)*'Calculs 3D'!$D$32)+(((($D251*$H$4)+'Calculs 3D'!$E$7-OffsetZ)/Ecran)*'Calculs 3D'!$E$32)),0)</f>
        <v>3.8648766780703746E-2</v>
      </c>
      <c r="J251" s="105">
        <f>IF(Body3Actif=TRUE,((((($B251*$J$4)+'Calculs 3D'!$C$8-OffsetX)/Ecran)*'Calculs 3D'!$C$31)+(((($C251*$J$4)+'Calculs 3D'!$D$8-OffsetY)/Ecran)*'Calculs 3D'!$D$31)+(((($D251*$J$4)+'Calculs 3D'!$E$8-OffsetZ)/Ecran)*'Calculs 3D'!$E$31)),0)</f>
        <v>0.22388797911100608</v>
      </c>
      <c r="K251" s="105">
        <f>IF(Body3Actif=TRUE,((((($B251*$J$4)+'Calculs 3D'!$C$8-OffsetX)/Ecran)*'Calculs 3D'!$C$32)+(((($C251*$J$4)+'Calculs 3D'!$D$8-OffsetY)/Ecran)*'Calculs 3D'!$D$32)+(((($D251*$J$4)+'Calculs 3D'!$E$8-OffsetZ)/Ecran)*'Calculs 3D'!$E$32)),0)</f>
        <v>-7.716573090741996E-2</v>
      </c>
      <c r="L251" s="105">
        <f>IF(Body4Actif=TRUE,((((($B251*$L$4)+'Calculs 3D'!$C$9-OffsetX)/Ecran)*'Calculs 3D'!$C$31)+(((($C251*$L$4)+'Calculs 3D'!$D$9-OffsetY)/Ecran)*'Calculs 3D'!$D$31)+(((($D251*$L$4)+'Calculs 3D'!$E$9-OffsetZ)/Ecran)*'Calculs 3D'!$E$31)),0)</f>
        <v>-8.7728134342005479E-2</v>
      </c>
      <c r="M251" s="105">
        <f>IF(Body4Actif=TRUE,((((($B251*$L$4)+'Calculs 3D'!$C$9-OffsetX)/Ecran)*'Calculs 3D'!$C$32)+(((($C251*$L$4)+'Calculs 3D'!$D$9-OffsetY)/Ecran)*'Calculs 3D'!$D$32)+(((($D251*$L$4)+'Calculs 3D'!$E$9-OffsetZ)/Ecran)*'Calculs 3D'!$E$32)),0)</f>
        <v>-0.16729677204656246</v>
      </c>
      <c r="N251" s="105">
        <f>IF(Body5Actif=TRUE,((((($B251*$N$4)+'Calculs 3D'!$C$10-OffsetX)/Ecran)*'Calculs 3D'!$C$31)+(((($C251*$N$4)+'Calculs 3D'!$D$10-OffsetY)/Ecran)*'Calculs 3D'!$D$31)+(((($D251*$N$4)+'Calculs 3D'!$E$10-OffsetZ)/Ecran)*'Calculs 3D'!$E$31)),0)</f>
        <v>8.6161135734809831E-3</v>
      </c>
      <c r="O251" s="105">
        <f>IF(Body5Actif=TRUE,((((($B251*$N$4)+'Calculs 3D'!$C$10-OffsetX)/Ecran)*'Calculs 3D'!$C$32)+(((($C251*$N$4)+'Calculs 3D'!$D$10-OffsetY)/Ecran)*'Calculs 3D'!$D$32)+(((($D251*$N$4)+'Calculs 3D'!$E$10-OffsetZ)/Ecran)*'Calculs 3D'!$E$32)),0)</f>
        <v>2.9888096644694467E-4</v>
      </c>
      <c r="P251" s="105">
        <f>IF(Body6Actif=TRUE,((((($B251*$P$4)+'Calculs 3D'!$C$11-OffsetX)/Ecran)*'Calculs 3D'!$C$31)+(((($C251*$P$4)+'Calculs 3D'!$D$11-OffsetY)/Ecran)*'Calculs 3D'!$D$31)+(((($D251*$P$4)+'Calculs 3D'!$E$11-OffsetZ)/Ecran)*'Calculs 3D'!$E$31)),0)</f>
        <v>0.18192284733989861</v>
      </c>
      <c r="Q251" s="105">
        <f>IF(Body6Actif=TRUE,((((($B251*$P$4)+'Calculs 3D'!$C$11-OffsetX)/Ecran)*'Calculs 3D'!$C$32)+(((($C251*$P$4)+'Calculs 3D'!$D$11-OffsetY)/Ecran)*'Calculs 3D'!$D$32)+(((($D251*$P$4)+'Calculs 3D'!$E$11-OffsetZ)/Ecran)*'Calculs 3D'!$E$32)),0)</f>
        <v>0.14070538025048332</v>
      </c>
      <c r="R251" s="105">
        <f>IF(Body7Actif=TRUE,((((($B251*$R$4)+'Calculs 3D'!$C$12-OffsetX)/Ecran)*'Calculs 3D'!$C$31)+(((($C251*$R$4)+'Calculs 3D'!$D$12-OffsetY)/Ecran)*'Calculs 3D'!$D$31)+(((($D251*$R$4)+'Calculs 3D'!$E$12-OffsetZ)/Ecran)*'Calculs 3D'!$E$31)),0)</f>
        <v>-0.26944430490517229</v>
      </c>
      <c r="S251" s="105">
        <f>IF(Body7Actif=TRUE,((((($B251*$R$4)+'Calculs 3D'!$C$12-OffsetX)/Ecran)*'Calculs 3D'!$C$32)+(((($C251*$R$4)+'Calculs 3D'!$D$12-OffsetY)/Ecran)*'Calculs 3D'!$D$32)+(((($D251*$R$4)+'Calculs 3D'!$E$12-OffsetZ)/Ecran)*'Calculs 3D'!$E$32)),0)</f>
        <v>7.0026727044885287E-2</v>
      </c>
      <c r="T251" s="105">
        <f>IF(Body8Actif=TRUE,((((($B251*$T$4)+'Calculs 3D'!$C$13-OffsetX)/Ecran)*'Calculs 3D'!$C$31)+(((($C251*$T$4)+'Calculs 3D'!$D$13-OffsetY)/Ecran)*'Calculs 3D'!$D$31)+(((($D251*$T$4)+'Calculs 3D'!$E$13-OffsetZ)/Ecran)*'Calculs 3D'!$E$31)),0)</f>
        <v>0.1722441329088647</v>
      </c>
      <c r="U251" s="105">
        <f>IF(Body8Actif=TRUE,((((($B251*$T$4)+'Calculs 3D'!$C$13-OffsetX)/Ecran)*'Calculs 3D'!$C$32)+(((($C251*$T$4)+'Calculs 3D'!$D$13-OffsetY)/Ecran)*'Calculs 3D'!$D$32)+(((($D251*$T$4)+'Calculs 3D'!$E$13-OffsetZ)/Ecran)*'Calculs 3D'!$E$32)),0)</f>
        <v>-0.12780017222462051</v>
      </c>
      <c r="V251" s="105">
        <f>IF(Body9Actif=TRUE,((((($B251*$V$4)+'Calculs 3D'!$C$14-OffsetX)/Ecran)*'Calculs 3D'!$C$31)+(((($C251*$V$4)+'Calculs 3D'!$D$14-OffsetY)/Ecran)*'Calculs 3D'!$D$31)+(((($D251*$V$4)+'Calculs 3D'!$E$14-OffsetZ)/Ecran)*'Calculs 3D'!$E$31)),0)</f>
        <v>-0.17200710039417144</v>
      </c>
      <c r="W251" s="105">
        <f>IF(Body9Actif=TRUE,((((($B251*$V$4)+'Calculs 3D'!$C$14-OffsetX)/Ecran)*'Calculs 3D'!$C$32)+(((($C251*$V$4)+'Calculs 3D'!$D$14-OffsetY)/Ecran)*'Calculs 3D'!$D$32)+(((($D251*$V$4)+'Calculs 3D'!$E$14-OffsetZ)/Ecran)*'Calculs 3D'!$E$32)),0)</f>
        <v>0.2925175694145502</v>
      </c>
      <c r="X251" s="105">
        <f>IF(Body10Actif=TRUE,((((($B251*$X$4)+'Calculs 3D'!$C$15-OffsetX)/Ecran)*'Calculs 3D'!$C$31)+(((($C251*$X$4)+'Calculs 3D'!$D$15-OffsetY)/Ecran)*'Calculs 3D'!$D$31)+(((($D251*$X$4)+'Calculs 3D'!$E$15-OffsetZ)/Ecran)*'Calculs 3D'!$E$31)),0)</f>
        <v>-6.9113253747556669E-3</v>
      </c>
      <c r="Y251" s="105">
        <f>IF(Body10Actif=TRUE,((((($B251*$X$4)+'Calculs 3D'!$C$15-OffsetX)/Ecran)*'Calculs 3D'!$C$32)+(((($C251*$X$4)+'Calculs 3D'!$D$15-OffsetY)/Ecran)*'Calculs 3D'!$D$32)+(((($D251*$X$4)+'Calculs 3D'!$E$15-OffsetZ)/Ecran)*'Calculs 3D'!$E$32)),0)</f>
        <v>0.29834689183732543</v>
      </c>
    </row>
    <row r="252" spans="2:25" x14ac:dyDescent="0.3">
      <c r="B252" s="102">
        <v>0.67249851196395738</v>
      </c>
      <c r="C252" s="102">
        <v>0.67249851196395727</v>
      </c>
      <c r="D252" s="102">
        <v>0.30901699437494745</v>
      </c>
      <c r="F252" s="105">
        <f>IF(Body1Actif=TRUE,((((($B252*$F$4)+'Calculs 3D'!$C$6-OffsetX)/Ecran)*'Calculs 3D'!$C$31)+(((($C252*$F$4)+'Calculs 3D'!$D$6-OffsetY)/Ecran)*'Calculs 3D'!$D$31)+(((($D252*$F$4)+'Calculs 3D'!$E$6-OffsetZ)/Ecran)*'Calculs 3D'!$E$31)),0)</f>
        <v>5.4126948737756704E-2</v>
      </c>
      <c r="G252" s="105">
        <f>IF(Body1Actif=TRUE,((((($B252*$F$4)+'Calculs 3D'!$C$6-OffsetX)/Ecran)*'Calculs 3D'!$C$32)+(((($C252*$F$4)+'Calculs 3D'!$D$6-OffsetY)/Ecran)*'Calculs 3D'!$D$32)+(((($D252*$F$4)+'Calculs 3D'!$E$6-OffsetZ)/Ecran)*'Calculs 3D'!$E$32)),0)</f>
        <v>0.26522181169052284</v>
      </c>
      <c r="H252" s="105">
        <f>IF(Body2Actif=TRUE,((((($B252*$H$4)+'Calculs 3D'!$C$7-OffsetX)/Ecran)*'Calculs 3D'!$C$31)+(((($C252*$H$4)+'Calculs 3D'!$D$7-OffsetY)/Ecran)*'Calculs 3D'!$D$31)+(((($D252*$H$4)+'Calculs 3D'!$E$7-OffsetZ)/Ecran)*'Calculs 3D'!$E$31)),0)</f>
        <v>3.9076967051462103E-2</v>
      </c>
      <c r="I252" s="105">
        <f>IF(Body2Actif=TRUE,((((($B252*$H$4)+'Calculs 3D'!$C$7-OffsetX)/Ecran)*'Calculs 3D'!$C$32)+(((($C252*$H$4)+'Calculs 3D'!$D$7-OffsetY)/Ecran)*'Calculs 3D'!$D$32)+(((($D252*$H$4)+'Calculs 3D'!$E$7-OffsetZ)/Ecran)*'Calculs 3D'!$E$32)),0)</f>
        <v>3.5616209378099353E-2</v>
      </c>
      <c r="J252" s="105">
        <f>IF(Body3Actif=TRUE,((((($B252*$J$4)+'Calculs 3D'!$C$8-OffsetX)/Ecran)*'Calculs 3D'!$C$31)+(((($C252*$J$4)+'Calculs 3D'!$D$8-OffsetY)/Ecran)*'Calculs 3D'!$D$31)+(((($D252*$J$4)+'Calculs 3D'!$E$8-OffsetZ)/Ecran)*'Calculs 3D'!$E$31)),0)</f>
        <v>0.22480585209452414</v>
      </c>
      <c r="K252" s="105">
        <f>IF(Body3Actif=TRUE,((((($B252*$J$4)+'Calculs 3D'!$C$8-OffsetX)/Ecran)*'Calculs 3D'!$C$32)+(((($C252*$J$4)+'Calculs 3D'!$D$8-OffsetY)/Ecran)*'Calculs 3D'!$D$32)+(((($D252*$J$4)+'Calculs 3D'!$E$8-OffsetZ)/Ecran)*'Calculs 3D'!$E$32)),0)</f>
        <v>-7.8513466781255703E-2</v>
      </c>
      <c r="L252" s="105">
        <f>IF(Body4Actif=TRUE,((((($B252*$L$4)+'Calculs 3D'!$C$9-OffsetX)/Ecran)*'Calculs 3D'!$C$31)+(((($C252*$L$4)+'Calculs 3D'!$D$9-OffsetY)/Ecran)*'Calculs 3D'!$D$31)+(((($D252*$L$4)+'Calculs 3D'!$E$9-OffsetZ)/Ecran)*'Calculs 3D'!$E$31)),0)</f>
        <v>-8.6534630900973145E-2</v>
      </c>
      <c r="M252" s="105">
        <f>IF(Body4Actif=TRUE,((((($B252*$L$4)+'Calculs 3D'!$C$9-OffsetX)/Ecran)*'Calculs 3D'!$C$32)+(((($C252*$L$4)+'Calculs 3D'!$D$9-OffsetY)/Ecran)*'Calculs 3D'!$D$32)+(((($D252*$L$4)+'Calculs 3D'!$E$9-OffsetZ)/Ecran)*'Calculs 3D'!$E$32)),0)</f>
        <v>-0.16904922301952865</v>
      </c>
      <c r="N252" s="105">
        <f>IF(Body5Actif=TRUE,((((($B252*$N$4)+'Calculs 3D'!$C$10-OffsetX)/Ecran)*'Calculs 3D'!$C$31)+(((($C252*$N$4)+'Calculs 3D'!$D$10-OffsetY)/Ecran)*'Calculs 3D'!$D$31)+(((($D252*$N$4)+'Calculs 3D'!$E$10-OffsetZ)/Ecran)*'Calculs 3D'!$E$31)),0)</f>
        <v>9.9786073182466413E-3</v>
      </c>
      <c r="O252" s="105">
        <f>IF(Body5Actif=TRUE,((((($B252*$N$4)+'Calculs 3D'!$C$10-OffsetX)/Ecran)*'Calculs 3D'!$C$32)+(((($C252*$N$4)+'Calculs 3D'!$D$10-OffsetY)/Ecran)*'Calculs 3D'!$D$32)+(((($D252*$N$4)+'Calculs 3D'!$E$10-OffsetZ)/Ecran)*'Calculs 3D'!$E$32)),0)</f>
        <v>-1.7017026989086075E-3</v>
      </c>
      <c r="P252" s="105">
        <f>IF(Body6Actif=TRUE,((((($B252*$P$4)+'Calculs 3D'!$C$11-OffsetX)/Ecran)*'Calculs 3D'!$C$31)+(((($C252*$P$4)+'Calculs 3D'!$D$11-OffsetY)/Ecran)*'Calculs 3D'!$D$31)+(((($D252*$P$4)+'Calculs 3D'!$E$11-OffsetZ)/Ecran)*'Calculs 3D'!$E$31)),0)</f>
        <v>0.18389733337970404</v>
      </c>
      <c r="Q252" s="105">
        <f>IF(Body6Actif=TRUE,((((($B252*$P$4)+'Calculs 3D'!$C$11-OffsetX)/Ecran)*'Calculs 3D'!$C$32)+(((($C252*$P$4)+'Calculs 3D'!$D$11-OffsetY)/Ecran)*'Calculs 3D'!$D$32)+(((($D252*$P$4)+'Calculs 3D'!$E$11-OffsetZ)/Ecran)*'Calculs 3D'!$E$32)),0)</f>
        <v>0.13780619298163699</v>
      </c>
      <c r="R252" s="105">
        <f>IF(Body7Actif=TRUE,((((($B252*$R$4)+'Calculs 3D'!$C$12-OffsetX)/Ecran)*'Calculs 3D'!$C$31)+(((($C252*$R$4)+'Calculs 3D'!$D$12-OffsetY)/Ecran)*'Calculs 3D'!$D$31)+(((($D252*$R$4)+'Calculs 3D'!$E$12-OffsetZ)/Ecran)*'Calculs 3D'!$E$31)),0)</f>
        <v>-0.26746140063415158</v>
      </c>
      <c r="S252" s="105">
        <f>IF(Body7Actif=TRUE,((((($B252*$R$4)+'Calculs 3D'!$C$12-OffsetX)/Ecran)*'Calculs 3D'!$C$32)+(((($C252*$R$4)+'Calculs 3D'!$D$12-OffsetY)/Ecran)*'Calculs 3D'!$D$32)+(((($D252*$R$4)+'Calculs 3D'!$E$12-OffsetZ)/Ecran)*'Calculs 3D'!$E$32)),0)</f>
        <v>6.7115179076457573E-2</v>
      </c>
      <c r="T252" s="105">
        <f>IF(Body8Actif=TRUE,((((($B252*$T$4)+'Calculs 3D'!$C$13-OffsetX)/Ecran)*'Calculs 3D'!$C$31)+(((($C252*$T$4)+'Calculs 3D'!$D$13-OffsetY)/Ecran)*'Calculs 3D'!$D$31)+(((($D252*$T$4)+'Calculs 3D'!$E$13-OffsetZ)/Ecran)*'Calculs 3D'!$E$31)),0)</f>
        <v>0.17295928812490347</v>
      </c>
      <c r="U252" s="105">
        <f>IF(Body8Actif=TRUE,((((($B252*$T$4)+'Calculs 3D'!$C$13-OffsetX)/Ecran)*'Calculs 3D'!$C$32)+(((($C252*$T$4)+'Calculs 3D'!$D$13-OffsetY)/Ecran)*'Calculs 3D'!$D$32)+(((($D252*$T$4)+'Calculs 3D'!$E$13-OffsetZ)/Ecran)*'Calculs 3D'!$E$32)),0)</f>
        <v>-0.12885025252693197</v>
      </c>
      <c r="V252" s="105">
        <f>IF(Body9Actif=TRUE,((((($B252*$V$4)+'Calculs 3D'!$C$14-OffsetX)/Ecran)*'Calculs 3D'!$C$31)+(((($C252*$V$4)+'Calculs 3D'!$D$14-OffsetY)/Ecran)*'Calculs 3D'!$D$31)+(((($D252*$V$4)+'Calculs 3D'!$E$14-OffsetZ)/Ecran)*'Calculs 3D'!$E$31)),0)</f>
        <v>-0.17101481113163569</v>
      </c>
      <c r="W252" s="105">
        <f>IF(Body9Actif=TRUE,((((($B252*$V$4)+'Calculs 3D'!$C$14-OffsetX)/Ecran)*'Calculs 3D'!$C$32)+(((($C252*$V$4)+'Calculs 3D'!$D$14-OffsetY)/Ecran)*'Calculs 3D'!$D$32)+(((($D252*$V$4)+'Calculs 3D'!$E$14-OffsetZ)/Ecran)*'Calculs 3D'!$E$32)),0)</f>
        <v>0.29106056625577381</v>
      </c>
      <c r="X252" s="105">
        <f>IF(Body10Actif=TRUE,((((($B252*$X$4)+'Calculs 3D'!$C$15-OffsetX)/Ecran)*'Calculs 3D'!$C$31)+(((($C252*$X$4)+'Calculs 3D'!$D$15-OffsetY)/Ecran)*'Calculs 3D'!$D$31)+(((($D252*$X$4)+'Calculs 3D'!$E$15-OffsetZ)/Ecran)*'Calculs 3D'!$E$31)),0)</f>
        <v>-5.4135102827729265E-3</v>
      </c>
      <c r="Y252" s="105">
        <f>IF(Body10Actif=TRUE,((((($B252*$X$4)+'Calculs 3D'!$C$15-OffsetX)/Ecran)*'Calculs 3D'!$C$32)+(((($C252*$X$4)+'Calculs 3D'!$D$15-OffsetY)/Ecran)*'Calculs 3D'!$D$32)+(((($D252*$X$4)+'Calculs 3D'!$E$15-OffsetZ)/Ecran)*'Calculs 3D'!$E$32)),0)</f>
        <v>0.29614761245108578</v>
      </c>
    </row>
    <row r="253" spans="2:25" x14ac:dyDescent="0.3">
      <c r="B253" s="102">
        <v>0.70710678118654757</v>
      </c>
      <c r="C253" s="102">
        <v>0.70710678118654746</v>
      </c>
      <c r="D253" s="102">
        <v>6.1257422745431001E-17</v>
      </c>
      <c r="F253" s="105">
        <f>IF(Body1Actif=TRUE,((((($B253*$F$4)+'Calculs 3D'!$C$6-OffsetX)/Ecran)*'Calculs 3D'!$C$31)+(((($C253*$F$4)+'Calculs 3D'!$D$6-OffsetY)/Ecran)*'Calculs 3D'!$D$31)+(((($D253*$F$4)+'Calculs 3D'!$E$6-OffsetZ)/Ecran)*'Calculs 3D'!$E$31)),0)</f>
        <v>5.4309525052640341E-2</v>
      </c>
      <c r="G253" s="105">
        <f>IF(Body1Actif=TRUE,((((($B253*$F$4)+'Calculs 3D'!$C$6-OffsetX)/Ecran)*'Calculs 3D'!$C$32)+(((($C253*$F$4)+'Calculs 3D'!$D$6-OffsetY)/Ecran)*'Calculs 3D'!$D$32)+(((($D253*$F$4)+'Calculs 3D'!$E$6-OffsetZ)/Ecran)*'Calculs 3D'!$E$32)),0)</f>
        <v>0.26431991925993109</v>
      </c>
      <c r="H253" s="105">
        <f>IF(Body2Actif=TRUE,((((($B253*$H$4)+'Calculs 3D'!$C$7-OffsetX)/Ecran)*'Calculs 3D'!$C$31)+(((($C253*$H$4)+'Calculs 3D'!$D$7-OffsetY)/Ecran)*'Calculs 3D'!$D$31)+(((($D253*$H$4)+'Calculs 3D'!$E$7-OffsetZ)/Ecran)*'Calculs 3D'!$E$31)),0)</f>
        <v>3.9788626968050619E-2</v>
      </c>
      <c r="I253" s="105">
        <f>IF(Body2Actif=TRUE,((((($B253*$H$4)+'Calculs 3D'!$C$7-OffsetX)/Ecran)*'Calculs 3D'!$C$32)+(((($C253*$H$4)+'Calculs 3D'!$D$7-OffsetY)/Ecran)*'Calculs 3D'!$D$32)+(((($D253*$H$4)+'Calculs 3D'!$E$7-OffsetZ)/Ecran)*'Calculs 3D'!$E$32)),0)</f>
        <v>3.2100744119991399E-2</v>
      </c>
      <c r="J253" s="105">
        <f>IF(Body3Actif=TRUE,((((($B253*$J$4)+'Calculs 3D'!$C$8-OffsetX)/Ecran)*'Calculs 3D'!$C$31)+(((($C253*$J$4)+'Calculs 3D'!$D$8-OffsetY)/Ecran)*'Calculs 3D'!$D$31)+(((($D253*$J$4)+'Calculs 3D'!$E$8-OffsetZ)/Ecran)*'Calculs 3D'!$E$31)),0)</f>
        <v>0.2251221295700086</v>
      </c>
      <c r="K253" s="105">
        <f>IF(Body3Actif=TRUE,((((($B253*$J$4)+'Calculs 3D'!$C$8-OffsetX)/Ecran)*'Calculs 3D'!$C$32)+(((($C253*$J$4)+'Calculs 3D'!$D$8-OffsetY)/Ecran)*'Calculs 3D'!$D$32)+(((($D253*$J$4)+'Calculs 3D'!$E$8-OffsetZ)/Ecran)*'Calculs 3D'!$E$32)),0)</f>
        <v>-8.0075817633215293E-2</v>
      </c>
      <c r="L253" s="105">
        <f>IF(Body4Actif=TRUE,((((($B253*$L$4)+'Calculs 3D'!$C$9-OffsetX)/Ecran)*'Calculs 3D'!$C$31)+(((($C253*$L$4)+'Calculs 3D'!$D$9-OffsetY)/Ecran)*'Calculs 3D'!$D$31)+(((($D253*$L$4)+'Calculs 3D'!$E$9-OffsetZ)/Ecran)*'Calculs 3D'!$E$31)),0)</f>
        <v>-8.612337764252681E-2</v>
      </c>
      <c r="M253" s="105">
        <f>IF(Body4Actif=TRUE,((((($B253*$L$4)+'Calculs 3D'!$C$9-OffsetX)/Ecran)*'Calculs 3D'!$C$32)+(((($C253*$L$4)+'Calculs 3D'!$D$9-OffsetY)/Ecran)*'Calculs 3D'!$D$32)+(((($D253*$L$4)+'Calculs 3D'!$E$9-OffsetZ)/Ecran)*'Calculs 3D'!$E$32)),0)</f>
        <v>-0.17108073625872056</v>
      </c>
      <c r="N253" s="105">
        <f>IF(Body5Actif=TRUE,((((($B253*$N$4)+'Calculs 3D'!$C$10-OffsetX)/Ecran)*'Calculs 3D'!$C$31)+(((($C253*$N$4)+'Calculs 3D'!$D$10-OffsetY)/Ecran)*'Calculs 3D'!$D$31)+(((($D253*$N$4)+'Calculs 3D'!$E$10-OffsetZ)/Ecran)*'Calculs 3D'!$E$31)),0)</f>
        <v>1.0448090666918815E-2</v>
      </c>
      <c r="O253" s="105">
        <f>IF(Body5Actif=TRUE,((((($B253*$N$4)+'Calculs 3D'!$C$10-OffsetX)/Ecran)*'Calculs 3D'!$C$32)+(((($C253*$N$4)+'Calculs 3D'!$D$10-OffsetY)/Ecran)*'Calculs 3D'!$D$32)+(((($D253*$N$4)+'Calculs 3D'!$E$10-OffsetZ)/Ecran)*'Calculs 3D'!$E$32)),0)</f>
        <v>-4.0208615598276969E-3</v>
      </c>
      <c r="P253" s="105">
        <f>IF(Body6Actif=TRUE,((((($B253*$P$4)+'Calculs 3D'!$C$11-OffsetX)/Ecran)*'Calculs 3D'!$C$31)+(((($C253*$P$4)+'Calculs 3D'!$D$11-OffsetY)/Ecran)*'Calculs 3D'!$D$31)+(((($D253*$P$4)+'Calculs 3D'!$E$11-OffsetZ)/Ecran)*'Calculs 3D'!$E$31)),0)</f>
        <v>0.18457769490168208</v>
      </c>
      <c r="Q253" s="105">
        <f>IF(Body6Actif=TRUE,((((($B253*$P$4)+'Calculs 3D'!$C$11-OffsetX)/Ecran)*'Calculs 3D'!$C$32)+(((($C253*$P$4)+'Calculs 3D'!$D$11-OffsetY)/Ecran)*'Calculs 3D'!$D$32)+(((($D253*$P$4)+'Calculs 3D'!$E$11-OffsetZ)/Ecran)*'Calculs 3D'!$E$32)),0)</f>
        <v>0.1344453358675638</v>
      </c>
      <c r="R253" s="105">
        <f>IF(Body7Actif=TRUE,((((($B253*$R$4)+'Calculs 3D'!$C$12-OffsetX)/Ecran)*'Calculs 3D'!$C$31)+(((($C253*$R$4)+'Calculs 3D'!$D$12-OffsetY)/Ecran)*'Calculs 3D'!$D$31)+(((($D253*$R$4)+'Calculs 3D'!$E$12-OffsetZ)/Ecran)*'Calculs 3D'!$E$31)),0)</f>
        <v>-0.26677813838738407</v>
      </c>
      <c r="S253" s="105">
        <f>IF(Body7Actif=TRUE,((((($B253*$R$4)+'Calculs 3D'!$C$12-OffsetX)/Ecran)*'Calculs 3D'!$C$32)+(((($C253*$R$4)+'Calculs 3D'!$D$12-OffsetY)/Ecran)*'Calculs 3D'!$D$32)+(((($D253*$R$4)+'Calculs 3D'!$E$12-OffsetZ)/Ecran)*'Calculs 3D'!$E$32)),0)</f>
        <v>6.3739992931083331E-2</v>
      </c>
      <c r="T253" s="105">
        <f>IF(Body8Actif=TRUE,((((($B253*$T$4)+'Calculs 3D'!$C$13-OffsetX)/Ecran)*'Calculs 3D'!$C$31)+(((($C253*$T$4)+'Calculs 3D'!$D$13-OffsetY)/Ecran)*'Calculs 3D'!$D$31)+(((($D253*$T$4)+'Calculs 3D'!$E$13-OffsetZ)/Ecran)*'Calculs 3D'!$E$31)),0)</f>
        <v>0.17320571381818547</v>
      </c>
      <c r="U253" s="105">
        <f>IF(Body8Actif=TRUE,((((($B253*$T$4)+'Calculs 3D'!$C$13-OffsetX)/Ecran)*'Calculs 3D'!$C$32)+(((($C253*$T$4)+'Calculs 3D'!$D$13-OffsetY)/Ecran)*'Calculs 3D'!$D$32)+(((($D253*$T$4)+'Calculs 3D'!$E$13-OffsetZ)/Ecran)*'Calculs 3D'!$E$32)),0)</f>
        <v>-0.13006754879899238</v>
      </c>
      <c r="V253" s="105">
        <f>IF(Body9Actif=TRUE,((((($B253*$V$4)+'Calculs 3D'!$C$14-OffsetX)/Ecran)*'Calculs 3D'!$C$31)+(((($C253*$V$4)+'Calculs 3D'!$D$14-OffsetY)/Ecran)*'Calculs 3D'!$D$31)+(((($D253*$V$4)+'Calculs 3D'!$E$14-OffsetZ)/Ecran)*'Calculs 3D'!$E$31)),0)</f>
        <v>-0.1706728915539375</v>
      </c>
      <c r="W253" s="105">
        <f>IF(Body9Actif=TRUE,((((($B253*$V$4)+'Calculs 3D'!$C$14-OffsetX)/Ecran)*'Calculs 3D'!$C$32)+(((($C253*$V$4)+'Calculs 3D'!$D$14-OffsetY)/Ecran)*'Calculs 3D'!$D$32)+(((($D253*$V$4)+'Calculs 3D'!$E$14-OffsetZ)/Ecran)*'Calculs 3D'!$E$32)),0)</f>
        <v>0.28937154827338263</v>
      </c>
      <c r="X253" s="105">
        <f>IF(Body10Actif=TRUE,((((($B253*$X$4)+'Calculs 3D'!$C$15-OffsetX)/Ecran)*'Calculs 3D'!$C$31)+(((($C253*$X$4)+'Calculs 3D'!$D$15-OffsetY)/Ecran)*'Calculs 3D'!$D$31)+(((($D253*$X$4)+'Calculs 3D'!$E$15-OffsetZ)/Ecran)*'Calculs 3D'!$E$31)),0)</f>
        <v>-4.8973983756340767E-3</v>
      </c>
      <c r="Y253" s="105">
        <f>IF(Body10Actif=TRUE,((((($B253*$X$4)+'Calculs 3D'!$C$15-OffsetX)/Ecran)*'Calculs 3D'!$C$32)+(((($C253*$X$4)+'Calculs 3D'!$D$15-OffsetY)/Ecran)*'Calculs 3D'!$D$32)+(((($D253*$X$4)+'Calculs 3D'!$E$15-OffsetZ)/Ecran)*'Calculs 3D'!$E$32)),0)</f>
        <v>0.29359811733895402</v>
      </c>
    </row>
    <row r="254" spans="2:25" x14ac:dyDescent="0.3">
      <c r="B254" s="102">
        <v>0.67249851196395738</v>
      </c>
      <c r="C254" s="102">
        <v>0.67249851196395727</v>
      </c>
      <c r="D254" s="102">
        <v>-0.30901699437494734</v>
      </c>
      <c r="F254" s="105">
        <f>IF(Body1Actif=TRUE,((((($B254*$F$4)+'Calculs 3D'!$C$6-OffsetX)/Ecran)*'Calculs 3D'!$C$31)+(((($C254*$F$4)+'Calculs 3D'!$D$6-OffsetY)/Ecran)*'Calculs 3D'!$D$31)+(((($D254*$F$4)+'Calculs 3D'!$E$6-OffsetZ)/Ecran)*'Calculs 3D'!$E$31)),0)</f>
        <v>5.4126948737756704E-2</v>
      </c>
      <c r="G254" s="105">
        <f>IF(Body1Actif=TRUE,((((($B254*$F$4)+'Calculs 3D'!$C$6-OffsetX)/Ecran)*'Calculs 3D'!$C$32)+(((($C254*$F$4)+'Calculs 3D'!$D$6-OffsetY)/Ecran)*'Calculs 3D'!$D$32)+(((($D254*$F$4)+'Calculs 3D'!$E$6-OffsetZ)/Ecran)*'Calculs 3D'!$E$32)),0)</f>
        <v>0.26338242035888521</v>
      </c>
      <c r="H254" s="105">
        <f>IF(Body2Actif=TRUE,((((($B254*$H$4)+'Calculs 3D'!$C$7-OffsetX)/Ecran)*'Calculs 3D'!$C$31)+(((($C254*$H$4)+'Calculs 3D'!$D$7-OffsetY)/Ecran)*'Calculs 3D'!$D$31)+(((($D254*$H$4)+'Calculs 3D'!$E$7-OffsetZ)/Ecran)*'Calculs 3D'!$E$31)),0)</f>
        <v>3.9076967051462103E-2</v>
      </c>
      <c r="I254" s="105">
        <f>IF(Body2Actif=TRUE,((((($B254*$H$4)+'Calculs 3D'!$C$7-OffsetX)/Ecran)*'Calculs 3D'!$C$32)+(((($C254*$H$4)+'Calculs 3D'!$D$7-OffsetY)/Ecran)*'Calculs 3D'!$D$32)+(((($D254*$H$4)+'Calculs 3D'!$E$7-OffsetZ)/Ecran)*'Calculs 3D'!$E$32)),0)</f>
        <v>2.8446489239530186E-2</v>
      </c>
      <c r="J254" s="105">
        <f>IF(Body3Actif=TRUE,((((($B254*$J$4)+'Calculs 3D'!$C$8-OffsetX)/Ecran)*'Calculs 3D'!$C$31)+(((($C254*$J$4)+'Calculs 3D'!$D$8-OffsetY)/Ecran)*'Calculs 3D'!$D$31)+(((($D254*$J$4)+'Calculs 3D'!$E$8-OffsetZ)/Ecran)*'Calculs 3D'!$E$31)),0)</f>
        <v>0.22480585209452414</v>
      </c>
      <c r="K254" s="105">
        <f>IF(Body3Actif=TRUE,((((($B254*$J$4)+'Calculs 3D'!$C$8-OffsetX)/Ecran)*'Calculs 3D'!$C$32)+(((($C254*$J$4)+'Calculs 3D'!$D$8-OffsetY)/Ecran)*'Calculs 3D'!$D$32)+(((($D254*$J$4)+'Calculs 3D'!$E$8-OffsetZ)/Ecran)*'Calculs 3D'!$E$32)),0)</f>
        <v>-8.1699849676370395E-2</v>
      </c>
      <c r="L254" s="105">
        <f>IF(Body4Actif=TRUE,((((($B254*$L$4)+'Calculs 3D'!$C$9-OffsetX)/Ecran)*'Calculs 3D'!$C$31)+(((($C254*$L$4)+'Calculs 3D'!$D$9-OffsetY)/Ecran)*'Calculs 3D'!$D$31)+(((($D254*$L$4)+'Calculs 3D'!$E$9-OffsetZ)/Ecran)*'Calculs 3D'!$E$31)),0)</f>
        <v>-8.6534630900973145E-2</v>
      </c>
      <c r="M254" s="105">
        <f>IF(Body4Actif=TRUE,((((($B254*$L$4)+'Calculs 3D'!$C$9-OffsetX)/Ecran)*'Calculs 3D'!$C$32)+(((($C254*$L$4)+'Calculs 3D'!$D$9-OffsetY)/Ecran)*'Calculs 3D'!$D$32)+(((($D254*$L$4)+'Calculs 3D'!$E$9-OffsetZ)/Ecran)*'Calculs 3D'!$E$32)),0)</f>
        <v>-0.17319245309390099</v>
      </c>
      <c r="N254" s="105">
        <f>IF(Body5Actif=TRUE,((((($B254*$N$4)+'Calculs 3D'!$C$10-OffsetX)/Ecran)*'Calculs 3D'!$C$31)+(((($C254*$N$4)+'Calculs 3D'!$D$10-OffsetY)/Ecran)*'Calculs 3D'!$D$31)+(((($D254*$N$4)+'Calculs 3D'!$E$10-OffsetZ)/Ecran)*'Calculs 3D'!$E$31)),0)</f>
        <v>9.9786073182466413E-3</v>
      </c>
      <c r="O254" s="105">
        <f>IF(Body5Actif=TRUE,((((($B254*$N$4)+'Calculs 3D'!$C$10-OffsetX)/Ecran)*'Calculs 3D'!$C$32)+(((($C254*$N$4)+'Calculs 3D'!$D$10-OffsetY)/Ecran)*'Calculs 3D'!$D$32)+(((($D254*$N$4)+'Calculs 3D'!$E$10-OffsetZ)/Ecran)*'Calculs 3D'!$E$32)),0)</f>
        <v>-6.4315801884736318E-3</v>
      </c>
      <c r="P254" s="105">
        <f>IF(Body6Actif=TRUE,((((($B254*$P$4)+'Calculs 3D'!$C$11-OffsetX)/Ecran)*'Calculs 3D'!$C$31)+(((($C254*$P$4)+'Calculs 3D'!$D$11-OffsetY)/Ecran)*'Calculs 3D'!$D$31)+(((($D254*$P$4)+'Calculs 3D'!$E$11-OffsetZ)/Ecran)*'Calculs 3D'!$E$31)),0)</f>
        <v>0.18389733337970404</v>
      </c>
      <c r="Q254" s="105">
        <f>IF(Body6Actif=TRUE,((((($B254*$P$4)+'Calculs 3D'!$C$11-OffsetX)/Ecran)*'Calculs 3D'!$C$32)+(((($C254*$P$4)+'Calculs 3D'!$D$11-OffsetY)/Ecran)*'Calculs 3D'!$D$32)+(((($D254*$P$4)+'Calculs 3D'!$E$11-OffsetZ)/Ecran)*'Calculs 3D'!$E$32)),0)</f>
        <v>0.13095179301905774</v>
      </c>
      <c r="R254" s="105">
        <f>IF(Body7Actif=TRUE,((((($B254*$R$4)+'Calculs 3D'!$C$12-OffsetX)/Ecran)*'Calculs 3D'!$C$31)+(((($C254*$R$4)+'Calculs 3D'!$D$12-OffsetY)/Ecran)*'Calculs 3D'!$D$31)+(((($D254*$R$4)+'Calculs 3D'!$E$12-OffsetZ)/Ecran)*'Calculs 3D'!$E$31)),0)</f>
        <v>-0.26746140063415158</v>
      </c>
      <c r="S254" s="105">
        <f>IF(Body7Actif=TRUE,((((($B254*$R$4)+'Calculs 3D'!$C$12-OffsetX)/Ecran)*'Calculs 3D'!$C$32)+(((($C254*$R$4)+'Calculs 3D'!$D$12-OffsetY)/Ecran)*'Calculs 3D'!$D$32)+(((($D254*$R$4)+'Calculs 3D'!$E$12-OffsetZ)/Ecran)*'Calculs 3D'!$E$32)),0)</f>
        <v>6.0231555344976415E-2</v>
      </c>
      <c r="T254" s="105">
        <f>IF(Body8Actif=TRUE,((((($B254*$T$4)+'Calculs 3D'!$C$13-OffsetX)/Ecran)*'Calculs 3D'!$C$31)+(((($C254*$T$4)+'Calculs 3D'!$D$13-OffsetY)/Ecran)*'Calculs 3D'!$D$31)+(((($D254*$T$4)+'Calculs 3D'!$E$13-OffsetZ)/Ecran)*'Calculs 3D'!$E$31)),0)</f>
        <v>0.17295928812490347</v>
      </c>
      <c r="U254" s="105">
        <f>IF(Body8Actif=TRUE,((((($B254*$T$4)+'Calculs 3D'!$C$13-OffsetX)/Ecran)*'Calculs 3D'!$C$32)+(((($C254*$T$4)+'Calculs 3D'!$D$13-OffsetY)/Ecran)*'Calculs 3D'!$D$32)+(((($D254*$T$4)+'Calculs 3D'!$E$13-OffsetZ)/Ecran)*'Calculs 3D'!$E$32)),0)</f>
        <v>-0.1313329036002906</v>
      </c>
      <c r="V254" s="105">
        <f>IF(Body9Actif=TRUE,((((($B254*$V$4)+'Calculs 3D'!$C$14-OffsetX)/Ecran)*'Calculs 3D'!$C$31)+(((($C254*$V$4)+'Calculs 3D'!$D$14-OffsetY)/Ecran)*'Calculs 3D'!$D$31)+(((($D254*$V$4)+'Calculs 3D'!$E$14-OffsetZ)/Ecran)*'Calculs 3D'!$E$31)),0)</f>
        <v>-0.17101481113163569</v>
      </c>
      <c r="W254" s="105">
        <f>IF(Body9Actif=TRUE,((((($B254*$V$4)+'Calculs 3D'!$C$14-OffsetX)/Ecran)*'Calculs 3D'!$C$32)+(((($C254*$V$4)+'Calculs 3D'!$D$14-OffsetY)/Ecran)*'Calculs 3D'!$D$32)+(((($D254*$V$4)+'Calculs 3D'!$E$14-OffsetZ)/Ecran)*'Calculs 3D'!$E$32)),0)</f>
        <v>0.28761584831557346</v>
      </c>
      <c r="X254" s="105">
        <f>IF(Body10Actif=TRUE,((((($B254*$X$4)+'Calculs 3D'!$C$15-OffsetX)/Ecran)*'Calculs 3D'!$C$31)+(((($C254*$X$4)+'Calculs 3D'!$D$15-OffsetY)/Ecran)*'Calculs 3D'!$D$31)+(((($D254*$X$4)+'Calculs 3D'!$E$15-OffsetZ)/Ecran)*'Calculs 3D'!$E$31)),0)</f>
        <v>-5.4135102827729265E-3</v>
      </c>
      <c r="Y254" s="105">
        <f>IF(Body10Actif=TRUE,((((($B254*$X$4)+'Calculs 3D'!$C$15-OffsetX)/Ecran)*'Calculs 3D'!$C$32)+(((($C254*$X$4)+'Calculs 3D'!$D$15-OffsetY)/Ecran)*'Calculs 3D'!$D$32)+(((($D254*$X$4)+'Calculs 3D'!$E$15-OffsetZ)/Ecran)*'Calculs 3D'!$E$32)),0)</f>
        <v>0.2909479688458827</v>
      </c>
    </row>
    <row r="255" spans="2:25" x14ac:dyDescent="0.3">
      <c r="B255" s="102">
        <v>0.57206140281768436</v>
      </c>
      <c r="C255" s="102">
        <v>0.57206140281768425</v>
      </c>
      <c r="D255" s="102">
        <v>-0.58778525229247303</v>
      </c>
      <c r="F255" s="105">
        <f>IF(Body1Actif=TRUE,((((($B255*$F$4)+'Calculs 3D'!$C$6-OffsetX)/Ecran)*'Calculs 3D'!$C$31)+(((($C255*$F$4)+'Calculs 3D'!$D$6-OffsetY)/Ecran)*'Calculs 3D'!$D$31)+(((($D255*$F$4)+'Calculs 3D'!$E$6-OffsetZ)/Ecran)*'Calculs 3D'!$E$31)),0)</f>
        <v>5.3597091634890612E-2</v>
      </c>
      <c r="G255" s="105">
        <f>IF(Body1Actif=TRUE,((((($B255*$F$4)+'Calculs 3D'!$C$6-OffsetX)/Ecran)*'Calculs 3D'!$C$32)+(((($C255*$F$4)+'Calculs 3D'!$D$6-OffsetY)/Ecran)*'Calculs 3D'!$D$32)+(((($D255*$F$4)+'Calculs 3D'!$E$6-OffsetZ)/Ecran)*'Calculs 3D'!$E$32)),0)</f>
        <v>0.26250108391175864</v>
      </c>
      <c r="H255" s="105">
        <f>IF(Body2Actif=TRUE,((((($B255*$H$4)+'Calculs 3D'!$C$7-OffsetX)/Ecran)*'Calculs 3D'!$C$31)+(((($C255*$H$4)+'Calculs 3D'!$D$7-OffsetY)/Ecran)*'Calculs 3D'!$D$31)+(((($D255*$H$4)+'Calculs 3D'!$E$7-OffsetZ)/Ecran)*'Calculs 3D'!$E$31)),0)</f>
        <v>3.7011649532758407E-2</v>
      </c>
      <c r="I255" s="105">
        <f>IF(Body2Actif=TRUE,((((($B255*$H$4)+'Calculs 3D'!$C$7-OffsetX)/Ecran)*'Calculs 3D'!$C$32)+(((($C255*$H$4)+'Calculs 3D'!$D$7-OffsetY)/Ecran)*'Calculs 3D'!$D$32)+(((($D255*$H$4)+'Calculs 3D'!$E$7-OffsetZ)/Ecran)*'Calculs 3D'!$E$32)),0)</f>
        <v>2.5011148665106127E-2</v>
      </c>
      <c r="J255" s="105">
        <f>IF(Body3Actif=TRUE,((((($B255*$J$4)+'Calculs 3D'!$C$8-OffsetX)/Ecran)*'Calculs 3D'!$C$31)+(((($C255*$J$4)+'Calculs 3D'!$D$8-OffsetY)/Ecran)*'Calculs 3D'!$D$31)+(((($D255*$J$4)+'Calculs 3D'!$E$8-OffsetZ)/Ecran)*'Calculs 3D'!$E$31)),0)</f>
        <v>0.22388797911100608</v>
      </c>
      <c r="K255" s="105">
        <f>IF(Body3Actif=TRUE,((((($B255*$J$4)+'Calculs 3D'!$C$8-OffsetX)/Ecran)*'Calculs 3D'!$C$32)+(((($C255*$J$4)+'Calculs 3D'!$D$8-OffsetY)/Ecran)*'Calculs 3D'!$D$32)+(((($D255*$J$4)+'Calculs 3D'!$E$8-OffsetZ)/Ecran)*'Calculs 3D'!$E$32)),0)</f>
        <v>-8.3226591339040479E-2</v>
      </c>
      <c r="L255" s="105">
        <f>IF(Body4Actif=TRUE,((((($B255*$L$4)+'Calculs 3D'!$C$9-OffsetX)/Ecran)*'Calculs 3D'!$C$31)+(((($C255*$L$4)+'Calculs 3D'!$D$9-OffsetY)/Ecran)*'Calculs 3D'!$D$31)+(((($D255*$L$4)+'Calculs 3D'!$E$9-OffsetZ)/Ecran)*'Calculs 3D'!$E$31)),0)</f>
        <v>-8.7728134342005479E-2</v>
      </c>
      <c r="M255" s="105">
        <f>IF(Body4Actif=TRUE,((((($B255*$L$4)+'Calculs 3D'!$C$9-OffsetX)/Ecran)*'Calculs 3D'!$C$32)+(((($C255*$L$4)+'Calculs 3D'!$D$9-OffsetY)/Ecran)*'Calculs 3D'!$D$32)+(((($D255*$L$4)+'Calculs 3D'!$E$9-OffsetZ)/Ecran)*'Calculs 3D'!$E$32)),0)</f>
        <v>-0.17517766396804618</v>
      </c>
      <c r="N255" s="105">
        <f>IF(Body5Actif=TRUE,((((($B255*$N$4)+'Calculs 3D'!$C$10-OffsetX)/Ecran)*'Calculs 3D'!$C$31)+(((($C255*$N$4)+'Calculs 3D'!$D$10-OffsetY)/Ecran)*'Calculs 3D'!$D$31)+(((($D255*$N$4)+'Calculs 3D'!$E$10-OffsetZ)/Ecran)*'Calculs 3D'!$E$31)),0)</f>
        <v>8.6161135734809831E-3</v>
      </c>
      <c r="O255" s="105">
        <f>IF(Body5Actif=TRUE,((((($B255*$N$4)+'Calculs 3D'!$C$10-OffsetX)/Ecran)*'Calculs 3D'!$C$32)+(((($C255*$N$4)+'Calculs 3D'!$D$10-OffsetY)/Ecran)*'Calculs 3D'!$D$32)+(((($D255*$N$4)+'Calculs 3D'!$E$10-OffsetZ)/Ecran)*'Calculs 3D'!$E$32)),0)</f>
        <v>-8.6978806490102117E-3</v>
      </c>
      <c r="P255" s="105">
        <f>IF(Body6Actif=TRUE,((((($B255*$P$4)+'Calculs 3D'!$C$11-OffsetX)/Ecran)*'Calculs 3D'!$C$31)+(((($C255*$P$4)+'Calculs 3D'!$D$11-OffsetY)/Ecran)*'Calculs 3D'!$D$31)+(((($D255*$P$4)+'Calculs 3D'!$E$11-OffsetZ)/Ecran)*'Calculs 3D'!$E$31)),0)</f>
        <v>0.18192284733989861</v>
      </c>
      <c r="Q255" s="105">
        <f>IF(Body6Actif=TRUE,((((($B255*$P$4)+'Calculs 3D'!$C$11-OffsetX)/Ecran)*'Calculs 3D'!$C$32)+(((($C255*$P$4)+'Calculs 3D'!$D$11-OffsetY)/Ecran)*'Calculs 3D'!$D$32)+(((($D255*$P$4)+'Calculs 3D'!$E$11-OffsetZ)/Ecran)*'Calculs 3D'!$E$32)),0)</f>
        <v>0.12766753675107481</v>
      </c>
      <c r="R255" s="105">
        <f>IF(Body7Actif=TRUE,((((($B255*$R$4)+'Calculs 3D'!$C$12-OffsetX)/Ecran)*'Calculs 3D'!$C$31)+(((($C255*$R$4)+'Calculs 3D'!$D$12-OffsetY)/Ecran)*'Calculs 3D'!$D$31)+(((($D255*$R$4)+'Calculs 3D'!$E$12-OffsetZ)/Ecran)*'Calculs 3D'!$E$31)),0)</f>
        <v>-0.26944430490517229</v>
      </c>
      <c r="S255" s="105">
        <f>IF(Body7Actif=TRUE,((((($B255*$R$4)+'Calculs 3D'!$C$12-OffsetX)/Ecran)*'Calculs 3D'!$C$32)+(((($C255*$R$4)+'Calculs 3D'!$D$12-OffsetY)/Ecran)*'Calculs 3D'!$D$32)+(((($D255*$R$4)+'Calculs 3D'!$E$12-OffsetZ)/Ecran)*'Calculs 3D'!$E$32)),0)</f>
        <v>5.6933296633787073E-2</v>
      </c>
      <c r="T255" s="105">
        <f>IF(Body8Actif=TRUE,((((($B255*$T$4)+'Calculs 3D'!$C$13-OffsetX)/Ecran)*'Calculs 3D'!$C$31)+(((($C255*$T$4)+'Calculs 3D'!$D$13-OffsetY)/Ecran)*'Calculs 3D'!$D$31)+(((($D255*$T$4)+'Calculs 3D'!$E$13-OffsetZ)/Ecran)*'Calculs 3D'!$E$31)),0)</f>
        <v>0.1722441329088647</v>
      </c>
      <c r="U255" s="105">
        <f>IF(Body8Actif=TRUE,((((($B255*$T$4)+'Calculs 3D'!$C$13-OffsetX)/Ecran)*'Calculs 3D'!$C$32)+(((($C255*$T$4)+'Calculs 3D'!$D$13-OffsetY)/Ecran)*'Calculs 3D'!$D$32)+(((($D255*$T$4)+'Calculs 3D'!$E$13-OffsetZ)/Ecran)*'Calculs 3D'!$E$32)),0)</f>
        <v>-0.13252245518663025</v>
      </c>
      <c r="V255" s="105">
        <f>IF(Body9Actif=TRUE,((((($B255*$V$4)+'Calculs 3D'!$C$14-OffsetX)/Ecran)*'Calculs 3D'!$C$31)+(((($C255*$V$4)+'Calculs 3D'!$D$14-OffsetY)/Ecran)*'Calculs 3D'!$D$31)+(((($D255*$V$4)+'Calculs 3D'!$E$14-OffsetZ)/Ecran)*'Calculs 3D'!$E$31)),0)</f>
        <v>-0.17200710039417144</v>
      </c>
      <c r="W255" s="105">
        <f>IF(Body9Actif=TRUE,((((($B255*$V$4)+'Calculs 3D'!$C$14-OffsetX)/Ecran)*'Calculs 3D'!$C$32)+(((($C255*$V$4)+'Calculs 3D'!$D$14-OffsetY)/Ecran)*'Calculs 3D'!$D$32)+(((($D255*$V$4)+'Calculs 3D'!$E$14-OffsetZ)/Ecran)*'Calculs 3D'!$E$32)),0)</f>
        <v>0.28596532652689766</v>
      </c>
      <c r="X255" s="105">
        <f>IF(Body10Actif=TRUE,((((($B255*$X$4)+'Calculs 3D'!$C$15-OffsetX)/Ecran)*'Calculs 3D'!$C$31)+(((($C255*$X$4)+'Calculs 3D'!$D$15-OffsetY)/Ecran)*'Calculs 3D'!$D$31)+(((($D255*$X$4)+'Calculs 3D'!$E$15-OffsetZ)/Ecran)*'Calculs 3D'!$E$31)),0)</f>
        <v>-6.9113253747556669E-3</v>
      </c>
      <c r="Y255" s="105">
        <f>IF(Body10Actif=TRUE,((((($B255*$X$4)+'Calculs 3D'!$C$15-OffsetX)/Ecran)*'Calculs 3D'!$C$32)+(((($C255*$X$4)+'Calculs 3D'!$D$15-OffsetY)/Ecran)*'Calculs 3D'!$D$32)+(((($D255*$X$4)+'Calculs 3D'!$E$15-OffsetZ)/Ecran)*'Calculs 3D'!$E$32)),0)</f>
        <v>0.2884565819710439</v>
      </c>
    </row>
    <row r="256" spans="2:25" x14ac:dyDescent="0.3">
      <c r="B256" s="102">
        <v>0.41562693777745352</v>
      </c>
      <c r="C256" s="102">
        <v>0.41562693777745346</v>
      </c>
      <c r="D256" s="102">
        <v>-0.80901699437494734</v>
      </c>
      <c r="F256" s="105">
        <f>IF(Body1Actif=TRUE,((((($B256*$F$4)+'Calculs 3D'!$C$6-OffsetX)/Ecran)*'Calculs 3D'!$C$31)+(((($C256*$F$4)+'Calculs 3D'!$D$6-OffsetY)/Ecran)*'Calculs 3D'!$D$31)+(((($D256*$F$4)+'Calculs 3D'!$E$6-OffsetZ)/Ecran)*'Calculs 3D'!$E$31)),0)</f>
        <v>5.2771819849002109E-2</v>
      </c>
      <c r="G256" s="105">
        <f>IF(Body1Actif=TRUE,((((($B256*$F$4)+'Calculs 3D'!$C$6-OffsetX)/Ecran)*'Calculs 3D'!$C$32)+(((($C256*$F$4)+'Calculs 3D'!$D$6-OffsetY)/Ecran)*'Calculs 3D'!$D$32)+(((($D256*$F$4)+'Calculs 3D'!$E$6-OffsetZ)/Ecran)*'Calculs 3D'!$E$32)),0)</f>
        <v>0.26176218127062811</v>
      </c>
      <c r="H256" s="105">
        <f>IF(Body2Actif=TRUE,((((($B256*$H$4)+'Calculs 3D'!$C$7-OffsetX)/Ecran)*'Calculs 3D'!$C$31)+(((($C256*$H$4)+'Calculs 3D'!$D$7-OffsetY)/Ecran)*'Calculs 3D'!$D$31)+(((($D256*$H$4)+'Calculs 3D'!$E$7-OffsetZ)/Ecran)*'Calculs 3D'!$E$31)),0)</f>
        <v>3.379484208058358E-2</v>
      </c>
      <c r="I256" s="105">
        <f>IF(Body2Actif=TRUE,((((($B256*$H$4)+'Calculs 3D'!$C$7-OffsetX)/Ecran)*'Calculs 3D'!$C$32)+(((($C256*$H$4)+'Calculs 3D'!$D$7-OffsetY)/Ecran)*'Calculs 3D'!$D$32)+(((($D256*$H$4)+'Calculs 3D'!$E$7-OffsetZ)/Ecran)*'Calculs 3D'!$E$32)),0)</f>
        <v>2.2130997467569073E-2</v>
      </c>
      <c r="J256" s="105">
        <f>IF(Body3Actif=TRUE,((((($B256*$J$4)+'Calculs 3D'!$C$8-OffsetX)/Ecran)*'Calculs 3D'!$C$31)+(((($C256*$J$4)+'Calculs 3D'!$D$8-OffsetY)/Ecran)*'Calculs 3D'!$D$31)+(((($D256*$J$4)+'Calculs 3D'!$E$8-OffsetZ)/Ecran)*'Calculs 3D'!$E$31)),0)</f>
        <v>0.22245835842227824</v>
      </c>
      <c r="K256" s="105">
        <f>IF(Body3Actif=TRUE,((((($B256*$J$4)+'Calculs 3D'!$C$8-OffsetX)/Ecran)*'Calculs 3D'!$C$32)+(((($C256*$J$4)+'Calculs 3D'!$D$8-OffsetY)/Ecran)*'Calculs 3D'!$D$32)+(((($D256*$J$4)+'Calculs 3D'!$E$8-OffsetZ)/Ecran)*'Calculs 3D'!$E$32)),0)</f>
        <v>-8.4506594509848709E-2</v>
      </c>
      <c r="L256" s="105">
        <f>IF(Body4Actif=TRUE,((((($B256*$L$4)+'Calculs 3D'!$C$9-OffsetX)/Ecran)*'Calculs 3D'!$C$31)+(((($C256*$L$4)+'Calculs 3D'!$D$9-OffsetY)/Ecran)*'Calculs 3D'!$D$31)+(((($D256*$L$4)+'Calculs 3D'!$E$9-OffsetZ)/Ecran)*'Calculs 3D'!$E$31)),0)</f>
        <v>-8.9587059533188129E-2</v>
      </c>
      <c r="M256" s="105">
        <f>IF(Body4Actif=TRUE,((((($B256*$L$4)+'Calculs 3D'!$C$9-OffsetX)/Ecran)*'Calculs 3D'!$C$32)+(((($C256*$L$4)+'Calculs 3D'!$D$9-OffsetY)/Ecran)*'Calculs 3D'!$D$32)+(((($D256*$L$4)+'Calculs 3D'!$E$9-OffsetZ)/Ecran)*'Calculs 3D'!$E$32)),0)</f>
        <v>-0.17684204260901729</v>
      </c>
      <c r="N256" s="105">
        <f>IF(Body5Actif=TRUE,((((($B256*$N$4)+'Calculs 3D'!$C$10-OffsetX)/Ecran)*'Calculs 3D'!$C$31)+(((($C256*$N$4)+'Calculs 3D'!$D$10-OffsetY)/Ecran)*'Calculs 3D'!$D$31)+(((($D256*$N$4)+'Calculs 3D'!$E$10-OffsetZ)/Ecran)*'Calculs 3D'!$E$31)),0)</f>
        <v>6.4939798134116336E-3</v>
      </c>
      <c r="O256" s="105">
        <f>IF(Body5Actif=TRUE,((((($B256*$N$4)+'Calculs 3D'!$C$10-OffsetX)/Ecran)*'Calculs 3D'!$C$32)+(((($C256*$N$4)+'Calculs 3D'!$D$10-OffsetY)/Ecran)*'Calculs 3D'!$D$32)+(((($D256*$N$4)+'Calculs 3D'!$E$10-OffsetZ)/Ecran)*'Calculs 3D'!$E$32)),0)</f>
        <v>-1.059792166211632E-2</v>
      </c>
      <c r="P256" s="105">
        <f>IF(Body6Actif=TRUE,((((($B256*$P$4)+'Calculs 3D'!$C$11-OffsetX)/Ecran)*'Calculs 3D'!$C$31)+(((($C256*$P$4)+'Calculs 3D'!$D$11-OffsetY)/Ecran)*'Calculs 3D'!$D$31)+(((($D256*$P$4)+'Calculs 3D'!$E$11-OffsetZ)/Ecran)*'Calculs 3D'!$E$31)),0)</f>
        <v>0.17884751323289508</v>
      </c>
      <c r="Q256" s="105">
        <f>IF(Body6Actif=TRUE,((((($B256*$P$4)+'Calculs 3D'!$C$11-OffsetX)/Ecran)*'Calculs 3D'!$C$32)+(((($C256*$P$4)+'Calculs 3D'!$D$11-OffsetY)/Ecran)*'Calculs 3D'!$D$32)+(((($D256*$P$4)+'Calculs 3D'!$E$11-OffsetZ)/Ecran)*'Calculs 3D'!$E$32)),0)</f>
        <v>0.12491405294988417</v>
      </c>
      <c r="R256" s="105">
        <f>IF(Body7Actif=TRUE,((((($B256*$R$4)+'Calculs 3D'!$C$12-OffsetX)/Ecran)*'Calculs 3D'!$C$31)+(((($C256*$R$4)+'Calculs 3D'!$D$12-OffsetY)/Ecran)*'Calculs 3D'!$D$31)+(((($D256*$R$4)+'Calculs 3D'!$E$12-OffsetZ)/Ecran)*'Calculs 3D'!$E$31)),0)</f>
        <v>-0.27253275071469241</v>
      </c>
      <c r="S256" s="105">
        <f>IF(Body7Actif=TRUE,((((($B256*$R$4)+'Calculs 3D'!$C$12-OffsetX)/Ecran)*'Calculs 3D'!$C$32)+(((($C256*$R$4)+'Calculs 3D'!$D$12-OffsetY)/Ecran)*'Calculs 3D'!$D$32)+(((($D256*$R$4)+'Calculs 3D'!$E$12-OffsetZ)/Ecran)*'Calculs 3D'!$E$32)),0)</f>
        <v>5.4168073340486206E-2</v>
      </c>
      <c r="T256" s="105">
        <f>IF(Body8Actif=TRUE,((((($B256*$T$4)+'Calculs 3D'!$C$13-OffsetX)/Ecran)*'Calculs 3D'!$C$31)+(((($C256*$T$4)+'Calculs 3D'!$D$13-OffsetY)/Ecran)*'Calculs 3D'!$D$31)+(((($D256*$T$4)+'Calculs 3D'!$E$13-OffsetZ)/Ecran)*'Calculs 3D'!$E$31)),0)</f>
        <v>0.17113025254539438</v>
      </c>
      <c r="U256" s="105">
        <f>IF(Body8Actif=TRUE,((((($B256*$T$4)+'Calculs 3D'!$C$13-OffsetX)/Ecran)*'Calculs 3D'!$C$32)+(((($C256*$T$4)+'Calculs 3D'!$D$13-OffsetY)/Ecran)*'Calculs 3D'!$D$32)+(((($D256*$T$4)+'Calculs 3D'!$E$13-OffsetZ)/Ecran)*'Calculs 3D'!$E$32)),0)</f>
        <v>-0.13351976196064719</v>
      </c>
      <c r="V256" s="105">
        <f>IF(Body9Actif=TRUE,((((($B256*$V$4)+'Calculs 3D'!$C$14-OffsetX)/Ecran)*'Calculs 3D'!$C$31)+(((($C256*$V$4)+'Calculs 3D'!$D$14-OffsetY)/Ecran)*'Calculs 3D'!$D$31)+(((($D256*$V$4)+'Calculs 3D'!$E$14-OffsetZ)/Ecran)*'Calculs 3D'!$E$31)),0)</f>
        <v>-0.17355262715484193</v>
      </c>
      <c r="W256" s="105">
        <f>IF(Body9Actif=TRUE,((((($B256*$V$4)+'Calculs 3D'!$C$14-OffsetX)/Ecran)*'Calculs 3D'!$C$32)+(((($C256*$V$4)+'Calculs 3D'!$D$14-OffsetY)/Ecran)*'Calculs 3D'!$D$32)+(((($D256*$V$4)+'Calculs 3D'!$E$14-OffsetZ)/Ecran)*'Calculs 3D'!$E$32)),0)</f>
        <v>0.28458154747989217</v>
      </c>
      <c r="X256" s="105">
        <f>IF(Body10Actif=TRUE,((((($B256*$X$4)+'Calculs 3D'!$C$15-OffsetX)/Ecran)*'Calculs 3D'!$C$31)+(((($C256*$X$4)+'Calculs 3D'!$D$15-OffsetY)/Ecran)*'Calculs 3D'!$D$31)+(((($D256*$X$4)+'Calculs 3D'!$E$15-OffsetZ)/Ecran)*'Calculs 3D'!$E$31)),0)</f>
        <v>-9.2442270744875765E-3</v>
      </c>
      <c r="Y256" s="105">
        <f>IF(Body10Actif=TRUE,((((($B256*$X$4)+'Calculs 3D'!$C$15-OffsetX)/Ecran)*'Calculs 3D'!$C$32)+(((($C256*$X$4)+'Calculs 3D'!$D$15-OffsetY)/Ecran)*'Calculs 3D'!$D$32)+(((($D256*$X$4)+'Calculs 3D'!$E$15-OffsetZ)/Ecran)*'Calculs 3D'!$E$32)),0)</f>
        <v>0.28636783102025992</v>
      </c>
    </row>
    <row r="257" spans="2:25" x14ac:dyDescent="0.3">
      <c r="B257" s="102">
        <v>0.2185080122244106</v>
      </c>
      <c r="C257" s="102">
        <v>0.21850801222441057</v>
      </c>
      <c r="D257" s="102">
        <v>-0.95105651629515353</v>
      </c>
      <c r="F257" s="105">
        <f>IF(Body1Actif=TRUE,((((($B257*$F$4)+'Calculs 3D'!$C$6-OffsetX)/Ecran)*'Calculs 3D'!$C$31)+(((($C257*$F$4)+'Calculs 3D'!$D$6-OffsetY)/Ecran)*'Calculs 3D'!$D$31)+(((($D257*$F$4)+'Calculs 3D'!$E$6-OffsetZ)/Ecran)*'Calculs 3D'!$E$31)),0)</f>
        <v>5.1731916732500584E-2</v>
      </c>
      <c r="G257" s="105">
        <f>IF(Body1Actif=TRUE,((((($B257*$F$4)+'Calculs 3D'!$C$6-OffsetX)/Ecran)*'Calculs 3D'!$C$32)+(((($C257*$F$4)+'Calculs 3D'!$D$6-OffsetY)/Ecran)*'Calculs 3D'!$D$32)+(((($D257*$F$4)+'Calculs 3D'!$E$6-OffsetZ)/Ecran)*'Calculs 3D'!$E$32)),0)</f>
        <v>0.26123804137424494</v>
      </c>
      <c r="H257" s="105">
        <f>IF(Body2Actif=TRUE,((((($B257*$H$4)+'Calculs 3D'!$C$7-OffsetX)/Ecran)*'Calculs 3D'!$C$31)+(((($C257*$H$4)+'Calculs 3D'!$D$7-OffsetY)/Ecran)*'Calculs 3D'!$D$31)+(((($D257*$H$4)+'Calculs 3D'!$E$7-OffsetZ)/Ecran)*'Calculs 3D'!$E$31)),0)</f>
        <v>2.9741428221171901E-2</v>
      </c>
      <c r="I257" s="105">
        <f>IF(Body2Actif=TRUE,((((($B257*$H$4)+'Calculs 3D'!$C$7-OffsetX)/Ecran)*'Calculs 3D'!$C$32)+(((($C257*$H$4)+'Calculs 3D'!$D$7-OffsetY)/Ecran)*'Calculs 3D'!$D$32)+(((($D257*$H$4)+'Calculs 3D'!$E$7-OffsetZ)/Ecran)*'Calculs 3D'!$E$32)),0)</f>
        <v>2.008796491332733E-2</v>
      </c>
      <c r="J257" s="105">
        <f>IF(Body3Actif=TRUE,((((($B257*$J$4)+'Calculs 3D'!$C$8-OffsetX)/Ecran)*'Calculs 3D'!$C$31)+(((($C257*$J$4)+'Calculs 3D'!$D$8-OffsetY)/Ecran)*'Calculs 3D'!$D$31)+(((($D257*$J$4)+'Calculs 3D'!$E$8-OffsetZ)/Ecran)*'Calculs 3D'!$E$31)),0)</f>
        <v>0.22065693126210631</v>
      </c>
      <c r="K257" s="105">
        <f>IF(Body3Actif=TRUE,((((($B257*$J$4)+'Calculs 3D'!$C$8-OffsetX)/Ecran)*'Calculs 3D'!$C$32)+(((($C257*$J$4)+'Calculs 3D'!$D$8-OffsetY)/Ecran)*'Calculs 3D'!$D$32)+(((($D257*$J$4)+'Calculs 3D'!$E$8-OffsetZ)/Ecran)*'Calculs 3D'!$E$32)),0)</f>
        <v>-8.5414563560129858E-2</v>
      </c>
      <c r="L257" s="105">
        <f>IF(Body4Actif=TRUE,((((($B257*$L$4)+'Calculs 3D'!$C$9-OffsetX)/Ecran)*'Calculs 3D'!$C$31)+(((($C257*$L$4)+'Calculs 3D'!$D$9-OffsetY)/Ecran)*'Calculs 3D'!$D$31)+(((($D257*$L$4)+'Calculs 3D'!$E$9-OffsetZ)/Ecran)*'Calculs 3D'!$E$31)),0)</f>
        <v>-9.1929441924914757E-2</v>
      </c>
      <c r="M257" s="105">
        <f>IF(Body4Actif=TRUE,((((($B257*$L$4)+'Calculs 3D'!$C$9-OffsetX)/Ecran)*'Calculs 3D'!$C$32)+(((($C257*$L$4)+'Calculs 3D'!$D$9-OffsetY)/Ecran)*'Calculs 3D'!$D$32)+(((($D257*$L$4)+'Calculs 3D'!$E$9-OffsetZ)/Ecran)*'Calculs 3D'!$E$32)),0)</f>
        <v>-0.17802266803902822</v>
      </c>
      <c r="N257" s="105">
        <f>IF(Body5Actif=TRUE,((((($B257*$N$4)+'Calculs 3D'!$C$10-OffsetX)/Ecran)*'Calculs 3D'!$C$31)+(((($C257*$N$4)+'Calculs 3D'!$D$10-OffsetY)/Ecran)*'Calculs 3D'!$D$31)+(((($D257*$N$4)+'Calculs 3D'!$E$10-OffsetZ)/Ecran)*'Calculs 3D'!$E$31)),0)</f>
        <v>3.8199352762495059E-3</v>
      </c>
      <c r="O257" s="105">
        <f>IF(Body5Actif=TRUE,((((($B257*$N$4)+'Calculs 3D'!$C$10-OffsetX)/Ecran)*'Calculs 3D'!$C$32)+(((($C257*$N$4)+'Calculs 3D'!$D$10-OffsetY)/Ecran)*'Calculs 3D'!$D$32)+(((($D257*$N$4)+'Calculs 3D'!$E$10-OffsetZ)/Ecran)*'Calculs 3D'!$E$32)),0)</f>
        <v>-1.1945713975064959E-2</v>
      </c>
      <c r="P257" s="105">
        <f>IF(Body6Actif=TRUE,((((($B257*$P$4)+'Calculs 3D'!$C$11-OffsetX)/Ecran)*'Calculs 3D'!$C$31)+(((($C257*$P$4)+'Calculs 3D'!$D$11-OffsetY)/Ecran)*'Calculs 3D'!$D$31)+(((($D257*$P$4)+'Calculs 3D'!$E$11-OffsetZ)/Ecran)*'Calculs 3D'!$E$31)),0)</f>
        <v>0.17497236618819967</v>
      </c>
      <c r="Q257" s="105">
        <f>IF(Body6Actif=TRUE,((((($B257*$P$4)+'Calculs 3D'!$C$11-OffsetX)/Ecran)*'Calculs 3D'!$C$32)+(((($C257*$P$4)+'Calculs 3D'!$D$11-OffsetY)/Ecran)*'Calculs 3D'!$D$32)+(((($D257*$P$4)+'Calculs 3D'!$E$11-OffsetZ)/Ecran)*'Calculs 3D'!$E$32)),0)</f>
        <v>0.12296087179459607</v>
      </c>
      <c r="R257" s="105">
        <f>IF(Body7Actif=TRUE,((((($B257*$R$4)+'Calculs 3D'!$C$12-OffsetX)/Ecran)*'Calculs 3D'!$C$31)+(((($C257*$R$4)+'Calculs 3D'!$D$12-OffsetY)/Ecran)*'Calculs 3D'!$D$31)+(((($D257*$R$4)+'Calculs 3D'!$E$12-OffsetZ)/Ecran)*'Calculs 3D'!$E$31)),0)</f>
        <v>-0.2764244194684089</v>
      </c>
      <c r="S257" s="105">
        <f>IF(Body7Actif=TRUE,((((($B257*$R$4)+'Calculs 3D'!$C$12-OffsetX)/Ecran)*'Calculs 3D'!$C$32)+(((($C257*$R$4)+'Calculs 3D'!$D$12-OffsetY)/Ecran)*'Calculs 3D'!$D$32)+(((($D257*$R$4)+'Calculs 3D'!$E$12-OffsetZ)/Ecran)*'Calculs 3D'!$E$32)),0)</f>
        <v>5.2206564787465645E-2</v>
      </c>
      <c r="T257" s="105">
        <f>IF(Body8Actif=TRUE,((((($B257*$T$4)+'Calculs 3D'!$C$13-OffsetX)/Ecran)*'Calculs 3D'!$C$31)+(((($C257*$T$4)+'Calculs 3D'!$D$13-OffsetY)/Ecran)*'Calculs 3D'!$D$31)+(((($D257*$T$4)+'Calculs 3D'!$E$13-OffsetZ)/Ecran)*'Calculs 3D'!$E$31)),0)</f>
        <v>0.16972668140532984</v>
      </c>
      <c r="U257" s="105">
        <f>IF(Body8Actif=TRUE,((((($B257*$T$4)+'Calculs 3D'!$C$13-OffsetX)/Ecran)*'Calculs 3D'!$C$32)+(((($C257*$T$4)+'Calculs 3D'!$D$13-OffsetY)/Ecran)*'Calculs 3D'!$D$32)+(((($D257*$T$4)+'Calculs 3D'!$E$13-OffsetZ)/Ecran)*'Calculs 3D'!$E$32)),0)</f>
        <v>-0.13422720058665566</v>
      </c>
      <c r="V257" s="105">
        <f>IF(Body9Actif=TRUE,((((($B257*$V$4)+'Calculs 3D'!$C$14-OffsetX)/Ecran)*'Calculs 3D'!$C$31)+(((($C257*$V$4)+'Calculs 3D'!$D$14-OffsetY)/Ecran)*'Calculs 3D'!$D$31)+(((($D257*$V$4)+'Calculs 3D'!$E$14-OffsetZ)/Ecran)*'Calculs 3D'!$E$31)),0)</f>
        <v>-0.17550010448599454</v>
      </c>
      <c r="W257" s="105">
        <f>IF(Body9Actif=TRUE,((((($B257*$V$4)+'Calculs 3D'!$C$14-OffsetX)/Ecran)*'Calculs 3D'!$C$32)+(((($C257*$V$4)+'Calculs 3D'!$D$14-OffsetY)/Ecran)*'Calculs 3D'!$D$32)+(((($D257*$V$4)+'Calculs 3D'!$E$14-OffsetZ)/Ecran)*'Calculs 3D'!$E$32)),0)</f>
        <v>0.28359996510903346</v>
      </c>
      <c r="X257" s="105">
        <f>IF(Body10Actif=TRUE,((((($B257*$X$4)+'Calculs 3D'!$C$15-OffsetX)/Ecran)*'Calculs 3D'!$C$31)+(((($C257*$X$4)+'Calculs 3D'!$D$15-OffsetY)/Ecran)*'Calculs 3D'!$D$31)+(((($D257*$X$4)+'Calculs 3D'!$E$15-OffsetZ)/Ecran)*'Calculs 3D'!$E$31)),0)</f>
        <v>-1.2183854709317071E-2</v>
      </c>
      <c r="Y257" s="105">
        <f>IF(Body10Actif=TRUE,((((($B257*$X$4)+'Calculs 3D'!$C$15-OffsetX)/Ecran)*'Calculs 3D'!$C$32)+(((($C257*$X$4)+'Calculs 3D'!$D$15-OffsetY)/Ecran)*'Calculs 3D'!$D$32)+(((($D257*$X$4)+'Calculs 3D'!$E$15-OffsetZ)/Ecran)*'Calculs 3D'!$E$32)),0)</f>
        <v>0.28488617748977713</v>
      </c>
    </row>
    <row r="258" spans="2:25" x14ac:dyDescent="0.3">
      <c r="B258" s="102">
        <v>8.6631078042610645E-17</v>
      </c>
      <c r="C258" s="102">
        <v>8.6631078042610633E-17</v>
      </c>
      <c r="D258" s="102">
        <v>-1</v>
      </c>
      <c r="F258" s="105">
        <f>IF(Body1Actif=TRUE,((((($B258*$F$4)+'Calculs 3D'!$C$6-OffsetX)/Ecran)*'Calculs 3D'!$C$31)+(((($C258*$F$4)+'Calculs 3D'!$D$6-OffsetY)/Ecran)*'Calculs 3D'!$D$31)+(((($D258*$F$4)+'Calculs 3D'!$E$6-OffsetZ)/Ecran)*'Calculs 3D'!$E$31)),0)</f>
        <v>5.0579175247860285E-2</v>
      </c>
      <c r="G258" s="105">
        <f>IF(Body1Actif=TRUE,((((($B258*$F$4)+'Calculs 3D'!$C$6-OffsetX)/Ecran)*'Calculs 3D'!$C$32)+(((($C258*$F$4)+'Calculs 3D'!$D$6-OffsetY)/Ecran)*'Calculs 3D'!$D$32)+(((($D258*$F$4)+'Calculs 3D'!$E$6-OffsetZ)/Ecran)*'Calculs 3D'!$E$32)),0)</f>
        <v>0.26097997068756451</v>
      </c>
      <c r="H258" s="105">
        <f>IF(Body2Actif=TRUE,((((($B258*$H$4)+'Calculs 3D'!$C$7-OffsetX)/Ecran)*'Calculs 3D'!$C$31)+(((($C258*$H$4)+'Calculs 3D'!$D$7-OffsetY)/Ecran)*'Calculs 3D'!$D$31)+(((($D258*$H$4)+'Calculs 3D'!$E$7-OffsetZ)/Ecran)*'Calculs 3D'!$E$31)),0)</f>
        <v>2.5248184344877592E-2</v>
      </c>
      <c r="I258" s="105">
        <f>IF(Body2Actif=TRUE,((((($B258*$H$4)+'Calculs 3D'!$C$7-OffsetX)/Ecran)*'Calculs 3D'!$C$32)+(((($C258*$H$4)+'Calculs 3D'!$D$7-OffsetY)/Ecran)*'Calculs 3D'!$D$32)+(((($D258*$H$4)+'Calculs 3D'!$E$7-OffsetZ)/Ecran)*'Calculs 3D'!$E$32)),0)</f>
        <v>1.9082037263434888E-2</v>
      </c>
      <c r="J258" s="105">
        <f>IF(Body3Actif=TRUE,((((($B258*$J$4)+'Calculs 3D'!$C$8-OffsetX)/Ecran)*'Calculs 3D'!$C$31)+(((($C258*$J$4)+'Calculs 3D'!$D$8-OffsetY)/Ecran)*'Calculs 3D'!$D$31)+(((($D258*$J$4)+'Calculs 3D'!$E$8-OffsetZ)/Ecran)*'Calculs 3D'!$E$31)),0)</f>
        <v>0.21866003387220898</v>
      </c>
      <c r="K258" s="105">
        <f>IF(Body3Actif=TRUE,((((($B258*$J$4)+'Calculs 3D'!$C$8-OffsetX)/Ecran)*'Calculs 3D'!$C$32)+(((($C258*$J$4)+'Calculs 3D'!$D$8-OffsetY)/Ecran)*'Calculs 3D'!$D$32)+(((($D258*$J$4)+'Calculs 3D'!$E$8-OffsetZ)/Ecran)*'Calculs 3D'!$E$32)),0)</f>
        <v>-8.5861620153050128E-2</v>
      </c>
      <c r="L258" s="105">
        <f>IF(Body4Actif=TRUE,((((($B258*$L$4)+'Calculs 3D'!$C$9-OffsetX)/Ecran)*'Calculs 3D'!$C$31)+(((($C258*$L$4)+'Calculs 3D'!$D$9-OffsetY)/Ecran)*'Calculs 3D'!$D$31)+(((($D258*$L$4)+'Calculs 3D'!$E$9-OffsetZ)/Ecran)*'Calculs 3D'!$E$31)),0)</f>
        <v>-9.4525992808345366E-2</v>
      </c>
      <c r="M258" s="105">
        <f>IF(Body4Actif=TRUE,((((($B258*$L$4)+'Calculs 3D'!$C$9-OffsetX)/Ecran)*'Calculs 3D'!$C$32)+(((($C258*$L$4)+'Calculs 3D'!$D$9-OffsetY)/Ecran)*'Calculs 3D'!$D$32)+(((($D258*$L$4)+'Calculs 3D'!$E$9-OffsetZ)/Ecran)*'Calculs 3D'!$E$32)),0)</f>
        <v>-0.17860397241508841</v>
      </c>
      <c r="N258" s="105">
        <f>IF(Body5Actif=TRUE,((((($B258*$N$4)+'Calculs 3D'!$C$10-OffsetX)/Ecran)*'Calculs 3D'!$C$31)+(((($C258*$N$4)+'Calculs 3D'!$D$10-OffsetY)/Ecran)*'Calculs 3D'!$D$31)+(((($D258*$N$4)+'Calculs 3D'!$E$10-OffsetZ)/Ecran)*'Calculs 3D'!$E$31)),0)</f>
        <v>8.5573407245585417E-4</v>
      </c>
      <c r="O258" s="105">
        <f>IF(Body5Actif=TRUE,((((($B258*$N$4)+'Calculs 3D'!$C$10-OffsetX)/Ecran)*'Calculs 3D'!$C$32)+(((($C258*$N$4)+'Calculs 3D'!$D$10-OffsetY)/Ecran)*'Calculs 3D'!$D$32)+(((($D258*$N$4)+'Calculs 3D'!$E$10-OffsetZ)/Ecran)*'Calculs 3D'!$E$32)),0)</f>
        <v>-1.260932628564349E-2</v>
      </c>
      <c r="P258" s="105">
        <f>IF(Body6Actif=TRUE,((((($B258*$P$4)+'Calculs 3D'!$C$11-OffsetX)/Ecran)*'Calculs 3D'!$C$31)+(((($C258*$P$4)+'Calculs 3D'!$D$11-OffsetY)/Ecran)*'Calculs 3D'!$D$31)+(((($D258*$P$4)+'Calculs 3D'!$E$11-OffsetZ)/Ecran)*'Calculs 3D'!$E$31)),0)</f>
        <v>0.1706767325982842</v>
      </c>
      <c r="Q258" s="105">
        <f>IF(Body6Actif=TRUE,((((($B258*$P$4)+'Calculs 3D'!$C$11-OffsetX)/Ecran)*'Calculs 3D'!$C$32)+(((($C258*$P$4)+'Calculs 3D'!$D$11-OffsetY)/Ecran)*'Calculs 3D'!$D$32)+(((($D258*$P$4)+'Calculs 3D'!$E$11-OffsetZ)/Ecran)*'Calculs 3D'!$E$32)),0)</f>
        <v>0.12199918426530344</v>
      </c>
      <c r="R258" s="105">
        <f>IF(Body7Actif=TRUE,((((($B258*$R$4)+'Calculs 3D'!$C$12-OffsetX)/Ecran)*'Calculs 3D'!$C$31)+(((($C258*$R$4)+'Calculs 3D'!$D$12-OffsetY)/Ecran)*'Calculs 3D'!$D$31)+(((($D258*$R$4)+'Calculs 3D'!$E$12-OffsetZ)/Ecran)*'Calculs 3D'!$E$31)),0)</f>
        <v>-0.28073836751385717</v>
      </c>
      <c r="S258" s="105">
        <f>IF(Body7Actif=TRUE,((((($B258*$R$4)+'Calculs 3D'!$C$12-OffsetX)/Ecran)*'Calculs 3D'!$C$32)+(((($C258*$R$4)+'Calculs 3D'!$D$12-OffsetY)/Ecran)*'Calculs 3D'!$D$32)+(((($D258*$R$4)+'Calculs 3D'!$E$12-OffsetZ)/Ecran)*'Calculs 3D'!$E$32)),0)</f>
        <v>5.1240777098528811E-2</v>
      </c>
      <c r="T258" s="105">
        <f>IF(Body8Actif=TRUE,((((($B258*$T$4)+'Calculs 3D'!$C$13-OffsetX)/Ecran)*'Calculs 3D'!$C$31)+(((($C258*$T$4)+'Calculs 3D'!$D$13-OffsetY)/Ecran)*'Calculs 3D'!$D$31)+(((($D258*$T$4)+'Calculs 3D'!$E$13-OffsetZ)/Ecran)*'Calculs 3D'!$E$31)),0)</f>
        <v>0.16817081081111579</v>
      </c>
      <c r="U258" s="105">
        <f>IF(Body8Actif=TRUE,((((($B258*$T$4)+'Calculs 3D'!$C$13-OffsetX)/Ecran)*'Calculs 3D'!$C$32)+(((($C258*$T$4)+'Calculs 3D'!$D$13-OffsetY)/Ecran)*'Calculs 3D'!$D$32)+(((($D258*$T$4)+'Calculs 3D'!$E$13-OffsetZ)/Ecran)*'Calculs 3D'!$E$32)),0)</f>
        <v>-0.13457552204292733</v>
      </c>
      <c r="V258" s="105">
        <f>IF(Body9Actif=TRUE,((((($B258*$V$4)+'Calculs 3D'!$C$14-OffsetX)/Ecran)*'Calculs 3D'!$C$31)+(((($C258*$V$4)+'Calculs 3D'!$D$14-OffsetY)/Ecran)*'Calculs 3D'!$D$31)+(((($D258*$V$4)+'Calculs 3D'!$E$14-OffsetZ)/Ecran)*'Calculs 3D'!$E$31)),0)</f>
        <v>-0.17765889973758367</v>
      </c>
      <c r="W258" s="105">
        <f>IF(Body9Actif=TRUE,((((($B258*$V$4)+'Calculs 3D'!$C$14-OffsetX)/Ecran)*'Calculs 3D'!$C$32)+(((($C258*$V$4)+'Calculs 3D'!$D$14-OffsetY)/Ecran)*'Calculs 3D'!$D$32)+(((($D258*$V$4)+'Calculs 3D'!$E$14-OffsetZ)/Ecran)*'Calculs 3D'!$E$32)),0)</f>
        <v>0.28311666353586784</v>
      </c>
      <c r="X258" s="105">
        <f>IF(Body10Actif=TRUE,((((($B258*$X$4)+'Calculs 3D'!$C$15-OffsetX)/Ecran)*'Calculs 3D'!$C$31)+(((($C258*$X$4)+'Calculs 3D'!$D$15-OffsetY)/Ecran)*'Calculs 3D'!$D$31)+(((($D258*$X$4)+'Calculs 3D'!$E$15-OffsetZ)/Ecran)*'Calculs 3D'!$E$31)),0)</f>
        <v>-1.5442457044756913E-2</v>
      </c>
      <c r="Y258" s="105">
        <f>IF(Body10Actif=TRUE,((((($B258*$X$4)+'Calculs 3D'!$C$15-OffsetX)/Ecran)*'Calculs 3D'!$C$32)+(((($C258*$X$4)+'Calculs 3D'!$D$15-OffsetY)/Ecran)*'Calculs 3D'!$D$32)+(((($D258*$X$4)+'Calculs 3D'!$E$15-OffsetZ)/Ecran)*'Calculs 3D'!$E$32)),0)</f>
        <v>0.28415665595044626</v>
      </c>
    </row>
    <row r="259" spans="2:25" x14ac:dyDescent="0.3">
      <c r="B259" s="102">
        <v>-0.21850801222441077</v>
      </c>
      <c r="C259" s="102">
        <v>-0.21850801222441074</v>
      </c>
      <c r="D259" s="102">
        <v>-0.95105651629515353</v>
      </c>
      <c r="F259" s="105">
        <f>IF(Body1Actif=TRUE,((((($B259*$F$4)+'Calculs 3D'!$C$6-OffsetX)/Ecran)*'Calculs 3D'!$C$31)+(((($C259*$F$4)+'Calculs 3D'!$D$6-OffsetY)/Ecran)*'Calculs 3D'!$D$31)+(((($D259*$F$4)+'Calculs 3D'!$E$6-OffsetZ)/Ecran)*'Calculs 3D'!$E$31)),0)</f>
        <v>4.9426433763219979E-2</v>
      </c>
      <c r="G259" s="105">
        <f>IF(Body1Actif=TRUE,((((($B259*$F$4)+'Calculs 3D'!$C$6-OffsetX)/Ecran)*'Calculs 3D'!$C$32)+(((($C259*$F$4)+'Calculs 3D'!$D$6-OffsetY)/Ecran)*'Calculs 3D'!$D$32)+(((($D259*$F$4)+'Calculs 3D'!$E$6-OffsetZ)/Ecran)*'Calculs 3D'!$E$32)),0)</f>
        <v>0.26101323096748341</v>
      </c>
      <c r="H259" s="105">
        <f>IF(Body2Actif=TRUE,((((($B259*$H$4)+'Calculs 3D'!$C$7-OffsetX)/Ecran)*'Calculs 3D'!$C$31)+(((($C259*$H$4)+'Calculs 3D'!$D$7-OffsetY)/Ecran)*'Calculs 3D'!$D$31)+(((($D259*$H$4)+'Calculs 3D'!$E$7-OffsetZ)/Ecran)*'Calculs 3D'!$E$31)),0)</f>
        <v>2.0754940468583279E-2</v>
      </c>
      <c r="I259" s="105">
        <f>IF(Body2Actif=TRUE,((((($B259*$H$4)+'Calculs 3D'!$C$7-OffsetX)/Ecran)*'Calculs 3D'!$C$32)+(((($C259*$H$4)+'Calculs 3D'!$D$7-OffsetY)/Ecran)*'Calculs 3D'!$D$32)+(((($D259*$H$4)+'Calculs 3D'!$E$7-OffsetZ)/Ecran)*'Calculs 3D'!$E$32)),0)</f>
        <v>1.9211681724973281E-2</v>
      </c>
      <c r="J259" s="105">
        <f>IF(Body3Actif=TRUE,((((($B259*$J$4)+'Calculs 3D'!$C$8-OffsetX)/Ecran)*'Calculs 3D'!$C$31)+(((($C259*$J$4)+'Calculs 3D'!$D$8-OffsetY)/Ecran)*'Calculs 3D'!$D$31)+(((($D259*$J$4)+'Calculs 3D'!$E$8-OffsetZ)/Ecran)*'Calculs 3D'!$E$31)),0)</f>
        <v>0.21666313648231164</v>
      </c>
      <c r="K259" s="105">
        <f>IF(Body3Actif=TRUE,((((($B259*$J$4)+'Calculs 3D'!$C$8-OffsetX)/Ecran)*'Calculs 3D'!$C$32)+(((($C259*$J$4)+'Calculs 3D'!$D$8-OffsetY)/Ecran)*'Calculs 3D'!$D$32)+(((($D259*$J$4)+'Calculs 3D'!$E$8-OffsetZ)/Ecran)*'Calculs 3D'!$E$32)),0)</f>
        <v>-8.5804003274467883E-2</v>
      </c>
      <c r="L259" s="105">
        <f>IF(Body4Actif=TRUE,((((($B259*$L$4)+'Calculs 3D'!$C$9-OffsetX)/Ecran)*'Calculs 3D'!$C$31)+(((($C259*$L$4)+'Calculs 3D'!$D$9-OffsetY)/Ecran)*'Calculs 3D'!$D$31)+(((($D259*$L$4)+'Calculs 3D'!$E$9-OffsetZ)/Ecran)*'Calculs 3D'!$E$31)),0)</f>
        <v>-9.7122543691775962E-2</v>
      </c>
      <c r="M259" s="105">
        <f>IF(Body4Actif=TRUE,((((($B259*$L$4)+'Calculs 3D'!$C$9-OffsetX)/Ecran)*'Calculs 3D'!$C$32)+(((($C259*$L$4)+'Calculs 3D'!$D$9-OffsetY)/Ecran)*'Calculs 3D'!$D$32)+(((($D259*$L$4)+'Calculs 3D'!$E$9-OffsetZ)/Ecran)*'Calculs 3D'!$E$32)),0)</f>
        <v>-0.17852905361468335</v>
      </c>
      <c r="N259" s="105">
        <f>IF(Body5Actif=TRUE,((((($B259*$N$4)+'Calculs 3D'!$C$10-OffsetX)/Ecran)*'Calculs 3D'!$C$31)+(((($C259*$N$4)+'Calculs 3D'!$D$10-OffsetY)/Ecran)*'Calculs 3D'!$D$31)+(((($D259*$N$4)+'Calculs 3D'!$E$10-OffsetZ)/Ecran)*'Calculs 3D'!$E$31)),0)</f>
        <v>-2.1084671313378019E-3</v>
      </c>
      <c r="O259" s="105">
        <f>IF(Body5Actif=TRUE,((((($B259*$N$4)+'Calculs 3D'!$C$10-OffsetX)/Ecran)*'Calculs 3D'!$C$32)+(((($C259*$N$4)+'Calculs 3D'!$D$10-OffsetY)/Ecran)*'Calculs 3D'!$D$32)+(((($D259*$N$4)+'Calculs 3D'!$E$10-OffsetZ)/Ecran)*'Calculs 3D'!$E$32)),0)</f>
        <v>-1.2523799597233643E-2</v>
      </c>
      <c r="P259" s="105">
        <f>IF(Body6Actif=TRUE,((((($B259*$P$4)+'Calculs 3D'!$C$11-OffsetX)/Ecran)*'Calculs 3D'!$C$31)+(((($C259*$P$4)+'Calculs 3D'!$D$11-OffsetY)/Ecran)*'Calculs 3D'!$D$31)+(((($D259*$P$4)+'Calculs 3D'!$E$11-OffsetZ)/Ecran)*'Calculs 3D'!$E$31)),0)</f>
        <v>0.16638109900836873</v>
      </c>
      <c r="Q259" s="105">
        <f>IF(Body6Actif=TRUE,((((($B259*$P$4)+'Calculs 3D'!$C$11-OffsetX)/Ecran)*'Calculs 3D'!$C$32)+(((($C259*$P$4)+'Calculs 3D'!$D$11-OffsetY)/Ecran)*'Calculs 3D'!$D$32)+(((($D259*$P$4)+'Calculs 3D'!$E$11-OffsetZ)/Ecran)*'Calculs 3D'!$E$32)),0)</f>
        <v>0.12212312703784443</v>
      </c>
      <c r="R259" s="105">
        <f>IF(Body7Actif=TRUE,((((($B259*$R$4)+'Calculs 3D'!$C$12-OffsetX)/Ecran)*'Calculs 3D'!$C$31)+(((($C259*$R$4)+'Calculs 3D'!$D$12-OffsetY)/Ecran)*'Calculs 3D'!$D$31)+(((($D259*$R$4)+'Calculs 3D'!$E$12-OffsetZ)/Ecran)*'Calculs 3D'!$E$31)),0)</f>
        <v>-0.28505231555930544</v>
      </c>
      <c r="S259" s="105">
        <f>IF(Body7Actif=TRUE,((((($B259*$R$4)+'Calculs 3D'!$C$12-OffsetX)/Ecran)*'Calculs 3D'!$C$32)+(((($C259*$R$4)+'Calculs 3D'!$D$12-OffsetY)/Ecran)*'Calculs 3D'!$D$32)+(((($D259*$R$4)+'Calculs 3D'!$E$12-OffsetZ)/Ecran)*'Calculs 3D'!$E$32)),0)</f>
        <v>5.13652483017073E-2</v>
      </c>
      <c r="T259" s="105">
        <f>IF(Body8Actif=TRUE,((((($B259*$T$4)+'Calculs 3D'!$C$13-OffsetX)/Ecran)*'Calculs 3D'!$C$31)+(((($C259*$T$4)+'Calculs 3D'!$D$13-OffsetY)/Ecran)*'Calculs 3D'!$D$31)+(((($D259*$T$4)+'Calculs 3D'!$E$13-OffsetZ)/Ecran)*'Calculs 3D'!$E$31)),0)</f>
        <v>0.16661494021690174</v>
      </c>
      <c r="U259" s="105">
        <f>IF(Body8Actif=TRUE,((((($B259*$T$4)+'Calculs 3D'!$C$13-OffsetX)/Ecran)*'Calculs 3D'!$C$32)+(((($C259*$T$4)+'Calculs 3D'!$D$13-OffsetY)/Ecran)*'Calculs 3D'!$D$32)+(((($D259*$T$4)+'Calculs 3D'!$E$13-OffsetZ)/Ecran)*'Calculs 3D'!$E$32)),0)</f>
        <v>-0.13453063019842396</v>
      </c>
      <c r="V259" s="105">
        <f>IF(Body9Actif=TRUE,((((($B259*$V$4)+'Calculs 3D'!$C$14-OffsetX)/Ecran)*'Calculs 3D'!$C$31)+(((($C259*$V$4)+'Calculs 3D'!$D$14-OffsetY)/Ecran)*'Calculs 3D'!$D$31)+(((($D259*$V$4)+'Calculs 3D'!$E$14-OffsetZ)/Ecran)*'Calculs 3D'!$E$31)),0)</f>
        <v>-0.1798176949891728</v>
      </c>
      <c r="W259" s="105">
        <f>IF(Body9Actif=TRUE,((((($B259*$V$4)+'Calculs 3D'!$C$14-OffsetX)/Ecran)*'Calculs 3D'!$C$32)+(((($C259*$V$4)+'Calculs 3D'!$D$14-OffsetY)/Ecran)*'Calculs 3D'!$D$32)+(((($D259*$V$4)+'Calculs 3D'!$E$14-OffsetZ)/Ecran)*'Calculs 3D'!$E$32)),0)</f>
        <v>0.28317895168573665</v>
      </c>
      <c r="X259" s="105">
        <f>IF(Body10Actif=TRUE,((((($B259*$X$4)+'Calculs 3D'!$C$15-OffsetX)/Ecran)*'Calculs 3D'!$C$31)+(((($C259*$X$4)+'Calculs 3D'!$D$15-OffsetY)/Ecran)*'Calculs 3D'!$D$31)+(((($D259*$X$4)+'Calculs 3D'!$E$15-OffsetZ)/Ecran)*'Calculs 3D'!$E$31)),0)</f>
        <v>-1.8701059380196741E-2</v>
      </c>
      <c r="Y259" s="105">
        <f>IF(Body10Actif=TRUE,((((($B259*$X$4)+'Calculs 3D'!$C$15-OffsetX)/Ecran)*'Calculs 3D'!$C$32)+(((($C259*$X$4)+'Calculs 3D'!$D$15-OffsetY)/Ecran)*'Calculs 3D'!$D$32)+(((($D259*$X$4)+'Calculs 3D'!$E$15-OffsetZ)/Ecran)*'Calculs 3D'!$E$32)),0)</f>
        <v>0.28425067705341261</v>
      </c>
    </row>
    <row r="260" spans="2:25" x14ac:dyDescent="0.3">
      <c r="B260" s="102">
        <v>-0.41562693777745341</v>
      </c>
      <c r="C260" s="102">
        <v>-0.4156269377774533</v>
      </c>
      <c r="D260" s="102">
        <v>-0.80901699437494756</v>
      </c>
      <c r="F260" s="105">
        <f>IF(Body1Actif=TRUE,((((($B260*$F$4)+'Calculs 3D'!$C$6-OffsetX)/Ecran)*'Calculs 3D'!$C$31)+(((($C260*$F$4)+'Calculs 3D'!$D$6-OffsetY)/Ecran)*'Calculs 3D'!$D$31)+(((($D260*$F$4)+'Calculs 3D'!$E$6-OffsetZ)/Ecran)*'Calculs 3D'!$E$31)),0)</f>
        <v>4.8386530646718461E-2</v>
      </c>
      <c r="G260" s="105">
        <f>IF(Body1Actif=TRUE,((((($B260*$F$4)+'Calculs 3D'!$C$6-OffsetX)/Ecran)*'Calculs 3D'!$C$32)+(((($C260*$F$4)+'Calculs 3D'!$D$6-OffsetY)/Ecran)*'Calculs 3D'!$D$32)+(((($D260*$F$4)+'Calculs 3D'!$E$6-OffsetZ)/Ecran)*'Calculs 3D'!$E$32)),0)</f>
        <v>0.26133456646606501</v>
      </c>
      <c r="H260" s="105">
        <f>IF(Body2Actif=TRUE,((((($B260*$H$4)+'Calculs 3D'!$C$7-OffsetX)/Ecran)*'Calculs 3D'!$C$31)+(((($C260*$H$4)+'Calculs 3D'!$D$7-OffsetY)/Ecran)*'Calculs 3D'!$D$31)+(((($D260*$H$4)+'Calculs 3D'!$E$7-OffsetZ)/Ecran)*'Calculs 3D'!$E$31)),0)</f>
        <v>1.67015266091716E-2</v>
      </c>
      <c r="I260" s="105">
        <f>IF(Body2Actif=TRUE,((((($B260*$H$4)+'Calculs 3D'!$C$7-OffsetX)/Ecran)*'Calculs 3D'!$C$32)+(((($C260*$H$4)+'Calculs 3D'!$D$7-OffsetY)/Ecran)*'Calculs 3D'!$D$32)+(((($D260*$H$4)+'Calculs 3D'!$E$7-OffsetZ)/Ecran)*'Calculs 3D'!$E$32)),0)</f>
        <v>2.046420779476105E-2</v>
      </c>
      <c r="J260" s="105">
        <f>IF(Body3Actif=TRUE,((((($B260*$J$4)+'Calculs 3D'!$C$8-OffsetX)/Ecran)*'Calculs 3D'!$C$31)+(((($C260*$J$4)+'Calculs 3D'!$D$8-OffsetY)/Ecran)*'Calculs 3D'!$D$31)+(((($D260*$J$4)+'Calculs 3D'!$E$8-OffsetZ)/Ecran)*'Calculs 3D'!$E$31)),0)</f>
        <v>0.21486170932213972</v>
      </c>
      <c r="K260" s="105">
        <f>IF(Body3Actif=TRUE,((((($B260*$J$4)+'Calculs 3D'!$C$8-OffsetX)/Ecran)*'Calculs 3D'!$C$32)+(((($C260*$J$4)+'Calculs 3D'!$D$8-OffsetY)/Ecran)*'Calculs 3D'!$D$32)+(((($D260*$J$4)+'Calculs 3D'!$E$8-OffsetZ)/Ecran)*'Calculs 3D'!$E$32)),0)</f>
        <v>-8.5247352865899309E-2</v>
      </c>
      <c r="L260" s="105">
        <f>IF(Body4Actif=TRUE,((((($B260*$L$4)+'Calculs 3D'!$C$9-OffsetX)/Ecran)*'Calculs 3D'!$C$31)+(((($C260*$L$4)+'Calculs 3D'!$D$9-OffsetY)/Ecran)*'Calculs 3D'!$D$31)+(((($D260*$L$4)+'Calculs 3D'!$E$9-OffsetZ)/Ecran)*'Calculs 3D'!$E$31)),0)</f>
        <v>-9.9464926083502575E-2</v>
      </c>
      <c r="M260" s="105">
        <f>IF(Body4Actif=TRUE,((((($B260*$L$4)+'Calculs 3D'!$C$9-OffsetX)/Ecran)*'Calculs 3D'!$C$32)+(((($C260*$L$4)+'Calculs 3D'!$D$9-OffsetY)/Ecran)*'Calculs 3D'!$D$32)+(((($D260*$L$4)+'Calculs 3D'!$E$9-OffsetZ)/Ecran)*'Calculs 3D'!$E$32)),0)</f>
        <v>-0.17780524521198662</v>
      </c>
      <c r="N260" s="105">
        <f>IF(Body5Actif=TRUE,((((($B260*$N$4)+'Calculs 3D'!$C$10-OffsetX)/Ecran)*'Calculs 3D'!$C$31)+(((($C260*$N$4)+'Calculs 3D'!$D$10-OffsetY)/Ecran)*'Calculs 3D'!$D$31)+(((($D260*$N$4)+'Calculs 3D'!$E$10-OffsetZ)/Ecran)*'Calculs 3D'!$E$31)),0)</f>
        <v>-4.7825116684999261E-3</v>
      </c>
      <c r="O260" s="105">
        <f>IF(Body5Actif=TRUE,((((($B260*$N$4)+'Calculs 3D'!$C$10-OffsetX)/Ecran)*'Calculs 3D'!$C$32)+(((($C260*$N$4)+'Calculs 3D'!$D$10-OffsetY)/Ecran)*'Calculs 3D'!$D$32)+(((($D260*$N$4)+'Calculs 3D'!$E$10-OffsetZ)/Ecran)*'Calculs 3D'!$E$32)),0)</f>
        <v>-1.1697505857996447E-2</v>
      </c>
      <c r="P260" s="105">
        <f>IF(Body6Actif=TRUE,((((($B260*$P$4)+'Calculs 3D'!$C$11-OffsetX)/Ecran)*'Calculs 3D'!$C$31)+(((($C260*$P$4)+'Calculs 3D'!$D$11-OffsetY)/Ecran)*'Calculs 3D'!$D$31)+(((($D260*$P$4)+'Calculs 3D'!$E$11-OffsetZ)/Ecran)*'Calculs 3D'!$E$31)),0)</f>
        <v>0.16250595196367329</v>
      </c>
      <c r="Q260" s="105">
        <f>IF(Body6Actif=TRUE,((((($B260*$P$4)+'Calculs 3D'!$C$11-OffsetX)/Ecran)*'Calculs 3D'!$C$32)+(((($C260*$P$4)+'Calculs 3D'!$D$11-OffsetY)/Ecran)*'Calculs 3D'!$D$32)+(((($D260*$P$4)+'Calculs 3D'!$E$11-OffsetZ)/Ecran)*'Calculs 3D'!$E$32)),0)</f>
        <v>0.12332056773008271</v>
      </c>
      <c r="R260" s="105">
        <f>IF(Body7Actif=TRUE,((((($B260*$R$4)+'Calculs 3D'!$C$12-OffsetX)/Ecran)*'Calculs 3D'!$C$31)+(((($C260*$R$4)+'Calculs 3D'!$D$12-OffsetY)/Ecran)*'Calculs 3D'!$D$31)+(((($D260*$R$4)+'Calculs 3D'!$E$12-OffsetZ)/Ecran)*'Calculs 3D'!$E$31)),0)</f>
        <v>-0.28894398431302193</v>
      </c>
      <c r="S260" s="105">
        <f>IF(Body7Actif=TRUE,((((($B260*$R$4)+'Calculs 3D'!$C$12-OffsetX)/Ecran)*'Calculs 3D'!$C$32)+(((($C260*$R$4)+'Calculs 3D'!$D$12-OffsetY)/Ecran)*'Calculs 3D'!$D$32)+(((($D260*$R$4)+'Calculs 3D'!$E$12-OffsetZ)/Ecran)*'Calculs 3D'!$E$32)),0)</f>
        <v>5.2567794288392145E-2</v>
      </c>
      <c r="T260" s="105">
        <f>IF(Body8Actif=TRUE,((((($B260*$T$4)+'Calculs 3D'!$C$13-OffsetX)/Ecran)*'Calculs 3D'!$C$31)+(((($C260*$T$4)+'Calculs 3D'!$D$13-OffsetY)/Ecran)*'Calculs 3D'!$D$31)+(((($D260*$T$4)+'Calculs 3D'!$E$13-OffsetZ)/Ecran)*'Calculs 3D'!$E$31)),0)</f>
        <v>0.16521136907683717</v>
      </c>
      <c r="U260" s="105">
        <f>IF(Body8Actif=TRUE,((((($B260*$T$4)+'Calculs 3D'!$C$13-OffsetX)/Ecran)*'Calculs 3D'!$C$32)+(((($C260*$T$4)+'Calculs 3D'!$D$13-OffsetY)/Ecran)*'Calculs 3D'!$D$32)+(((($D260*$T$4)+'Calculs 3D'!$E$13-OffsetZ)/Ecran)*'Calculs 3D'!$E$32)),0)</f>
        <v>-0.13409691937966545</v>
      </c>
      <c r="V260" s="105">
        <f>IF(Body9Actif=TRUE,((((($B260*$V$4)+'Calculs 3D'!$C$14-OffsetX)/Ecran)*'Calculs 3D'!$C$31)+(((($C260*$V$4)+'Calculs 3D'!$D$14-OffsetY)/Ecran)*'Calculs 3D'!$D$31)+(((($D260*$V$4)+'Calculs 3D'!$E$14-OffsetZ)/Ecran)*'Calculs 3D'!$E$31)),0)</f>
        <v>-0.18176517232032541</v>
      </c>
      <c r="W260" s="105">
        <f>IF(Body9Actif=TRUE,((((($B260*$V$4)+'Calculs 3D'!$C$14-OffsetX)/Ecran)*'Calculs 3D'!$C$32)+(((($C260*$V$4)+'Calculs 3D'!$D$14-OffsetY)/Ecran)*'Calculs 3D'!$D$32)+(((($D260*$V$4)+'Calculs 3D'!$E$14-OffsetZ)/Ecran)*'Calculs 3D'!$E$32)),0)</f>
        <v>0.2837807323605438</v>
      </c>
      <c r="X260" s="105">
        <f>IF(Body10Actif=TRUE,((((($B260*$X$4)+'Calculs 3D'!$C$15-OffsetX)/Ecran)*'Calculs 3D'!$C$31)+(((($C260*$X$4)+'Calculs 3D'!$D$15-OffsetY)/Ecran)*'Calculs 3D'!$D$31)+(((($D260*$X$4)+'Calculs 3D'!$E$15-OffsetZ)/Ecran)*'Calculs 3D'!$E$31)),0)</f>
        <v>-2.1640687015026222E-2</v>
      </c>
      <c r="Y260" s="105">
        <f>IF(Body10Actif=TRUE,((((($B260*$X$4)+'Calculs 3D'!$C$15-OffsetX)/Ecran)*'Calculs 3D'!$C$32)+(((($C260*$X$4)+'Calculs 3D'!$D$15-OffsetY)/Ecran)*'Calculs 3D'!$D$32)+(((($D260*$X$4)+'Calculs 3D'!$E$15-OffsetZ)/Ecran)*'Calculs 3D'!$E$32)),0)</f>
        <v>0.28515903735803416</v>
      </c>
    </row>
    <row r="261" spans="2:25" x14ac:dyDescent="0.3">
      <c r="B261" s="102">
        <v>-0.57206140281768425</v>
      </c>
      <c r="C261" s="102">
        <v>-0.57206140281768414</v>
      </c>
      <c r="D261" s="102">
        <v>-0.58778525229247325</v>
      </c>
      <c r="F261" s="105">
        <f>IF(Body1Actif=TRUE,((((($B261*$F$4)+'Calculs 3D'!$C$6-OffsetX)/Ecran)*'Calculs 3D'!$C$31)+(((($C261*$F$4)+'Calculs 3D'!$D$6-OffsetY)/Ecran)*'Calculs 3D'!$D$31)+(((($D261*$F$4)+'Calculs 3D'!$E$6-OffsetZ)/Ecran)*'Calculs 3D'!$E$31)),0)</f>
        <v>4.7561258860829937E-2</v>
      </c>
      <c r="G261" s="105">
        <f>IF(Body1Actif=TRUE,((((($B261*$F$4)+'Calculs 3D'!$C$6-OffsetX)/Ecran)*'Calculs 3D'!$C$32)+(((($C261*$F$4)+'Calculs 3D'!$D$6-OffsetY)/Ecran)*'Calculs 3D'!$D$32)+(((($D261*$F$4)+'Calculs 3D'!$E$6-OffsetZ)/Ecran)*'Calculs 3D'!$E$32)),0)</f>
        <v>0.26191252262583214</v>
      </c>
      <c r="H261" s="105">
        <f>IF(Body2Actif=TRUE,((((($B261*$H$4)+'Calculs 3D'!$C$7-OffsetX)/Ecran)*'Calculs 3D'!$C$31)+(((($C261*$H$4)+'Calculs 3D'!$D$7-OffsetY)/Ecran)*'Calculs 3D'!$D$31)+(((($D261*$H$4)+'Calculs 3D'!$E$7-OffsetZ)/Ecran)*'Calculs 3D'!$E$31)),0)</f>
        <v>1.3484719156996769E-2</v>
      </c>
      <c r="I261" s="105">
        <f>IF(Body2Actif=TRUE,((((($B261*$H$4)+'Calculs 3D'!$C$7-OffsetX)/Ecran)*'Calculs 3D'!$C$32)+(((($C261*$H$4)+'Calculs 3D'!$D$7-OffsetY)/Ecran)*'Calculs 3D'!$D$32)+(((($D261*$H$4)+'Calculs 3D'!$E$7-OffsetZ)/Ecran)*'Calculs 3D'!$E$32)),0)</f>
        <v>2.2717009494225095E-2</v>
      </c>
      <c r="J261" s="105">
        <f>IF(Body3Actif=TRUE,((((($B261*$J$4)+'Calculs 3D'!$C$8-OffsetX)/Ecran)*'Calculs 3D'!$C$31)+(((($C261*$J$4)+'Calculs 3D'!$D$8-OffsetY)/Ecran)*'Calculs 3D'!$D$31)+(((($D261*$J$4)+'Calculs 3D'!$E$8-OffsetZ)/Ecran)*'Calculs 3D'!$E$31)),0)</f>
        <v>0.21343208863341184</v>
      </c>
      <c r="K261" s="105">
        <f>IF(Body3Actif=TRUE,((((($B261*$J$4)+'Calculs 3D'!$C$8-OffsetX)/Ecran)*'Calculs 3D'!$C$32)+(((($C261*$J$4)+'Calculs 3D'!$D$8-OffsetY)/Ecran)*'Calculs 3D'!$D$32)+(((($D261*$J$4)+'Calculs 3D'!$E$8-OffsetZ)/Ecran)*'Calculs 3D'!$E$32)),0)</f>
        <v>-8.4246157747746492E-2</v>
      </c>
      <c r="L261" s="105">
        <f>IF(Body4Actif=TRUE,((((($B261*$L$4)+'Calculs 3D'!$C$9-OffsetX)/Ecran)*'Calculs 3D'!$C$31)+(((($C261*$L$4)+'Calculs 3D'!$D$9-OffsetY)/Ecran)*'Calculs 3D'!$D$31)+(((($D261*$L$4)+'Calculs 3D'!$E$9-OffsetZ)/Ecran)*'Calculs 3D'!$E$31)),0)</f>
        <v>-0.10132385127468524</v>
      </c>
      <c r="M261" s="105">
        <f>IF(Body4Actif=TRUE,((((($B261*$L$4)+'Calculs 3D'!$C$9-OffsetX)/Ecran)*'Calculs 3D'!$C$32)+(((($C261*$L$4)+'Calculs 3D'!$D$9-OffsetY)/Ecran)*'Calculs 3D'!$D$32)+(((($D261*$L$4)+'Calculs 3D'!$E$9-OffsetZ)/Ecran)*'Calculs 3D'!$E$32)),0)</f>
        <v>-0.17650339861652395</v>
      </c>
      <c r="N261" s="105">
        <f>IF(Body5Actif=TRUE,((((($B261*$N$4)+'Calculs 3D'!$C$10-OffsetX)/Ecran)*'Calculs 3D'!$C$31)+(((($C261*$N$4)+'Calculs 3D'!$D$10-OffsetY)/Ecran)*'Calculs 3D'!$D$31)+(((($D261*$N$4)+'Calculs 3D'!$E$10-OffsetZ)/Ecran)*'Calculs 3D'!$E$31)),0)</f>
        <v>-6.9046454285692782E-3</v>
      </c>
      <c r="O261" s="105">
        <f>IF(Body5Actif=TRUE,((((($B261*$N$4)+'Calculs 3D'!$C$10-OffsetX)/Ecran)*'Calculs 3D'!$C$32)+(((($C261*$N$4)+'Calculs 3D'!$D$10-OffsetY)/Ecran)*'Calculs 3D'!$D$32)+(((($D261*$N$4)+'Calculs 3D'!$E$10-OffsetZ)/Ecran)*'Calculs 3D'!$E$32)),0)</f>
        <v>-1.0211328456255451E-2</v>
      </c>
      <c r="P261" s="105">
        <f>IF(Body6Actif=TRUE,((((($B261*$P$4)+'Calculs 3D'!$C$11-OffsetX)/Ecran)*'Calculs 3D'!$C$31)+(((($C261*$P$4)+'Calculs 3D'!$D$11-OffsetY)/Ecran)*'Calculs 3D'!$D$31)+(((($D261*$P$4)+'Calculs 3D'!$E$11-OffsetZ)/Ecran)*'Calculs 3D'!$E$31)),0)</f>
        <v>0.15943061785666973</v>
      </c>
      <c r="Q261" s="105">
        <f>IF(Body6Actif=TRUE,((((($B261*$P$4)+'Calculs 3D'!$C$11-OffsetX)/Ecran)*'Calculs 3D'!$C$32)+(((($C261*$P$4)+'Calculs 3D'!$D$11-OffsetY)/Ecran)*'Calculs 3D'!$D$32)+(((($D261*$P$4)+'Calculs 3D'!$E$11-OffsetZ)/Ecran)*'Calculs 3D'!$E$32)),0)</f>
        <v>0.12547429250400205</v>
      </c>
      <c r="R261" s="105">
        <f>IF(Body7Actif=TRUE,((((($B261*$R$4)+'Calculs 3D'!$C$12-OffsetX)/Ecran)*'Calculs 3D'!$C$31)+(((($C261*$R$4)+'Calculs 3D'!$D$12-OffsetY)/Ecran)*'Calculs 3D'!$D$31)+(((($D261*$R$4)+'Calculs 3D'!$E$12-OffsetZ)/Ecran)*'Calculs 3D'!$E$31)),0)</f>
        <v>-0.29203243012254204</v>
      </c>
      <c r="S261" s="105">
        <f>IF(Body7Actif=TRUE,((((($B261*$R$4)+'Calculs 3D'!$C$12-OffsetX)/Ecran)*'Calculs 3D'!$C$32)+(((($C261*$R$4)+'Calculs 3D'!$D$12-OffsetY)/Ecran)*'Calculs 3D'!$D$32)+(((($D261*$R$4)+'Calculs 3D'!$E$12-OffsetZ)/Ecran)*'Calculs 3D'!$E$32)),0)</f>
        <v>5.4730701478776095E-2</v>
      </c>
      <c r="T261" s="105">
        <f>IF(Body8Actif=TRUE,((((($B261*$T$4)+'Calculs 3D'!$C$13-OffsetX)/Ecran)*'Calculs 3D'!$C$31)+(((($C261*$T$4)+'Calculs 3D'!$D$13-OffsetY)/Ecran)*'Calculs 3D'!$D$31)+(((($D261*$T$4)+'Calculs 3D'!$E$13-OffsetZ)/Ecran)*'Calculs 3D'!$E$31)),0)</f>
        <v>0.16409748871336688</v>
      </c>
      <c r="U261" s="105">
        <f>IF(Body8Actif=TRUE,((((($B261*$T$4)+'Calculs 3D'!$C$13-OffsetX)/Ecran)*'Calculs 3D'!$C$32)+(((($C261*$T$4)+'Calculs 3D'!$D$13-OffsetY)/Ecran)*'Calculs 3D'!$D$32)+(((($D261*$T$4)+'Calculs 3D'!$E$13-OffsetZ)/Ecran)*'Calculs 3D'!$E$32)),0)</f>
        <v>-0.13331684422343279</v>
      </c>
      <c r="V261" s="105">
        <f>IF(Body9Actif=TRUE,((((($B261*$V$4)+'Calculs 3D'!$C$14-OffsetX)/Ecran)*'Calculs 3D'!$C$31)+(((($C261*$V$4)+'Calculs 3D'!$D$14-OffsetY)/Ecran)*'Calculs 3D'!$D$31)+(((($D261*$V$4)+'Calculs 3D'!$E$14-OffsetZ)/Ecran)*'Calculs 3D'!$E$31)),0)</f>
        <v>-0.18331069908099593</v>
      </c>
      <c r="W261" s="105">
        <f>IF(Body9Actif=TRUE,((((($B261*$V$4)+'Calculs 3D'!$C$14-OffsetX)/Ecran)*'Calculs 3D'!$C$32)+(((($C261*$V$4)+'Calculs 3D'!$D$14-OffsetY)/Ecran)*'Calculs 3D'!$D$32)+(((($D261*$V$4)+'Calculs 3D'!$E$14-OffsetZ)/Ecran)*'Calculs 3D'!$E$32)),0)</f>
        <v>0.28486309907498664</v>
      </c>
      <c r="X261" s="105">
        <f>IF(Body10Actif=TRUE,((((($B261*$X$4)+'Calculs 3D'!$C$15-OffsetX)/Ecran)*'Calculs 3D'!$C$31)+(((($C261*$X$4)+'Calculs 3D'!$D$15-OffsetY)/Ecran)*'Calculs 3D'!$D$31)+(((($D261*$X$4)+'Calculs 3D'!$E$15-OffsetZ)/Ecran)*'Calculs 3D'!$E$31)),0)</f>
        <v>-2.3973588714758132E-2</v>
      </c>
      <c r="Y261" s="105">
        <f>IF(Body10Actif=TRUE,((((($B261*$X$4)+'Calculs 3D'!$C$15-OffsetX)/Ecran)*'Calculs 3D'!$C$32)+(((($C261*$X$4)+'Calculs 3D'!$D$15-OffsetY)/Ecran)*'Calculs 3D'!$D$32)+(((($D261*$X$4)+'Calculs 3D'!$E$15-OffsetZ)/Ecran)*'Calculs 3D'!$E$32)),0)</f>
        <v>0.28679282022877628</v>
      </c>
    </row>
    <row r="262" spans="2:25" x14ac:dyDescent="0.3">
      <c r="B262" s="102">
        <v>-0.67249851196395738</v>
      </c>
      <c r="C262" s="102">
        <v>-0.67249851196395727</v>
      </c>
      <c r="D262" s="102">
        <v>-0.30901699437494756</v>
      </c>
      <c r="F262" s="105">
        <f>IF(Body1Actif=TRUE,((((($B262*$F$4)+'Calculs 3D'!$C$6-OffsetX)/Ecran)*'Calculs 3D'!$C$31)+(((($C262*$F$4)+'Calculs 3D'!$D$6-OffsetY)/Ecran)*'Calculs 3D'!$D$31)+(((($D262*$F$4)+'Calculs 3D'!$E$6-OffsetZ)/Ecran)*'Calculs 3D'!$E$31)),0)</f>
        <v>4.7031401757963845E-2</v>
      </c>
      <c r="G262" s="105">
        <f>IF(Body1Actif=TRUE,((((($B262*$F$4)+'Calculs 3D'!$C$6-OffsetX)/Ecran)*'Calculs 3D'!$C$32)+(((($C262*$F$4)+'Calculs 3D'!$D$6-OffsetY)/Ecran)*'Calculs 3D'!$D$32)+(((($D262*$F$4)+'Calculs 3D'!$E$6-OffsetZ)/Ecran)*'Calculs 3D'!$E$32)),0)</f>
        <v>0.26269052507100948</v>
      </c>
      <c r="H262" s="105">
        <f>IF(Body2Actif=TRUE,((((($B262*$H$4)+'Calculs 3D'!$C$7-OffsetX)/Ecran)*'Calculs 3D'!$C$31)+(((($C262*$H$4)+'Calculs 3D'!$D$7-OffsetY)/Ecran)*'Calculs 3D'!$D$31)+(((($D262*$H$4)+'Calculs 3D'!$E$7-OffsetZ)/Ecran)*'Calculs 3D'!$E$31)),0)</f>
        <v>1.1419401638293081E-2</v>
      </c>
      <c r="I262" s="105">
        <f>IF(Body2Actif=TRUE,((((($B262*$H$4)+'Calculs 3D'!$C$7-OffsetX)/Ecran)*'Calculs 3D'!$C$32)+(((($C262*$H$4)+'Calculs 3D'!$D$7-OffsetY)/Ecran)*'Calculs 3D'!$D$32)+(((($D262*$H$4)+'Calculs 3D'!$E$7-OffsetZ)/Ecran)*'Calculs 3D'!$E$32)),0)</f>
        <v>2.574956689682948E-2</v>
      </c>
      <c r="J262" s="105">
        <f>IF(Body3Actif=TRUE,((((($B262*$J$4)+'Calculs 3D'!$C$8-OffsetX)/Ecran)*'Calculs 3D'!$C$31)+(((($C262*$J$4)+'Calculs 3D'!$D$8-OffsetY)/Ecran)*'Calculs 3D'!$D$31)+(((($D262*$J$4)+'Calculs 3D'!$E$8-OffsetZ)/Ecran)*'Calculs 3D'!$E$31)),0)</f>
        <v>0.21251421564989378</v>
      </c>
      <c r="K262" s="105">
        <f>IF(Body3Actif=TRUE,((((($B262*$J$4)+'Calculs 3D'!$C$8-OffsetX)/Ecran)*'Calculs 3D'!$C$32)+(((($C262*$J$4)+'Calculs 3D'!$D$8-OffsetY)/Ecran)*'Calculs 3D'!$D$32)+(((($D262*$J$4)+'Calculs 3D'!$E$8-OffsetZ)/Ecran)*'Calculs 3D'!$E$32)),0)</f>
        <v>-8.2898421873910735E-2</v>
      </c>
      <c r="L262" s="105">
        <f>IF(Body4Actif=TRUE,((((($B262*$L$4)+'Calculs 3D'!$C$9-OffsetX)/Ecran)*'Calculs 3D'!$C$31)+(((($C262*$L$4)+'Calculs 3D'!$D$9-OffsetY)/Ecran)*'Calculs 3D'!$D$31)+(((($D262*$L$4)+'Calculs 3D'!$E$9-OffsetZ)/Ecran)*'Calculs 3D'!$E$31)),0)</f>
        <v>-0.10251735471571756</v>
      </c>
      <c r="M262" s="105">
        <f>IF(Body4Actif=TRUE,((((($B262*$L$4)+'Calculs 3D'!$C$9-OffsetX)/Ecran)*'Calculs 3D'!$C$32)+(((($C262*$L$4)+'Calculs 3D'!$D$9-OffsetY)/Ecran)*'Calculs 3D'!$D$32)+(((($D262*$L$4)+'Calculs 3D'!$E$9-OffsetZ)/Ecran)*'Calculs 3D'!$E$32)),0)</f>
        <v>-0.17475094764355772</v>
      </c>
      <c r="N262" s="105">
        <f>IF(Body5Actif=TRUE,((((($B262*$N$4)+'Calculs 3D'!$C$10-OffsetX)/Ecran)*'Calculs 3D'!$C$31)+(((($C262*$N$4)+'Calculs 3D'!$D$10-OffsetY)/Ecran)*'Calculs 3D'!$D$31)+(((($D262*$N$4)+'Calculs 3D'!$E$10-OffsetZ)/Ecran)*'Calculs 3D'!$E$31)),0)</f>
        <v>-8.2671391733349364E-3</v>
      </c>
      <c r="O262" s="105">
        <f>IF(Body5Actif=TRUE,((((($B262*$N$4)+'Calculs 3D'!$C$10-OffsetX)/Ecran)*'Calculs 3D'!$C$32)+(((($C262*$N$4)+'Calculs 3D'!$D$10-OffsetY)/Ecran)*'Calculs 3D'!$D$32)+(((($D262*$N$4)+'Calculs 3D'!$E$10-OffsetZ)/Ecran)*'Calculs 3D'!$E$32)),0)</f>
        <v>-8.2107447908999036E-3</v>
      </c>
      <c r="P262" s="105">
        <f>IF(Body6Actif=TRUE,((((($B262*$P$4)+'Calculs 3D'!$C$11-OffsetX)/Ecran)*'Calculs 3D'!$C$31)+(((($C262*$P$4)+'Calculs 3D'!$D$11-OffsetY)/Ecran)*'Calculs 3D'!$D$31)+(((($D262*$P$4)+'Calculs 3D'!$E$11-OffsetZ)/Ecran)*'Calculs 3D'!$E$31)),0)</f>
        <v>0.1574561318168643</v>
      </c>
      <c r="Q262" s="105">
        <f>IF(Body6Actif=TRUE,((((($B262*$P$4)+'Calculs 3D'!$C$11-OffsetX)/Ecran)*'Calculs 3D'!$C$32)+(((($C262*$P$4)+'Calculs 3D'!$D$11-OffsetY)/Ecran)*'Calculs 3D'!$D$32)+(((($D262*$P$4)+'Calculs 3D'!$E$11-OffsetZ)/Ecran)*'Calculs 3D'!$E$32)),0)</f>
        <v>0.12837347977284835</v>
      </c>
      <c r="R262" s="105">
        <f>IF(Body7Actif=TRUE,((((($B262*$R$4)+'Calculs 3D'!$C$12-OffsetX)/Ecran)*'Calculs 3D'!$C$31)+(((($C262*$R$4)+'Calculs 3D'!$D$12-OffsetY)/Ecran)*'Calculs 3D'!$D$31)+(((($D262*$R$4)+'Calculs 3D'!$E$12-OffsetZ)/Ecran)*'Calculs 3D'!$E$31)),0)</f>
        <v>-0.29401533439356276</v>
      </c>
      <c r="S262" s="105">
        <f>IF(Body7Actif=TRUE,((((($B262*$R$4)+'Calculs 3D'!$C$12-OffsetX)/Ecran)*'Calculs 3D'!$C$32)+(((($C262*$R$4)+'Calculs 3D'!$D$12-OffsetY)/Ecran)*'Calculs 3D'!$D$32)+(((($D262*$R$4)+'Calculs 3D'!$E$12-OffsetZ)/Ecran)*'Calculs 3D'!$E$32)),0)</f>
        <v>5.7642249447203794E-2</v>
      </c>
      <c r="T262" s="105">
        <f>IF(Body8Actif=TRUE,((((($B262*$T$4)+'Calculs 3D'!$C$13-OffsetX)/Ecran)*'Calculs 3D'!$C$31)+(((($C262*$T$4)+'Calculs 3D'!$D$13-OffsetY)/Ecran)*'Calculs 3D'!$D$31)+(((($D262*$T$4)+'Calculs 3D'!$E$13-OffsetZ)/Ecran)*'Calculs 3D'!$E$31)),0)</f>
        <v>0.16338233349732806</v>
      </c>
      <c r="U262" s="105">
        <f>IF(Body8Actif=TRUE,((((($B262*$T$4)+'Calculs 3D'!$C$13-OffsetX)/Ecran)*'Calculs 3D'!$C$32)+(((($C262*$T$4)+'Calculs 3D'!$D$13-OffsetY)/Ecran)*'Calculs 3D'!$D$32)+(((($D262*$T$4)+'Calculs 3D'!$E$13-OffsetZ)/Ecran)*'Calculs 3D'!$E$32)),0)</f>
        <v>-0.1322667639211213</v>
      </c>
      <c r="V262" s="105">
        <f>IF(Body9Actif=TRUE,((((($B262*$V$4)+'Calculs 3D'!$C$14-OffsetX)/Ecran)*'Calculs 3D'!$C$31)+(((($C262*$V$4)+'Calculs 3D'!$D$14-OffsetY)/Ecran)*'Calculs 3D'!$D$31)+(((($D262*$V$4)+'Calculs 3D'!$E$14-OffsetZ)/Ecran)*'Calculs 3D'!$E$31)),0)</f>
        <v>-0.18430298834353165</v>
      </c>
      <c r="W262" s="105">
        <f>IF(Body9Actif=TRUE,((((($B262*$V$4)+'Calculs 3D'!$C$14-OffsetX)/Ecran)*'Calculs 3D'!$C$32)+(((($C262*$V$4)+'Calculs 3D'!$D$14-OffsetY)/Ecran)*'Calculs 3D'!$D$32)+(((($D262*$V$4)+'Calculs 3D'!$E$14-OffsetZ)/Ecran)*'Calculs 3D'!$E$32)),0)</f>
        <v>0.28632010223376303</v>
      </c>
      <c r="X262" s="105">
        <f>IF(Body10Actif=TRUE,((((($B262*$X$4)+'Calculs 3D'!$C$15-OffsetX)/Ecran)*'Calculs 3D'!$C$31)+(((($C262*$X$4)+'Calculs 3D'!$D$15-OffsetY)/Ecran)*'Calculs 3D'!$D$31)+(((($D262*$X$4)+'Calculs 3D'!$E$15-OffsetZ)/Ecran)*'Calculs 3D'!$E$31)),0)</f>
        <v>-2.5471403806740914E-2</v>
      </c>
      <c r="Y262" s="105">
        <f>IF(Body10Actif=TRUE,((((($B262*$X$4)+'Calculs 3D'!$C$15-OffsetX)/Ecran)*'Calculs 3D'!$C$32)+(((($C262*$X$4)+'Calculs 3D'!$D$15-OffsetY)/Ecran)*'Calculs 3D'!$D$32)+(((($D262*$X$4)+'Calculs 3D'!$E$15-OffsetZ)/Ecran)*'Calculs 3D'!$E$32)),0)</f>
        <v>0.28899209961501598</v>
      </c>
    </row>
    <row r="263" spans="2:25" x14ac:dyDescent="0.3">
      <c r="B263" s="102">
        <v>-0.70710678118654757</v>
      </c>
      <c r="C263" s="102">
        <v>-0.70710678118654746</v>
      </c>
      <c r="D263" s="102">
        <v>-1.83772268236293E-16</v>
      </c>
      <c r="F263" s="105">
        <f>IF(Body1Actif=TRUE,((((($B263*$F$4)+'Calculs 3D'!$C$6-OffsetX)/Ecran)*'Calculs 3D'!$C$31)+(((($C263*$F$4)+'Calculs 3D'!$D$6-OffsetY)/Ecran)*'Calculs 3D'!$D$31)+(((($D263*$F$4)+'Calculs 3D'!$E$6-OffsetZ)/Ecran)*'Calculs 3D'!$E$31)),0)</f>
        <v>4.6848825443080222E-2</v>
      </c>
      <c r="G263" s="105">
        <f>IF(Body1Actif=TRUE,((((($B263*$F$4)+'Calculs 3D'!$C$6-OffsetX)/Ecran)*'Calculs 3D'!$C$32)+(((($C263*$F$4)+'Calculs 3D'!$D$6-OffsetY)/Ecran)*'Calculs 3D'!$D$32)+(((($D263*$F$4)+'Calculs 3D'!$E$6-OffsetZ)/Ecran)*'Calculs 3D'!$E$32)),0)</f>
        <v>0.26359241750160134</v>
      </c>
      <c r="H263" s="105">
        <f>IF(Body2Actif=TRUE,((((($B263*$H$4)+'Calculs 3D'!$C$7-OffsetX)/Ecran)*'Calculs 3D'!$C$31)+(((($C263*$H$4)+'Calculs 3D'!$D$7-OffsetY)/Ecran)*'Calculs 3D'!$D$31)+(((($D263*$H$4)+'Calculs 3D'!$E$7-OffsetZ)/Ecran)*'Calculs 3D'!$E$31)),0)</f>
        <v>1.0707741721704557E-2</v>
      </c>
      <c r="I263" s="105">
        <f>IF(Body2Actif=TRUE,((((($B263*$H$4)+'Calculs 3D'!$C$7-OffsetX)/Ecran)*'Calculs 3D'!$C$32)+(((($C263*$H$4)+'Calculs 3D'!$D$7-OffsetY)/Ecran)*'Calculs 3D'!$D$32)+(((($D263*$H$4)+'Calculs 3D'!$E$7-OffsetZ)/Ecran)*'Calculs 3D'!$E$32)),0)</f>
        <v>2.9265032154937438E-2</v>
      </c>
      <c r="J263" s="105">
        <f>IF(Body3Actif=TRUE,((((($B263*$J$4)+'Calculs 3D'!$C$8-OffsetX)/Ecran)*'Calculs 3D'!$C$31)+(((($C263*$J$4)+'Calculs 3D'!$D$8-OffsetY)/Ecran)*'Calculs 3D'!$D$31)+(((($D263*$J$4)+'Calculs 3D'!$E$8-OffsetZ)/Ecran)*'Calculs 3D'!$E$31)),0)</f>
        <v>0.21219793817440935</v>
      </c>
      <c r="K263" s="105">
        <f>IF(Body3Actif=TRUE,((((($B263*$J$4)+'Calculs 3D'!$C$8-OffsetX)/Ecran)*'Calculs 3D'!$C$32)+(((($C263*$J$4)+'Calculs 3D'!$D$8-OffsetY)/Ecran)*'Calculs 3D'!$D$32)+(((($D263*$J$4)+'Calculs 3D'!$E$8-OffsetZ)/Ecran)*'Calculs 3D'!$E$32)),0)</f>
        <v>-8.1336071021951201E-2</v>
      </c>
      <c r="L263" s="105">
        <f>IF(Body4Actif=TRUE,((((($B263*$L$4)+'Calculs 3D'!$C$9-OffsetX)/Ecran)*'Calculs 3D'!$C$31)+(((($C263*$L$4)+'Calculs 3D'!$D$9-OffsetY)/Ecran)*'Calculs 3D'!$D$31)+(((($D263*$L$4)+'Calculs 3D'!$E$9-OffsetZ)/Ecran)*'Calculs 3D'!$E$31)),0)</f>
        <v>-0.10292860797416389</v>
      </c>
      <c r="M263" s="105">
        <f>IF(Body4Actif=TRUE,((((($B263*$L$4)+'Calculs 3D'!$C$9-OffsetX)/Ecran)*'Calculs 3D'!$C$32)+(((($C263*$L$4)+'Calculs 3D'!$D$9-OffsetY)/Ecran)*'Calculs 3D'!$D$32)+(((($D263*$L$4)+'Calculs 3D'!$E$9-OffsetZ)/Ecran)*'Calculs 3D'!$E$32)),0)</f>
        <v>-0.17271943440436585</v>
      </c>
      <c r="N263" s="105">
        <f>IF(Body5Actif=TRUE,((((($B263*$N$4)+'Calculs 3D'!$C$10-OffsetX)/Ecran)*'Calculs 3D'!$C$31)+(((($C263*$N$4)+'Calculs 3D'!$D$10-OffsetY)/Ecran)*'Calculs 3D'!$D$31)+(((($D263*$N$4)+'Calculs 3D'!$E$10-OffsetZ)/Ecran)*'Calculs 3D'!$E$31)),0)</f>
        <v>-8.7366225220071106E-3</v>
      </c>
      <c r="O263" s="105">
        <f>IF(Body5Actif=TRUE,((((($B263*$N$4)+'Calculs 3D'!$C$10-OffsetX)/Ecran)*'Calculs 3D'!$C$32)+(((($C263*$N$4)+'Calculs 3D'!$D$10-OffsetY)/Ecran)*'Calculs 3D'!$D$32)+(((($D263*$N$4)+'Calculs 3D'!$E$10-OffsetZ)/Ecran)*'Calculs 3D'!$E$32)),0)</f>
        <v>-5.8915859299808141E-3</v>
      </c>
      <c r="P263" s="105">
        <f>IF(Body6Actif=TRUE,((((($B263*$P$4)+'Calculs 3D'!$C$11-OffsetX)/Ecran)*'Calculs 3D'!$C$31)+(((($C263*$P$4)+'Calculs 3D'!$D$11-OffsetY)/Ecran)*'Calculs 3D'!$D$31)+(((($D263*$P$4)+'Calculs 3D'!$E$11-OffsetZ)/Ecran)*'Calculs 3D'!$E$31)),0)</f>
        <v>0.15677577029488626</v>
      </c>
      <c r="Q263" s="105">
        <f>IF(Body6Actif=TRUE,((((($B263*$P$4)+'Calculs 3D'!$C$11-OffsetX)/Ecran)*'Calculs 3D'!$C$32)+(((($C263*$P$4)+'Calculs 3D'!$D$11-OffsetY)/Ecran)*'Calculs 3D'!$D$32)+(((($D263*$P$4)+'Calculs 3D'!$E$11-OffsetZ)/Ecran)*'Calculs 3D'!$E$32)),0)</f>
        <v>0.13173433688692154</v>
      </c>
      <c r="R263" s="105">
        <f>IF(Body7Actif=TRUE,((((($B263*$R$4)+'Calculs 3D'!$C$12-OffsetX)/Ecran)*'Calculs 3D'!$C$31)+(((($C263*$R$4)+'Calculs 3D'!$D$12-OffsetY)/Ecran)*'Calculs 3D'!$D$31)+(((($D263*$R$4)+'Calculs 3D'!$E$12-OffsetZ)/Ecran)*'Calculs 3D'!$E$31)),0)</f>
        <v>-0.29469859664033027</v>
      </c>
      <c r="S263" s="105">
        <f>IF(Body7Actif=TRUE,((((($B263*$R$4)+'Calculs 3D'!$C$12-OffsetX)/Ecran)*'Calculs 3D'!$C$32)+(((($C263*$R$4)+'Calculs 3D'!$D$12-OffsetY)/Ecran)*'Calculs 3D'!$D$32)+(((($D263*$R$4)+'Calculs 3D'!$E$12-OffsetZ)/Ecran)*'Calculs 3D'!$E$32)),0)</f>
        <v>6.1017435592578051E-2</v>
      </c>
      <c r="T263" s="105">
        <f>IF(Body8Actif=TRUE,((((($B263*$T$4)+'Calculs 3D'!$C$13-OffsetX)/Ecran)*'Calculs 3D'!$C$31)+(((($C263*$T$4)+'Calculs 3D'!$D$13-OffsetY)/Ecran)*'Calculs 3D'!$D$31)+(((($D263*$T$4)+'Calculs 3D'!$E$13-OffsetZ)/Ecran)*'Calculs 3D'!$E$31)),0)</f>
        <v>0.16313590780404608</v>
      </c>
      <c r="U263" s="105">
        <f>IF(Body8Actif=TRUE,((((($B263*$T$4)+'Calculs 3D'!$C$13-OffsetX)/Ecran)*'Calculs 3D'!$C$32)+(((($C263*$T$4)+'Calculs 3D'!$D$13-OffsetY)/Ecran)*'Calculs 3D'!$D$32)+(((($D263*$T$4)+'Calculs 3D'!$E$13-OffsetZ)/Ecran)*'Calculs 3D'!$E$32)),0)</f>
        <v>-0.13104946764906092</v>
      </c>
      <c r="V263" s="105">
        <f>IF(Body9Actif=TRUE,((((($B263*$V$4)+'Calculs 3D'!$C$14-OffsetX)/Ecran)*'Calculs 3D'!$C$31)+(((($C263*$V$4)+'Calculs 3D'!$D$14-OffsetY)/Ecran)*'Calculs 3D'!$D$31)+(((($D263*$V$4)+'Calculs 3D'!$E$14-OffsetZ)/Ecran)*'Calculs 3D'!$E$31)),0)</f>
        <v>-0.18464490792122984</v>
      </c>
      <c r="W263" s="105">
        <f>IF(Body9Actif=TRUE,((((($B263*$V$4)+'Calculs 3D'!$C$14-OffsetX)/Ecran)*'Calculs 3D'!$C$32)+(((($C263*$V$4)+'Calculs 3D'!$D$14-OffsetY)/Ecran)*'Calculs 3D'!$D$32)+(((($D263*$V$4)+'Calculs 3D'!$E$14-OffsetZ)/Ecran)*'Calculs 3D'!$E$32)),0)</f>
        <v>0.28800912021615421</v>
      </c>
      <c r="X263" s="105">
        <f>IF(Body10Actif=TRUE,((((($B263*$X$4)+'Calculs 3D'!$C$15-OffsetX)/Ecran)*'Calculs 3D'!$C$31)+(((($C263*$X$4)+'Calculs 3D'!$D$15-OffsetY)/Ecran)*'Calculs 3D'!$D$31)+(((($D263*$X$4)+'Calculs 3D'!$E$15-OffsetZ)/Ecran)*'Calculs 3D'!$E$31)),0)</f>
        <v>-2.598751571387975E-2</v>
      </c>
      <c r="Y263" s="105">
        <f>IF(Body10Actif=TRUE,((((($B263*$X$4)+'Calculs 3D'!$C$15-OffsetX)/Ecran)*'Calculs 3D'!$C$32)+(((($C263*$X$4)+'Calculs 3D'!$D$15-OffsetY)/Ecran)*'Calculs 3D'!$D$32)+(((($D263*$X$4)+'Calculs 3D'!$E$15-OffsetZ)/Ecran)*'Calculs 3D'!$E$32)),0)</f>
        <v>0.29154159472714769</v>
      </c>
    </row>
    <row r="264" spans="2:25" x14ac:dyDescent="0.3">
      <c r="B264" s="102">
        <v>-0.67249851196395738</v>
      </c>
      <c r="C264" s="102">
        <v>-0.67249851196395727</v>
      </c>
      <c r="D264" s="102">
        <v>0.30901699437494723</v>
      </c>
      <c r="F264" s="105">
        <f>IF(Body1Actif=TRUE,((((($B264*$F$4)+'Calculs 3D'!$C$6-OffsetX)/Ecran)*'Calculs 3D'!$C$31)+(((($C264*$F$4)+'Calculs 3D'!$D$6-OffsetY)/Ecran)*'Calculs 3D'!$D$31)+(((($D264*$F$4)+'Calculs 3D'!$E$6-OffsetZ)/Ecran)*'Calculs 3D'!$E$31)),0)</f>
        <v>4.7031401757963845E-2</v>
      </c>
      <c r="G264" s="105">
        <f>IF(Body1Actif=TRUE,((((($B264*$F$4)+'Calculs 3D'!$C$6-OffsetX)/Ecran)*'Calculs 3D'!$C$32)+(((($C264*$F$4)+'Calculs 3D'!$D$6-OffsetY)/Ecran)*'Calculs 3D'!$D$32)+(((($D264*$F$4)+'Calculs 3D'!$E$6-OffsetZ)/Ecran)*'Calculs 3D'!$E$32)),0)</f>
        <v>0.26452991640264717</v>
      </c>
      <c r="H264" s="105">
        <f>IF(Body2Actif=TRUE,((((($B264*$H$4)+'Calculs 3D'!$C$7-OffsetX)/Ecran)*'Calculs 3D'!$C$31)+(((($C264*$H$4)+'Calculs 3D'!$D$7-OffsetY)/Ecran)*'Calculs 3D'!$D$31)+(((($D264*$H$4)+'Calculs 3D'!$E$7-OffsetZ)/Ecran)*'Calculs 3D'!$E$31)),0)</f>
        <v>1.1419401638293081E-2</v>
      </c>
      <c r="I264" s="105">
        <f>IF(Body2Actif=TRUE,((((($B264*$H$4)+'Calculs 3D'!$C$7-OffsetX)/Ecran)*'Calculs 3D'!$C$32)+(((($C264*$H$4)+'Calculs 3D'!$D$7-OffsetY)/Ecran)*'Calculs 3D'!$D$32)+(((($D264*$H$4)+'Calculs 3D'!$E$7-OffsetZ)/Ecran)*'Calculs 3D'!$E$32)),0)</f>
        <v>3.2919287035398648E-2</v>
      </c>
      <c r="J264" s="105">
        <f>IF(Body3Actif=TRUE,((((($B264*$J$4)+'Calculs 3D'!$C$8-OffsetX)/Ecran)*'Calculs 3D'!$C$31)+(((($C264*$J$4)+'Calculs 3D'!$D$8-OffsetY)/Ecran)*'Calculs 3D'!$D$31)+(((($D264*$J$4)+'Calculs 3D'!$E$8-OffsetZ)/Ecran)*'Calculs 3D'!$E$31)),0)</f>
        <v>0.21251421564989378</v>
      </c>
      <c r="K264" s="105">
        <f>IF(Body3Actif=TRUE,((((($B264*$J$4)+'Calculs 3D'!$C$8-OffsetX)/Ecran)*'Calculs 3D'!$C$32)+(((($C264*$J$4)+'Calculs 3D'!$D$8-OffsetY)/Ecran)*'Calculs 3D'!$D$32)+(((($D264*$J$4)+'Calculs 3D'!$E$8-OffsetZ)/Ecran)*'Calculs 3D'!$E$32)),0)</f>
        <v>-7.9712038978796043E-2</v>
      </c>
      <c r="L264" s="105">
        <f>IF(Body4Actif=TRUE,((((($B264*$L$4)+'Calculs 3D'!$C$9-OffsetX)/Ecran)*'Calculs 3D'!$C$31)+(((($C264*$L$4)+'Calculs 3D'!$D$9-OffsetY)/Ecran)*'Calculs 3D'!$D$31)+(((($D264*$L$4)+'Calculs 3D'!$E$9-OffsetZ)/Ecran)*'Calculs 3D'!$E$31)),0)</f>
        <v>-0.10251735471571756</v>
      </c>
      <c r="M264" s="105">
        <f>IF(Body4Actif=TRUE,((((($B264*$L$4)+'Calculs 3D'!$C$9-OffsetX)/Ecran)*'Calculs 3D'!$C$32)+(((($C264*$L$4)+'Calculs 3D'!$D$9-OffsetY)/Ecran)*'Calculs 3D'!$D$32)+(((($D264*$L$4)+'Calculs 3D'!$E$9-OffsetZ)/Ecran)*'Calculs 3D'!$E$32)),0)</f>
        <v>-0.17060771756918539</v>
      </c>
      <c r="N264" s="105">
        <f>IF(Body5Actif=TRUE,((((($B264*$N$4)+'Calculs 3D'!$C$10-OffsetX)/Ecran)*'Calculs 3D'!$C$31)+(((($C264*$N$4)+'Calculs 3D'!$D$10-OffsetY)/Ecran)*'Calculs 3D'!$D$31)+(((($D264*$N$4)+'Calculs 3D'!$E$10-OffsetZ)/Ecran)*'Calculs 3D'!$E$31)),0)</f>
        <v>-8.2671391733349364E-3</v>
      </c>
      <c r="O264" s="105">
        <f>IF(Body5Actif=TRUE,((((($B264*$N$4)+'Calculs 3D'!$C$10-OffsetX)/Ecran)*'Calculs 3D'!$C$32)+(((($C264*$N$4)+'Calculs 3D'!$D$10-OffsetY)/Ecran)*'Calculs 3D'!$D$32)+(((($D264*$N$4)+'Calculs 3D'!$E$10-OffsetZ)/Ecran)*'Calculs 3D'!$E$32)),0)</f>
        <v>-3.4808673013348758E-3</v>
      </c>
      <c r="P264" s="105">
        <f>IF(Body6Actif=TRUE,((((($B264*$P$4)+'Calculs 3D'!$C$11-OffsetX)/Ecran)*'Calculs 3D'!$C$31)+(((($C264*$P$4)+'Calculs 3D'!$D$11-OffsetY)/Ecran)*'Calculs 3D'!$D$31)+(((($D264*$P$4)+'Calculs 3D'!$E$11-OffsetZ)/Ecran)*'Calculs 3D'!$E$31)),0)</f>
        <v>0.1574561318168643</v>
      </c>
      <c r="Q264" s="105">
        <f>IF(Body6Actif=TRUE,((((($B264*$P$4)+'Calculs 3D'!$C$11-OffsetX)/Ecran)*'Calculs 3D'!$C$32)+(((($C264*$P$4)+'Calculs 3D'!$D$11-OffsetY)/Ecran)*'Calculs 3D'!$D$32)+(((($D264*$P$4)+'Calculs 3D'!$E$11-OffsetZ)/Ecran)*'Calculs 3D'!$E$32)),0)</f>
        <v>0.13522787973542763</v>
      </c>
      <c r="R264" s="105">
        <f>IF(Body7Actif=TRUE,((((($B264*$R$4)+'Calculs 3D'!$C$12-OffsetX)/Ecran)*'Calculs 3D'!$C$31)+(((($C264*$R$4)+'Calculs 3D'!$D$12-OffsetY)/Ecran)*'Calculs 3D'!$D$31)+(((($D264*$R$4)+'Calculs 3D'!$E$12-OffsetZ)/Ecran)*'Calculs 3D'!$E$31)),0)</f>
        <v>-0.29401533439356276</v>
      </c>
      <c r="S264" s="105">
        <f>IF(Body7Actif=TRUE,((((($B264*$R$4)+'Calculs 3D'!$C$12-OffsetX)/Ecran)*'Calculs 3D'!$C$32)+(((($C264*$R$4)+'Calculs 3D'!$D$12-OffsetY)/Ecran)*'Calculs 3D'!$D$32)+(((($D264*$R$4)+'Calculs 3D'!$E$12-OffsetZ)/Ecran)*'Calculs 3D'!$E$32)),0)</f>
        <v>6.4525873178684953E-2</v>
      </c>
      <c r="T264" s="105">
        <f>IF(Body8Actif=TRUE,((((($B264*$T$4)+'Calculs 3D'!$C$13-OffsetX)/Ecran)*'Calculs 3D'!$C$31)+(((($C264*$T$4)+'Calculs 3D'!$D$13-OffsetY)/Ecran)*'Calculs 3D'!$D$31)+(((($D264*$T$4)+'Calculs 3D'!$E$13-OffsetZ)/Ecran)*'Calculs 3D'!$E$31)),0)</f>
        <v>0.16338233349732806</v>
      </c>
      <c r="U264" s="105">
        <f>IF(Body8Actif=TRUE,((((($B264*$T$4)+'Calculs 3D'!$C$13-OffsetX)/Ecran)*'Calculs 3D'!$C$32)+(((($C264*$T$4)+'Calculs 3D'!$D$13-OffsetY)/Ecran)*'Calculs 3D'!$D$32)+(((($D264*$T$4)+'Calculs 3D'!$E$13-OffsetZ)/Ecran)*'Calculs 3D'!$E$32)),0)</f>
        <v>-0.1297841128477627</v>
      </c>
      <c r="V264" s="105">
        <f>IF(Body9Actif=TRUE,((((($B264*$V$4)+'Calculs 3D'!$C$14-OffsetX)/Ecran)*'Calculs 3D'!$C$31)+(((($C264*$V$4)+'Calculs 3D'!$D$14-OffsetY)/Ecran)*'Calculs 3D'!$D$31)+(((($D264*$V$4)+'Calculs 3D'!$E$14-OffsetZ)/Ecran)*'Calculs 3D'!$E$31)),0)</f>
        <v>-0.18430298834353165</v>
      </c>
      <c r="W264" s="105">
        <f>IF(Body9Actif=TRUE,((((($B264*$V$4)+'Calculs 3D'!$C$14-OffsetX)/Ecran)*'Calculs 3D'!$C$32)+(((($C264*$V$4)+'Calculs 3D'!$D$14-OffsetY)/Ecran)*'Calculs 3D'!$D$32)+(((($D264*$V$4)+'Calculs 3D'!$E$14-OffsetZ)/Ecran)*'Calculs 3D'!$E$32)),0)</f>
        <v>0.28976482017396338</v>
      </c>
      <c r="X264" s="105">
        <f>IF(Body10Actif=TRUE,((((($B264*$X$4)+'Calculs 3D'!$C$15-OffsetX)/Ecran)*'Calculs 3D'!$C$31)+(((($C264*$X$4)+'Calculs 3D'!$D$15-OffsetY)/Ecran)*'Calculs 3D'!$D$31)+(((($D264*$X$4)+'Calculs 3D'!$E$15-OffsetZ)/Ecran)*'Calculs 3D'!$E$31)),0)</f>
        <v>-2.5471403806740914E-2</v>
      </c>
      <c r="Y264" s="105">
        <f>IF(Body10Actif=TRUE,((((($B264*$X$4)+'Calculs 3D'!$C$15-OffsetX)/Ecran)*'Calculs 3D'!$C$32)+(((($C264*$X$4)+'Calculs 3D'!$D$15-OffsetY)/Ecran)*'Calculs 3D'!$D$32)+(((($D264*$X$4)+'Calculs 3D'!$E$15-OffsetZ)/Ecran)*'Calculs 3D'!$E$32)),0)</f>
        <v>0.29419174322021902</v>
      </c>
    </row>
    <row r="265" spans="2:25" x14ac:dyDescent="0.3">
      <c r="B265" s="102">
        <v>-0.57206140281768447</v>
      </c>
      <c r="C265" s="102">
        <v>-0.57206140281768436</v>
      </c>
      <c r="D265" s="102">
        <v>0.58778525229247292</v>
      </c>
      <c r="F265" s="105">
        <f>IF(Body1Actif=TRUE,((((($B265*$F$4)+'Calculs 3D'!$C$6-OffsetX)/Ecran)*'Calculs 3D'!$C$31)+(((($C265*$F$4)+'Calculs 3D'!$D$6-OffsetY)/Ecran)*'Calculs 3D'!$D$31)+(((($D265*$F$4)+'Calculs 3D'!$E$6-OffsetZ)/Ecran)*'Calculs 3D'!$E$31)),0)</f>
        <v>4.7561258860829937E-2</v>
      </c>
      <c r="G265" s="105">
        <f>IF(Body1Actif=TRUE,((((($B265*$F$4)+'Calculs 3D'!$C$6-OffsetX)/Ecran)*'Calculs 3D'!$C$32)+(((($C265*$F$4)+'Calculs 3D'!$D$6-OffsetY)/Ecran)*'Calculs 3D'!$D$32)+(((($D265*$F$4)+'Calculs 3D'!$E$6-OffsetZ)/Ecran)*'Calculs 3D'!$E$32)),0)</f>
        <v>0.26541125284977374</v>
      </c>
      <c r="H265" s="105">
        <f>IF(Body2Actif=TRUE,((((($B265*$H$4)+'Calculs 3D'!$C$7-OffsetX)/Ecran)*'Calculs 3D'!$C$31)+(((($C265*$H$4)+'Calculs 3D'!$D$7-OffsetY)/Ecran)*'Calculs 3D'!$D$31)+(((($D265*$H$4)+'Calculs 3D'!$E$7-OffsetZ)/Ecran)*'Calculs 3D'!$E$31)),0)</f>
        <v>1.3484719156996765E-2</v>
      </c>
      <c r="I265" s="105">
        <f>IF(Body2Actif=TRUE,((((($B265*$H$4)+'Calculs 3D'!$C$7-OffsetX)/Ecran)*'Calculs 3D'!$C$32)+(((($C265*$H$4)+'Calculs 3D'!$D$7-OffsetY)/Ecran)*'Calculs 3D'!$D$32)+(((($D265*$H$4)+'Calculs 3D'!$E$7-OffsetZ)/Ecran)*'Calculs 3D'!$E$32)),0)</f>
        <v>3.63546276098227E-2</v>
      </c>
      <c r="J265" s="105">
        <f>IF(Body3Actif=TRUE,((((($B265*$J$4)+'Calculs 3D'!$C$8-OffsetX)/Ecran)*'Calculs 3D'!$C$31)+(((($C265*$J$4)+'Calculs 3D'!$D$8-OffsetY)/Ecran)*'Calculs 3D'!$D$31)+(((($D265*$J$4)+'Calculs 3D'!$E$8-OffsetZ)/Ecran)*'Calculs 3D'!$E$31)),0)</f>
        <v>0.21343208863341184</v>
      </c>
      <c r="K265" s="105">
        <f>IF(Body3Actif=TRUE,((((($B265*$J$4)+'Calculs 3D'!$C$8-OffsetX)/Ecran)*'Calculs 3D'!$C$32)+(((($C265*$J$4)+'Calculs 3D'!$D$8-OffsetY)/Ecran)*'Calculs 3D'!$D$32)+(((($D265*$J$4)+'Calculs 3D'!$E$8-OffsetZ)/Ecran)*'Calculs 3D'!$E$32)),0)</f>
        <v>-7.8185297316125973E-2</v>
      </c>
      <c r="L265" s="105">
        <f>IF(Body4Actif=TRUE,((((($B265*$L$4)+'Calculs 3D'!$C$9-OffsetX)/Ecran)*'Calculs 3D'!$C$31)+(((($C265*$L$4)+'Calculs 3D'!$D$9-OffsetY)/Ecran)*'Calculs 3D'!$D$31)+(((($D265*$L$4)+'Calculs 3D'!$E$9-OffsetZ)/Ecran)*'Calculs 3D'!$E$31)),0)</f>
        <v>-0.10132385127468524</v>
      </c>
      <c r="M265" s="105">
        <f>IF(Body4Actif=TRUE,((((($B265*$L$4)+'Calculs 3D'!$C$9-OffsetX)/Ecran)*'Calculs 3D'!$C$32)+(((($C265*$L$4)+'Calculs 3D'!$D$9-OffsetY)/Ecran)*'Calculs 3D'!$D$32)+(((($D265*$L$4)+'Calculs 3D'!$E$9-OffsetZ)/Ecran)*'Calculs 3D'!$E$32)),0)</f>
        <v>-0.16862250669504023</v>
      </c>
      <c r="N265" s="105">
        <f>IF(Body5Actif=TRUE,((((($B265*$N$4)+'Calculs 3D'!$C$10-OffsetX)/Ecran)*'Calculs 3D'!$C$31)+(((($C265*$N$4)+'Calculs 3D'!$D$10-OffsetY)/Ecran)*'Calculs 3D'!$D$31)+(((($D265*$N$4)+'Calculs 3D'!$E$10-OffsetZ)/Ecran)*'Calculs 3D'!$E$31)),0)</f>
        <v>-6.9046454285692834E-3</v>
      </c>
      <c r="O265" s="105">
        <f>IF(Body5Actif=TRUE,((((($B265*$N$4)+'Calculs 3D'!$C$10-OffsetX)/Ecran)*'Calculs 3D'!$C$32)+(((($C265*$N$4)+'Calculs 3D'!$D$10-OffsetY)/Ecran)*'Calculs 3D'!$D$32)+(((($D265*$N$4)+'Calculs 3D'!$E$10-OffsetZ)/Ecran)*'Calculs 3D'!$E$32)),0)</f>
        <v>-1.2145668407982941E-3</v>
      </c>
      <c r="P265" s="105">
        <f>IF(Body6Actif=TRUE,((((($B265*$P$4)+'Calculs 3D'!$C$11-OffsetX)/Ecran)*'Calculs 3D'!$C$31)+(((($C265*$P$4)+'Calculs 3D'!$D$11-OffsetY)/Ecran)*'Calculs 3D'!$D$31)+(((($D265*$P$4)+'Calculs 3D'!$E$11-OffsetZ)/Ecran)*'Calculs 3D'!$E$31)),0)</f>
        <v>0.15943061785666973</v>
      </c>
      <c r="Q265" s="105">
        <f>IF(Body6Actif=TRUE,((((($B265*$P$4)+'Calculs 3D'!$C$11-OffsetX)/Ecran)*'Calculs 3D'!$C$32)+(((($C265*$P$4)+'Calculs 3D'!$D$11-OffsetY)/Ecran)*'Calculs 3D'!$D$32)+(((($D265*$P$4)+'Calculs 3D'!$E$11-OffsetZ)/Ecran)*'Calculs 3D'!$E$32)),0)</f>
        <v>0.13851213600341056</v>
      </c>
      <c r="R265" s="105">
        <f>IF(Body7Actif=TRUE,((((($B265*$R$4)+'Calculs 3D'!$C$12-OffsetX)/Ecran)*'Calculs 3D'!$C$31)+(((($C265*$R$4)+'Calculs 3D'!$D$12-OffsetY)/Ecran)*'Calculs 3D'!$D$31)+(((($D265*$R$4)+'Calculs 3D'!$E$12-OffsetZ)/Ecran)*'Calculs 3D'!$E$31)),0)</f>
        <v>-0.29203243012254204</v>
      </c>
      <c r="S265" s="105">
        <f>IF(Body7Actif=TRUE,((((($B265*$R$4)+'Calculs 3D'!$C$12-OffsetX)/Ecran)*'Calculs 3D'!$C$32)+(((($C265*$R$4)+'Calculs 3D'!$D$12-OffsetY)/Ecran)*'Calculs 3D'!$D$32)+(((($D265*$R$4)+'Calculs 3D'!$E$12-OffsetZ)/Ecran)*'Calculs 3D'!$E$32)),0)</f>
        <v>6.7824131889874309E-2</v>
      </c>
      <c r="T265" s="105">
        <f>IF(Body8Actif=TRUE,((((($B265*$T$4)+'Calculs 3D'!$C$13-OffsetX)/Ecran)*'Calculs 3D'!$C$31)+(((($C265*$T$4)+'Calculs 3D'!$D$13-OffsetY)/Ecran)*'Calculs 3D'!$D$31)+(((($D265*$T$4)+'Calculs 3D'!$E$13-OffsetZ)/Ecran)*'Calculs 3D'!$E$31)),0)</f>
        <v>0.16409748871336688</v>
      </c>
      <c r="U265" s="105">
        <f>IF(Body8Actif=TRUE,((((($B265*$T$4)+'Calculs 3D'!$C$13-OffsetX)/Ecran)*'Calculs 3D'!$C$32)+(((($C265*$T$4)+'Calculs 3D'!$D$13-OffsetY)/Ecran)*'Calculs 3D'!$D$32)+(((($D265*$T$4)+'Calculs 3D'!$E$13-OffsetZ)/Ecran)*'Calculs 3D'!$E$32)),0)</f>
        <v>-0.12859456126142305</v>
      </c>
      <c r="V265" s="105">
        <f>IF(Body9Actif=TRUE,((((($B265*$V$4)+'Calculs 3D'!$C$14-OffsetX)/Ecran)*'Calculs 3D'!$C$31)+(((($C265*$V$4)+'Calculs 3D'!$D$14-OffsetY)/Ecran)*'Calculs 3D'!$D$31)+(((($D265*$V$4)+'Calculs 3D'!$E$14-OffsetZ)/Ecran)*'Calculs 3D'!$E$31)),0)</f>
        <v>-0.18331069908099593</v>
      </c>
      <c r="W265" s="105">
        <f>IF(Body9Actif=TRUE,((((($B265*$V$4)+'Calculs 3D'!$C$14-OffsetX)/Ecran)*'Calculs 3D'!$C$32)+(((($C265*$V$4)+'Calculs 3D'!$D$14-OffsetY)/Ecran)*'Calculs 3D'!$D$32)+(((($D265*$V$4)+'Calculs 3D'!$E$14-OffsetZ)/Ecran)*'Calculs 3D'!$E$32)),0)</f>
        <v>0.29141534196263918</v>
      </c>
      <c r="X265" s="105">
        <f>IF(Body10Actif=TRUE,((((($B265*$X$4)+'Calculs 3D'!$C$15-OffsetX)/Ecran)*'Calculs 3D'!$C$31)+(((($C265*$X$4)+'Calculs 3D'!$D$15-OffsetY)/Ecran)*'Calculs 3D'!$D$31)+(((($D265*$X$4)+'Calculs 3D'!$E$15-OffsetZ)/Ecran)*'Calculs 3D'!$E$31)),0)</f>
        <v>-2.3973588714758132E-2</v>
      </c>
      <c r="Y265" s="105">
        <f>IF(Body10Actif=TRUE,((((($B265*$X$4)+'Calculs 3D'!$C$15-OffsetX)/Ecran)*'Calculs 3D'!$C$32)+(((($C265*$X$4)+'Calculs 3D'!$D$15-OffsetY)/Ecran)*'Calculs 3D'!$D$32)+(((($D265*$X$4)+'Calculs 3D'!$E$15-OffsetZ)/Ecran)*'Calculs 3D'!$E$32)),0)</f>
        <v>0.29668313009505781</v>
      </c>
    </row>
    <row r="266" spans="2:25" x14ac:dyDescent="0.3">
      <c r="B266" s="102">
        <v>-0.41562693777745363</v>
      </c>
      <c r="C266" s="102">
        <v>-0.41562693777745358</v>
      </c>
      <c r="D266" s="102">
        <v>0.80901699437494734</v>
      </c>
      <c r="F266" s="105">
        <f>IF(Body1Actif=TRUE,((((($B266*$F$4)+'Calculs 3D'!$C$6-OffsetX)/Ecran)*'Calculs 3D'!$C$31)+(((($C266*$F$4)+'Calculs 3D'!$D$6-OffsetY)/Ecran)*'Calculs 3D'!$D$31)+(((($D266*$F$4)+'Calculs 3D'!$E$6-OffsetZ)/Ecran)*'Calculs 3D'!$E$31)),0)</f>
        <v>4.8386530646718461E-2</v>
      </c>
      <c r="G266" s="105">
        <f>IF(Body1Actif=TRUE,((((($B266*$F$4)+'Calculs 3D'!$C$6-OffsetX)/Ecran)*'Calculs 3D'!$C$32)+(((($C266*$F$4)+'Calculs 3D'!$D$6-OffsetY)/Ecran)*'Calculs 3D'!$D$32)+(((($D266*$F$4)+'Calculs 3D'!$E$6-OffsetZ)/Ecran)*'Calculs 3D'!$E$32)),0)</f>
        <v>0.26615015549090432</v>
      </c>
      <c r="H266" s="105">
        <f>IF(Body2Actif=TRUE,((((($B266*$H$4)+'Calculs 3D'!$C$7-OffsetX)/Ecran)*'Calculs 3D'!$C$31)+(((($C266*$H$4)+'Calculs 3D'!$D$7-OffsetY)/Ecran)*'Calculs 3D'!$D$31)+(((($D266*$H$4)+'Calculs 3D'!$E$7-OffsetZ)/Ecran)*'Calculs 3D'!$E$31)),0)</f>
        <v>1.6701526609171596E-2</v>
      </c>
      <c r="I266" s="105">
        <f>IF(Body2Actif=TRUE,((((($B266*$H$4)+'Calculs 3D'!$C$7-OffsetX)/Ecran)*'Calculs 3D'!$C$32)+(((($C266*$H$4)+'Calculs 3D'!$D$7-OffsetY)/Ecran)*'Calculs 3D'!$D$32)+(((($D266*$H$4)+'Calculs 3D'!$E$7-OffsetZ)/Ecran)*'Calculs 3D'!$E$32)),0)</f>
        <v>3.923477880735976E-2</v>
      </c>
      <c r="J266" s="105">
        <f>IF(Body3Actif=TRUE,((((($B266*$J$4)+'Calculs 3D'!$C$8-OffsetX)/Ecran)*'Calculs 3D'!$C$31)+(((($C266*$J$4)+'Calculs 3D'!$D$8-OffsetY)/Ecran)*'Calculs 3D'!$D$31)+(((($D266*$J$4)+'Calculs 3D'!$E$8-OffsetZ)/Ecran)*'Calculs 3D'!$E$31)),0)</f>
        <v>0.21486170932213972</v>
      </c>
      <c r="K266" s="105">
        <f>IF(Body3Actif=TRUE,((((($B266*$J$4)+'Calculs 3D'!$C$8-OffsetX)/Ecran)*'Calculs 3D'!$C$32)+(((($C266*$J$4)+'Calculs 3D'!$D$8-OffsetY)/Ecran)*'Calculs 3D'!$D$32)+(((($D266*$J$4)+'Calculs 3D'!$E$8-OffsetZ)/Ecran)*'Calculs 3D'!$E$32)),0)</f>
        <v>-7.6905294145317757E-2</v>
      </c>
      <c r="L266" s="105">
        <f>IF(Body4Actif=TRUE,((((($B266*$L$4)+'Calculs 3D'!$C$9-OffsetX)/Ecran)*'Calculs 3D'!$C$31)+(((($C266*$L$4)+'Calculs 3D'!$D$9-OffsetY)/Ecran)*'Calculs 3D'!$D$31)+(((($D266*$L$4)+'Calculs 3D'!$E$9-OffsetZ)/Ecran)*'Calculs 3D'!$E$31)),0)</f>
        <v>-9.9464926083502575E-2</v>
      </c>
      <c r="M266" s="105">
        <f>IF(Body4Actif=TRUE,((((($B266*$L$4)+'Calculs 3D'!$C$9-OffsetX)/Ecran)*'Calculs 3D'!$C$32)+(((($C266*$L$4)+'Calculs 3D'!$D$9-OffsetY)/Ecran)*'Calculs 3D'!$D$32)+(((($D266*$L$4)+'Calculs 3D'!$E$9-OffsetZ)/Ecran)*'Calculs 3D'!$E$32)),0)</f>
        <v>-0.16695812805406909</v>
      </c>
      <c r="N266" s="105">
        <f>IF(Body5Actif=TRUE,((((($B266*$N$4)+'Calculs 3D'!$C$10-OffsetX)/Ecran)*'Calculs 3D'!$C$31)+(((($C266*$N$4)+'Calculs 3D'!$D$10-OffsetY)/Ecran)*'Calculs 3D'!$D$31)+(((($D266*$N$4)+'Calculs 3D'!$E$10-OffsetZ)/Ecran)*'Calculs 3D'!$E$31)),0)</f>
        <v>-4.7825116684999313E-3</v>
      </c>
      <c r="O266" s="105">
        <f>IF(Body5Actif=TRUE,((((($B266*$N$4)+'Calculs 3D'!$C$10-OffsetX)/Ecran)*'Calculs 3D'!$C$32)+(((($C266*$N$4)+'Calculs 3D'!$D$10-OffsetY)/Ecran)*'Calculs 3D'!$D$32)+(((($D266*$N$4)+'Calculs 3D'!$E$10-OffsetZ)/Ecran)*'Calculs 3D'!$E$32)),0)</f>
        <v>6.854741723078114E-4</v>
      </c>
      <c r="P266" s="105">
        <f>IF(Body6Actif=TRUE,((((($B266*$P$4)+'Calculs 3D'!$C$11-OffsetX)/Ecran)*'Calculs 3D'!$C$31)+(((($C266*$P$4)+'Calculs 3D'!$D$11-OffsetY)/Ecran)*'Calculs 3D'!$D$31)+(((($D266*$P$4)+'Calculs 3D'!$E$11-OffsetZ)/Ecran)*'Calculs 3D'!$E$31)),0)</f>
        <v>0.16250595196367329</v>
      </c>
      <c r="Q266" s="105">
        <f>IF(Body6Actif=TRUE,((((($B266*$P$4)+'Calculs 3D'!$C$11-OffsetX)/Ecran)*'Calculs 3D'!$C$32)+(((($C266*$P$4)+'Calculs 3D'!$D$11-OffsetY)/Ecran)*'Calculs 3D'!$D$32)+(((($D266*$P$4)+'Calculs 3D'!$E$11-OffsetZ)/Ecran)*'Calculs 3D'!$E$32)),0)</f>
        <v>0.1412656198046012</v>
      </c>
      <c r="R266" s="105">
        <f>IF(Body7Actif=TRUE,((((($B266*$R$4)+'Calculs 3D'!$C$12-OffsetX)/Ecran)*'Calculs 3D'!$C$31)+(((($C266*$R$4)+'Calculs 3D'!$D$12-OffsetY)/Ecran)*'Calculs 3D'!$D$31)+(((($D266*$R$4)+'Calculs 3D'!$E$12-OffsetZ)/Ecran)*'Calculs 3D'!$E$31)),0)</f>
        <v>-0.28894398431302193</v>
      </c>
      <c r="S266" s="105">
        <f>IF(Body7Actif=TRUE,((((($B266*$R$4)+'Calculs 3D'!$C$12-OffsetX)/Ecran)*'Calculs 3D'!$C$32)+(((($C266*$R$4)+'Calculs 3D'!$D$12-OffsetY)/Ecran)*'Calculs 3D'!$D$32)+(((($D266*$R$4)+'Calculs 3D'!$E$12-OffsetZ)/Ecran)*'Calculs 3D'!$E$32)),0)</f>
        <v>7.0589355183175204E-2</v>
      </c>
      <c r="T266" s="105">
        <f>IF(Body8Actif=TRUE,((((($B266*$T$4)+'Calculs 3D'!$C$13-OffsetX)/Ecran)*'Calculs 3D'!$C$31)+(((($C266*$T$4)+'Calculs 3D'!$D$13-OffsetY)/Ecran)*'Calculs 3D'!$D$31)+(((($D266*$T$4)+'Calculs 3D'!$E$13-OffsetZ)/Ecran)*'Calculs 3D'!$E$31)),0)</f>
        <v>0.16521136907683717</v>
      </c>
      <c r="U266" s="105">
        <f>IF(Body8Actif=TRUE,((((($B266*$T$4)+'Calculs 3D'!$C$13-OffsetX)/Ecran)*'Calculs 3D'!$C$32)+(((($C266*$T$4)+'Calculs 3D'!$D$13-OffsetY)/Ecran)*'Calculs 3D'!$D$32)+(((($D266*$T$4)+'Calculs 3D'!$E$13-OffsetZ)/Ecran)*'Calculs 3D'!$E$32)),0)</f>
        <v>-0.12759725448740611</v>
      </c>
      <c r="V266" s="105">
        <f>IF(Body9Actif=TRUE,((((($B266*$V$4)+'Calculs 3D'!$C$14-OffsetX)/Ecran)*'Calculs 3D'!$C$31)+(((($C266*$V$4)+'Calculs 3D'!$D$14-OffsetY)/Ecran)*'Calculs 3D'!$D$31)+(((($D266*$V$4)+'Calculs 3D'!$E$14-OffsetZ)/Ecran)*'Calculs 3D'!$E$31)),0)</f>
        <v>-0.18176517232032541</v>
      </c>
      <c r="W266" s="105">
        <f>IF(Body9Actif=TRUE,((((($B266*$V$4)+'Calculs 3D'!$C$14-OffsetX)/Ecran)*'Calculs 3D'!$C$32)+(((($C266*$V$4)+'Calculs 3D'!$D$14-OffsetY)/Ecran)*'Calculs 3D'!$D$32)+(((($D266*$V$4)+'Calculs 3D'!$E$14-OffsetZ)/Ecran)*'Calculs 3D'!$E$32)),0)</f>
        <v>0.29279912100964467</v>
      </c>
      <c r="X266" s="105">
        <f>IF(Body10Actif=TRUE,((((($B266*$X$4)+'Calculs 3D'!$C$15-OffsetX)/Ecran)*'Calculs 3D'!$C$31)+(((($C266*$X$4)+'Calculs 3D'!$D$15-OffsetY)/Ecran)*'Calculs 3D'!$D$31)+(((($D266*$X$4)+'Calculs 3D'!$E$15-OffsetZ)/Ecran)*'Calculs 3D'!$E$31)),0)</f>
        <v>-2.1640687015026222E-2</v>
      </c>
      <c r="Y266" s="105">
        <f>IF(Body10Actif=TRUE,((((($B266*$X$4)+'Calculs 3D'!$C$15-OffsetX)/Ecran)*'Calculs 3D'!$C$32)+(((($C266*$X$4)+'Calculs 3D'!$D$15-OffsetY)/Ecran)*'Calculs 3D'!$D$32)+(((($D266*$X$4)+'Calculs 3D'!$E$15-OffsetZ)/Ecran)*'Calculs 3D'!$E$32)),0)</f>
        <v>0.29877188104584179</v>
      </c>
    </row>
    <row r="267" spans="2:25" x14ac:dyDescent="0.3">
      <c r="B267" s="102">
        <v>-0.21850801222441069</v>
      </c>
      <c r="C267" s="102">
        <v>-0.21850801222441066</v>
      </c>
      <c r="D267" s="102">
        <v>0.95105651629515353</v>
      </c>
      <c r="F267" s="105">
        <f>IF(Body1Actif=TRUE,((((($B267*$F$4)+'Calculs 3D'!$C$6-OffsetX)/Ecran)*'Calculs 3D'!$C$31)+(((($C267*$F$4)+'Calculs 3D'!$D$6-OffsetY)/Ecran)*'Calculs 3D'!$D$31)+(((($D267*$F$4)+'Calculs 3D'!$E$6-OffsetZ)/Ecran)*'Calculs 3D'!$E$31)),0)</f>
        <v>4.9426433763219979E-2</v>
      </c>
      <c r="G267" s="105">
        <f>IF(Body1Actif=TRUE,((((($B267*$F$4)+'Calculs 3D'!$C$6-OffsetX)/Ecran)*'Calculs 3D'!$C$32)+(((($C267*$F$4)+'Calculs 3D'!$D$6-OffsetY)/Ecran)*'Calculs 3D'!$D$32)+(((($D267*$F$4)+'Calculs 3D'!$E$6-OffsetZ)/Ecran)*'Calculs 3D'!$E$32)),0)</f>
        <v>0.26667429538728749</v>
      </c>
      <c r="H267" s="105">
        <f>IF(Body2Actif=TRUE,((((($B267*$H$4)+'Calculs 3D'!$C$7-OffsetX)/Ecran)*'Calculs 3D'!$C$31)+(((($C267*$H$4)+'Calculs 3D'!$D$7-OffsetY)/Ecran)*'Calculs 3D'!$D$31)+(((($D267*$H$4)+'Calculs 3D'!$E$7-OffsetZ)/Ecran)*'Calculs 3D'!$E$31)),0)</f>
        <v>2.0754940468583279E-2</v>
      </c>
      <c r="I267" s="105">
        <f>IF(Body2Actif=TRUE,((((($B267*$H$4)+'Calculs 3D'!$C$7-OffsetX)/Ecran)*'Calculs 3D'!$C$32)+(((($C267*$H$4)+'Calculs 3D'!$D$7-OffsetY)/Ecran)*'Calculs 3D'!$D$32)+(((($D267*$H$4)+'Calculs 3D'!$E$7-OffsetZ)/Ecran)*'Calculs 3D'!$E$32)),0)</f>
        <v>4.1277811361601517E-2</v>
      </c>
      <c r="J267" s="105">
        <f>IF(Body3Actif=TRUE,((((($B267*$J$4)+'Calculs 3D'!$C$8-OffsetX)/Ecran)*'Calculs 3D'!$C$31)+(((($C267*$J$4)+'Calculs 3D'!$D$8-OffsetY)/Ecran)*'Calculs 3D'!$D$31)+(((($D267*$J$4)+'Calculs 3D'!$E$8-OffsetZ)/Ecran)*'Calculs 3D'!$E$31)),0)</f>
        <v>0.21666313648231164</v>
      </c>
      <c r="K267" s="105">
        <f>IF(Body3Actif=TRUE,((((($B267*$J$4)+'Calculs 3D'!$C$8-OffsetX)/Ecran)*'Calculs 3D'!$C$32)+(((($C267*$J$4)+'Calculs 3D'!$D$8-OffsetY)/Ecran)*'Calculs 3D'!$D$32)+(((($D267*$J$4)+'Calculs 3D'!$E$8-OffsetZ)/Ecran)*'Calculs 3D'!$E$32)),0)</f>
        <v>-7.5997325095036566E-2</v>
      </c>
      <c r="L267" s="105">
        <f>IF(Body4Actif=TRUE,((((($B267*$L$4)+'Calculs 3D'!$C$9-OffsetX)/Ecran)*'Calculs 3D'!$C$31)+(((($C267*$L$4)+'Calculs 3D'!$D$9-OffsetY)/Ecran)*'Calculs 3D'!$D$31)+(((($D267*$L$4)+'Calculs 3D'!$E$9-OffsetZ)/Ecran)*'Calculs 3D'!$E$31)),0)</f>
        <v>-9.7122543691775962E-2</v>
      </c>
      <c r="M267" s="105">
        <f>IF(Body4Actif=TRUE,((((($B267*$L$4)+'Calculs 3D'!$C$9-OffsetX)/Ecran)*'Calculs 3D'!$C$32)+(((($C267*$L$4)+'Calculs 3D'!$D$9-OffsetY)/Ecran)*'Calculs 3D'!$D$32)+(((($D267*$L$4)+'Calculs 3D'!$E$9-OffsetZ)/Ecran)*'Calculs 3D'!$E$32)),0)</f>
        <v>-0.16577750262405816</v>
      </c>
      <c r="N267" s="105">
        <f>IF(Body5Actif=TRUE,((((($B267*$N$4)+'Calculs 3D'!$C$10-OffsetX)/Ecran)*'Calculs 3D'!$C$31)+(((($C267*$N$4)+'Calculs 3D'!$D$10-OffsetY)/Ecran)*'Calculs 3D'!$D$31)+(((($D267*$N$4)+'Calculs 3D'!$E$10-OffsetZ)/Ecran)*'Calculs 3D'!$E$31)),0)</f>
        <v>-2.108467131337801E-3</v>
      </c>
      <c r="O267" s="105">
        <f>IF(Body5Actif=TRUE,((((($B267*$N$4)+'Calculs 3D'!$C$10-OffsetX)/Ecran)*'Calculs 3D'!$C$32)+(((($C267*$N$4)+'Calculs 3D'!$D$10-OffsetY)/Ecran)*'Calculs 3D'!$D$32)+(((($D267*$N$4)+'Calculs 3D'!$E$10-OffsetZ)/Ecran)*'Calculs 3D'!$E$32)),0)</f>
        <v>2.0332664852564519E-3</v>
      </c>
      <c r="P267" s="105">
        <f>IF(Body6Actif=TRUE,((((($B267*$P$4)+'Calculs 3D'!$C$11-OffsetX)/Ecran)*'Calculs 3D'!$C$31)+(((($C267*$P$4)+'Calculs 3D'!$D$11-OffsetY)/Ecran)*'Calculs 3D'!$D$31)+(((($D267*$P$4)+'Calculs 3D'!$E$11-OffsetZ)/Ecran)*'Calculs 3D'!$E$31)),0)</f>
        <v>0.16638109900836873</v>
      </c>
      <c r="Q267" s="105">
        <f>IF(Body6Actif=TRUE,((((($B267*$P$4)+'Calculs 3D'!$C$11-OffsetX)/Ecran)*'Calculs 3D'!$C$32)+(((($C267*$P$4)+'Calculs 3D'!$D$11-OffsetY)/Ecran)*'Calculs 3D'!$D$32)+(((($D267*$P$4)+'Calculs 3D'!$E$11-OffsetZ)/Ecran)*'Calculs 3D'!$E$32)),0)</f>
        <v>0.14321880095988931</v>
      </c>
      <c r="R267" s="105">
        <f>IF(Body7Actif=TRUE,((((($B267*$R$4)+'Calculs 3D'!$C$12-OffsetX)/Ecran)*'Calculs 3D'!$C$31)+(((($C267*$R$4)+'Calculs 3D'!$D$12-OffsetY)/Ecran)*'Calculs 3D'!$D$31)+(((($D267*$R$4)+'Calculs 3D'!$E$12-OffsetZ)/Ecran)*'Calculs 3D'!$E$31)),0)</f>
        <v>-0.28505231555930544</v>
      </c>
      <c r="S267" s="105">
        <f>IF(Body7Actif=TRUE,((((($B267*$R$4)+'Calculs 3D'!$C$12-OffsetX)/Ecran)*'Calculs 3D'!$C$32)+(((($C267*$R$4)+'Calculs 3D'!$D$12-OffsetY)/Ecran)*'Calculs 3D'!$D$32)+(((($D267*$R$4)+'Calculs 3D'!$E$12-OffsetZ)/Ecran)*'Calculs 3D'!$E$32)),0)</f>
        <v>7.255086373619575E-2</v>
      </c>
      <c r="T267" s="105">
        <f>IF(Body8Actif=TRUE,((((($B267*$T$4)+'Calculs 3D'!$C$13-OffsetX)/Ecran)*'Calculs 3D'!$C$31)+(((($C267*$T$4)+'Calculs 3D'!$D$13-OffsetY)/Ecran)*'Calculs 3D'!$D$31)+(((($D267*$T$4)+'Calculs 3D'!$E$13-OffsetZ)/Ecran)*'Calculs 3D'!$E$31)),0)</f>
        <v>0.16661494021690174</v>
      </c>
      <c r="U267" s="105">
        <f>IF(Body8Actif=TRUE,((((($B267*$T$4)+'Calculs 3D'!$C$13-OffsetX)/Ecran)*'Calculs 3D'!$C$32)+(((($C267*$T$4)+'Calculs 3D'!$D$13-OffsetY)/Ecran)*'Calculs 3D'!$D$32)+(((($D267*$T$4)+'Calculs 3D'!$E$13-OffsetZ)/Ecran)*'Calculs 3D'!$E$32)),0)</f>
        <v>-0.12688981586139764</v>
      </c>
      <c r="V267" s="105">
        <f>IF(Body9Actif=TRUE,((((($B267*$V$4)+'Calculs 3D'!$C$14-OffsetX)/Ecran)*'Calculs 3D'!$C$31)+(((($C267*$V$4)+'Calculs 3D'!$D$14-OffsetY)/Ecran)*'Calculs 3D'!$D$31)+(((($D267*$V$4)+'Calculs 3D'!$E$14-OffsetZ)/Ecran)*'Calculs 3D'!$E$31)),0)</f>
        <v>-0.1798176949891728</v>
      </c>
      <c r="W267" s="105">
        <f>IF(Body9Actif=TRUE,((((($B267*$V$4)+'Calculs 3D'!$C$14-OffsetX)/Ecran)*'Calculs 3D'!$C$32)+(((($C267*$V$4)+'Calculs 3D'!$D$14-OffsetY)/Ecran)*'Calculs 3D'!$D$32)+(((($D267*$V$4)+'Calculs 3D'!$E$14-OffsetZ)/Ecran)*'Calculs 3D'!$E$32)),0)</f>
        <v>0.29378070338050338</v>
      </c>
      <c r="X267" s="105">
        <f>IF(Body10Actif=TRUE,((((($B267*$X$4)+'Calculs 3D'!$C$15-OffsetX)/Ecran)*'Calculs 3D'!$C$31)+(((($C267*$X$4)+'Calculs 3D'!$D$15-OffsetY)/Ecran)*'Calculs 3D'!$D$31)+(((($D267*$X$4)+'Calculs 3D'!$E$15-OffsetZ)/Ecran)*'Calculs 3D'!$E$31)),0)</f>
        <v>-1.8701059380196741E-2</v>
      </c>
      <c r="Y267" s="105">
        <f>IF(Body10Actif=TRUE,((((($B267*$X$4)+'Calculs 3D'!$C$15-OffsetX)/Ecran)*'Calculs 3D'!$C$32)+(((($C267*$X$4)+'Calculs 3D'!$D$15-OffsetY)/Ecran)*'Calculs 3D'!$D$32)+(((($D267*$X$4)+'Calculs 3D'!$E$15-OffsetZ)/Ecran)*'Calculs 3D'!$E$32)),0)</f>
        <v>0.30025353457632464</v>
      </c>
    </row>
    <row r="268" spans="2:25" x14ac:dyDescent="0.3">
      <c r="B268" s="103">
        <v>-1.7326215608522129E-16</v>
      </c>
      <c r="C268" s="103">
        <v>-1.7326215608522127E-16</v>
      </c>
      <c r="D268" s="103">
        <v>1</v>
      </c>
      <c r="F268" s="105">
        <f>IF(Body1Actif=TRUE,((((($B268*$F$4)+'Calculs 3D'!$C$6-OffsetX)/Ecran)*'Calculs 3D'!$C$31)+(((($C268*$F$4)+'Calculs 3D'!$D$6-OffsetY)/Ecran)*'Calculs 3D'!$D$31)+(((($D268*$F$4)+'Calculs 3D'!$E$6-OffsetZ)/Ecran)*'Calculs 3D'!$E$31)),0)</f>
        <v>5.0579175247860285E-2</v>
      </c>
      <c r="G268" s="105">
        <f>IF(Body1Actif=TRUE,((((($B268*$F$4)+'Calculs 3D'!$C$6-OffsetX)/Ecran)*'Calculs 3D'!$C$32)+(((($C268*$F$4)+'Calculs 3D'!$D$6-OffsetY)/Ecran)*'Calculs 3D'!$D$32)+(((($D268*$F$4)+'Calculs 3D'!$E$6-OffsetZ)/Ecran)*'Calculs 3D'!$E$32)),0)</f>
        <v>0.26693236607396786</v>
      </c>
      <c r="H268" s="105">
        <f>IF(Body2Actif=TRUE,((((($B268*$H$4)+'Calculs 3D'!$C$7-OffsetX)/Ecran)*'Calculs 3D'!$C$31)+(((($C268*$H$4)+'Calculs 3D'!$D$7-OffsetY)/Ecran)*'Calculs 3D'!$D$31)+(((($D268*$H$4)+'Calculs 3D'!$E$7-OffsetZ)/Ecran)*'Calculs 3D'!$E$31)),0)</f>
        <v>2.5248184344877585E-2</v>
      </c>
      <c r="I268" s="105">
        <f>IF(Body2Actif=TRUE,((((($B268*$H$4)+'Calculs 3D'!$C$7-OffsetX)/Ecran)*'Calculs 3D'!$C$32)+(((($C268*$H$4)+'Calculs 3D'!$D$7-OffsetY)/Ecran)*'Calculs 3D'!$D$32)+(((($D268*$H$4)+'Calculs 3D'!$E$7-OffsetZ)/Ecran)*'Calculs 3D'!$E$32)),0)</f>
        <v>4.2283739011493945E-2</v>
      </c>
      <c r="J268" s="105">
        <f>IF(Body3Actif=TRUE,((((($B268*$J$4)+'Calculs 3D'!$C$8-OffsetX)/Ecran)*'Calculs 3D'!$C$31)+(((($C268*$J$4)+'Calculs 3D'!$D$8-OffsetY)/Ecran)*'Calculs 3D'!$D$31)+(((($D268*$J$4)+'Calculs 3D'!$E$8-OffsetZ)/Ecran)*'Calculs 3D'!$E$31)),0)</f>
        <v>0.21866003387220898</v>
      </c>
      <c r="K268" s="105">
        <f>IF(Body3Actif=TRUE,((((($B268*$J$4)+'Calculs 3D'!$C$8-OffsetX)/Ecran)*'Calculs 3D'!$C$32)+(((($C268*$J$4)+'Calculs 3D'!$D$8-OffsetY)/Ecran)*'Calculs 3D'!$D$32)+(((($D268*$J$4)+'Calculs 3D'!$E$8-OffsetZ)/Ecran)*'Calculs 3D'!$E$32)),0)</f>
        <v>-7.5550268502116352E-2</v>
      </c>
      <c r="L268" s="105">
        <f>IF(Body4Actif=TRUE,((((($B268*$L$4)+'Calculs 3D'!$C$9-OffsetX)/Ecran)*'Calculs 3D'!$C$31)+(((($C268*$L$4)+'Calculs 3D'!$D$9-OffsetY)/Ecran)*'Calculs 3D'!$D$31)+(((($D268*$L$4)+'Calculs 3D'!$E$9-OffsetZ)/Ecran)*'Calculs 3D'!$E$31)),0)</f>
        <v>-9.4525992808345366E-2</v>
      </c>
      <c r="M268" s="105">
        <f>IF(Body4Actif=TRUE,((((($B268*$L$4)+'Calculs 3D'!$C$9-OffsetX)/Ecran)*'Calculs 3D'!$C$32)+(((($C268*$L$4)+'Calculs 3D'!$D$9-OffsetY)/Ecran)*'Calculs 3D'!$D$32)+(((($D268*$L$4)+'Calculs 3D'!$E$9-OffsetZ)/Ecran)*'Calculs 3D'!$E$32)),0)</f>
        <v>-0.165196198247998</v>
      </c>
      <c r="N268" s="105">
        <f>IF(Body5Actif=TRUE,((((($B268*$N$4)+'Calculs 3D'!$C$10-OffsetX)/Ecran)*'Calculs 3D'!$C$31)+(((($C268*$N$4)+'Calculs 3D'!$D$10-OffsetY)/Ecran)*'Calculs 3D'!$D$31)+(((($D268*$N$4)+'Calculs 3D'!$E$10-OffsetZ)/Ecran)*'Calculs 3D'!$E$31)),0)</f>
        <v>8.5573407245585157E-4</v>
      </c>
      <c r="O268" s="105">
        <f>IF(Body5Actif=TRUE,((((($B268*$N$4)+'Calculs 3D'!$C$10-OffsetX)/Ecran)*'Calculs 3D'!$C$32)+(((($C268*$N$4)+'Calculs 3D'!$D$10-OffsetY)/Ecran)*'Calculs 3D'!$D$32)+(((($D268*$N$4)+'Calculs 3D'!$E$10-OffsetZ)/Ecran)*'Calculs 3D'!$E$32)),0)</f>
        <v>2.6968787958349819E-3</v>
      </c>
      <c r="P268" s="105">
        <f>IF(Body6Actif=TRUE,((((($B268*$P$4)+'Calculs 3D'!$C$11-OffsetX)/Ecran)*'Calculs 3D'!$C$31)+(((($C268*$P$4)+'Calculs 3D'!$D$11-OffsetY)/Ecran)*'Calculs 3D'!$D$31)+(((($D268*$P$4)+'Calculs 3D'!$E$11-OffsetZ)/Ecran)*'Calculs 3D'!$E$31)),0)</f>
        <v>0.1706767325982842</v>
      </c>
      <c r="Q268" s="105">
        <f>IF(Body6Actif=TRUE,((((($B268*$P$4)+'Calculs 3D'!$C$11-OffsetX)/Ecran)*'Calculs 3D'!$C$32)+(((($C268*$P$4)+'Calculs 3D'!$D$11-OffsetY)/Ecran)*'Calculs 3D'!$D$32)+(((($D268*$P$4)+'Calculs 3D'!$E$11-OffsetZ)/Ecran)*'Calculs 3D'!$E$32)),0)</f>
        <v>0.14418048848918191</v>
      </c>
      <c r="R268" s="105">
        <f>IF(Body7Actif=TRUE,((((($B268*$R$4)+'Calculs 3D'!$C$12-OffsetX)/Ecran)*'Calculs 3D'!$C$31)+(((($C268*$R$4)+'Calculs 3D'!$D$12-OffsetY)/Ecran)*'Calculs 3D'!$D$31)+(((($D268*$R$4)+'Calculs 3D'!$E$12-OffsetZ)/Ecran)*'Calculs 3D'!$E$31)),0)</f>
        <v>-0.28073836751385717</v>
      </c>
      <c r="S268" s="105">
        <f>IF(Body7Actif=TRUE,((((($B268*$R$4)+'Calculs 3D'!$C$12-OffsetX)/Ecran)*'Calculs 3D'!$C$32)+(((($C268*$R$4)+'Calculs 3D'!$D$12-OffsetY)/Ecran)*'Calculs 3D'!$D$32)+(((($D268*$R$4)+'Calculs 3D'!$E$12-OffsetZ)/Ecran)*'Calculs 3D'!$E$32)),0)</f>
        <v>7.3516651425132598E-2</v>
      </c>
      <c r="T268" s="105">
        <f>IF(Body8Actif=TRUE,((((($B268*$T$4)+'Calculs 3D'!$C$13-OffsetX)/Ecran)*'Calculs 3D'!$C$31)+(((($C268*$T$4)+'Calculs 3D'!$D$13-OffsetY)/Ecran)*'Calculs 3D'!$D$31)+(((($D268*$T$4)+'Calculs 3D'!$E$13-OffsetZ)/Ecran)*'Calculs 3D'!$E$31)),0)</f>
        <v>0.16817081081111579</v>
      </c>
      <c r="U268" s="105">
        <f>IF(Body8Actif=TRUE,((((($B268*$T$4)+'Calculs 3D'!$C$13-OffsetX)/Ecran)*'Calculs 3D'!$C$32)+(((($C268*$T$4)+'Calculs 3D'!$D$13-OffsetY)/Ecran)*'Calculs 3D'!$D$32)+(((($D268*$T$4)+'Calculs 3D'!$E$13-OffsetZ)/Ecran)*'Calculs 3D'!$E$32)),0)</f>
        <v>-0.12654149440512596</v>
      </c>
      <c r="V268" s="105">
        <f>IF(Body9Actif=TRUE,((((($B268*$V$4)+'Calculs 3D'!$C$14-OffsetX)/Ecran)*'Calculs 3D'!$C$31)+(((($C268*$V$4)+'Calculs 3D'!$D$14-OffsetY)/Ecran)*'Calculs 3D'!$D$31)+(((($D268*$V$4)+'Calculs 3D'!$E$14-OffsetZ)/Ecran)*'Calculs 3D'!$E$31)),0)</f>
        <v>-0.17765889973758367</v>
      </c>
      <c r="W268" s="105">
        <f>IF(Body9Actif=TRUE,((((($B268*$V$4)+'Calculs 3D'!$C$14-OffsetX)/Ecran)*'Calculs 3D'!$C$32)+(((($C268*$V$4)+'Calculs 3D'!$D$14-OffsetY)/Ecran)*'Calculs 3D'!$D$32)+(((($D268*$V$4)+'Calculs 3D'!$E$14-OffsetZ)/Ecran)*'Calculs 3D'!$E$32)),0)</f>
        <v>0.294264004953669</v>
      </c>
      <c r="X268" s="105">
        <f>IF(Body10Actif=TRUE,((((($B268*$X$4)+'Calculs 3D'!$C$15-OffsetX)/Ecran)*'Calculs 3D'!$C$31)+(((($C268*$X$4)+'Calculs 3D'!$D$15-OffsetY)/Ecran)*'Calculs 3D'!$D$31)+(((($D268*$X$4)+'Calculs 3D'!$E$15-OffsetZ)/Ecran)*'Calculs 3D'!$E$31)),0)</f>
        <v>-1.5442457044756913E-2</v>
      </c>
      <c r="Y268" s="105">
        <f>IF(Body10Actif=TRUE,((((($B268*$X$4)+'Calculs 3D'!$C$15-OffsetX)/Ecran)*'Calculs 3D'!$C$32)+(((($C268*$X$4)+'Calculs 3D'!$D$15-OffsetY)/Ecran)*'Calculs 3D'!$D$32)+(((($D268*$X$4)+'Calculs 3D'!$E$15-OffsetZ)/Ecran)*'Calculs 3D'!$E$32)),0)</f>
        <v>0.30098305611565546</v>
      </c>
    </row>
    <row r="269" spans="2:25" x14ac:dyDescent="0.3">
      <c r="B269" s="19"/>
      <c r="C269" s="19"/>
      <c r="D269" s="19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2:25" x14ac:dyDescent="0.3">
      <c r="B270" s="101">
        <v>-0.70710678118654746</v>
      </c>
      <c r="C270" s="101">
        <v>0.70710678118654757</v>
      </c>
      <c r="D270" s="101">
        <v>0</v>
      </c>
      <c r="F270" s="105">
        <f>IF(Body1Actif=TRUE,((((($B270*$F$4)+'Calculs 3D'!$C$6-OffsetX)/Ecran)*'Calculs 3D'!$C$31)+(((($C270*$F$4)+'Calculs 3D'!$D$6-OffsetY)/Ecran)*'Calculs 3D'!$D$31)+(((($D270*$F$4)+'Calculs 3D'!$E$6-OffsetZ)/Ecran)*'Calculs 3D'!$E$31)),0)</f>
        <v>4.9988345881815444E-2</v>
      </c>
      <c r="G270" s="105">
        <f>IF(Body1Actif=TRUE,((((($B270*$F$4)+'Calculs 3D'!$C$6-OffsetX)/Ecran)*'Calculs 3D'!$C$32)+(((($C270*$F$4)+'Calculs 3D'!$D$6-OffsetY)/Ecran)*'Calculs 3D'!$D$32)+(((($D270*$F$4)+'Calculs 3D'!$E$6-OffsetZ)/Ecran)*'Calculs 3D'!$E$32)),0)</f>
        <v>0.26625280104505789</v>
      </c>
      <c r="H270" s="105">
        <f>IF(Body2Actif=TRUE,((((($B270*$H$4)+'Calculs 3D'!$C$7-OffsetX)/Ecran)*'Calculs 3D'!$C$31)+(((($C270*$H$4)+'Calculs 3D'!$D$7-OffsetY)/Ecran)*'Calculs 3D'!$D$31)+(((($D270*$H$4)+'Calculs 3D'!$E$7-OffsetZ)/Ecran)*'Calculs 3D'!$E$31)),0)</f>
        <v>2.2945204477935299E-2</v>
      </c>
      <c r="I270" s="105">
        <f>IF(Body2Actif=TRUE,((((($B270*$H$4)+'Calculs 3D'!$C$7-OffsetX)/Ecran)*'Calculs 3D'!$C$32)+(((($C270*$H$4)+'Calculs 3D'!$D$7-OffsetY)/Ecran)*'Calculs 3D'!$D$32)+(((($D270*$H$4)+'Calculs 3D'!$E$7-OffsetZ)/Ecran)*'Calculs 3D'!$E$32)),0)</f>
        <v>3.963487849473521E-2</v>
      </c>
      <c r="J270" s="105">
        <f>IF(Body3Actif=TRUE,((((($B270*$J$4)+'Calculs 3D'!$C$8-OffsetX)/Ecran)*'Calculs 3D'!$C$31)+(((($C270*$J$4)+'Calculs 3D'!$D$8-OffsetY)/Ecran)*'Calculs 3D'!$D$31)+(((($D270*$J$4)+'Calculs 3D'!$E$8-OffsetZ)/Ecran)*'Calculs 3D'!$E$31)),0)</f>
        <v>0.21763653846178938</v>
      </c>
      <c r="K270" s="105">
        <f>IF(Body3Actif=TRUE,((((($B270*$J$4)+'Calculs 3D'!$C$8-OffsetX)/Ecran)*'Calculs 3D'!$C$32)+(((($C270*$J$4)+'Calculs 3D'!$D$8-OffsetY)/Ecran)*'Calculs 3D'!$D$32)+(((($D270*$J$4)+'Calculs 3D'!$E$8-OffsetZ)/Ecran)*'Calculs 3D'!$E$32)),0)</f>
        <v>-7.6727480956580343E-2</v>
      </c>
      <c r="L270" s="105">
        <f>IF(Body4Actif=TRUE,((((($B270*$L$4)+'Calculs 3D'!$C$9-OffsetX)/Ecran)*'Calculs 3D'!$C$31)+(((($C270*$L$4)+'Calculs 3D'!$D$9-OffsetY)/Ecran)*'Calculs 3D'!$D$31)+(((($D270*$L$4)+'Calculs 3D'!$E$9-OffsetZ)/Ecran)*'Calculs 3D'!$E$31)),0)</f>
        <v>-9.5856836308645998E-2</v>
      </c>
      <c r="M270" s="105">
        <f>IF(Body4Actif=TRUE,((((($B270*$L$4)+'Calculs 3D'!$C$9-OffsetX)/Ecran)*'Calculs 3D'!$C$32)+(((($C270*$L$4)+'Calculs 3D'!$D$9-OffsetY)/Ecran)*'Calculs 3D'!$D$32)+(((($D270*$L$4)+'Calculs 3D'!$E$9-OffsetZ)/Ecran)*'Calculs 3D'!$E$32)),0)</f>
        <v>-0.16672691888196159</v>
      </c>
      <c r="N270" s="105">
        <f>IF(Body5Actif=TRUE,((((($B270*$N$4)+'Calculs 3D'!$C$10-OffsetX)/Ecran)*'Calculs 3D'!$C$31)+(((($C270*$N$4)+'Calculs 3D'!$D$10-OffsetY)/Ecran)*'Calculs 3D'!$D$31)+(((($D270*$N$4)+'Calculs 3D'!$E$10-OffsetZ)/Ecran)*'Calculs 3D'!$E$31)),0)</f>
        <v>-6.6354595815153704E-4</v>
      </c>
      <c r="O270" s="105">
        <f>IF(Body5Actif=TRUE,((((($B270*$N$4)+'Calculs 3D'!$C$10-OffsetX)/Ecran)*'Calculs 3D'!$C$32)+(((($C270*$N$4)+'Calculs 3D'!$D$10-OffsetY)/Ecran)*'Calculs 3D'!$D$32)+(((($D270*$N$4)+'Calculs 3D'!$E$10-OffsetZ)/Ecran)*'Calculs 3D'!$E$32)),0)</f>
        <v>9.4942066789262085E-4</v>
      </c>
      <c r="P270" s="105">
        <f>IF(Body6Actif=TRUE,((((($B270*$P$4)+'Calculs 3D'!$C$11-OffsetX)/Ecran)*'Calculs 3D'!$C$31)+(((($C270*$P$4)+'Calculs 3D'!$D$11-OffsetY)/Ecran)*'Calculs 3D'!$D$31)+(((($D270*$P$4)+'Calculs 3D'!$E$11-OffsetZ)/Ecran)*'Calculs 3D'!$E$31)),0)</f>
        <v>0.16847503646388803</v>
      </c>
      <c r="Q270" s="105">
        <f>IF(Body6Actif=TRUE,((((($B270*$P$4)+'Calculs 3D'!$C$11-OffsetX)/Ecran)*'Calculs 3D'!$C$32)+(((($C270*$P$4)+'Calculs 3D'!$D$11-OffsetY)/Ecran)*'Calculs 3D'!$D$32)+(((($D270*$P$4)+'Calculs 3D'!$E$11-OffsetZ)/Ecran)*'Calculs 3D'!$E$32)),0)</f>
        <v>0.14164812333739898</v>
      </c>
      <c r="R270" s="105">
        <f>IF(Body7Actif=TRUE,((((($B270*$R$4)+'Calculs 3D'!$C$12-OffsetX)/Ecran)*'Calculs 3D'!$C$31)+(((($C270*$R$4)+'Calculs 3D'!$D$12-OffsetY)/Ecran)*'Calculs 3D'!$D$31)+(((($D270*$R$4)+'Calculs 3D'!$E$12-OffsetZ)/Ecran)*'Calculs 3D'!$E$31)),0)</f>
        <v>-0.28294945059085586</v>
      </c>
      <c r="S270" s="105">
        <f>IF(Body7Actif=TRUE,((((($B270*$R$4)+'Calculs 3D'!$C$12-OffsetX)/Ecran)*'Calculs 3D'!$C$32)+(((($C270*$R$4)+'Calculs 3D'!$D$12-OffsetY)/Ecran)*'Calculs 3D'!$D$32)+(((($D270*$R$4)+'Calculs 3D'!$E$12-OffsetZ)/Ecran)*'Calculs 3D'!$E$32)),0)</f>
        <v>7.0973489521719335E-2</v>
      </c>
      <c r="T270" s="105">
        <f>IF(Body8Actif=TRUE,((((($B270*$T$4)+'Calculs 3D'!$C$13-OffsetX)/Ecran)*'Calculs 3D'!$C$31)+(((($C270*$T$4)+'Calculs 3D'!$D$13-OffsetY)/Ecran)*'Calculs 3D'!$D$31)+(((($D270*$T$4)+'Calculs 3D'!$E$13-OffsetZ)/Ecran)*'Calculs 3D'!$E$31)),0)</f>
        <v>0.16737336051625271</v>
      </c>
      <c r="U270" s="105">
        <f>IF(Body8Actif=TRUE,((((($B270*$T$4)+'Calculs 3D'!$C$13-OffsetX)/Ecran)*'Calculs 3D'!$C$32)+(((($C270*$T$4)+'Calculs 3D'!$D$13-OffsetY)/Ecran)*'Calculs 3D'!$D$32)+(((($D270*$T$4)+'Calculs 3D'!$E$13-OffsetZ)/Ecran)*'Calculs 3D'!$E$32)),0)</f>
        <v>-0.12745871241057252</v>
      </c>
      <c r="V270" s="105">
        <f>IF(Body9Actif=TRUE,((((($B270*$V$4)+'Calculs 3D'!$C$14-OffsetX)/Ecran)*'Calculs 3D'!$C$31)+(((($C270*$V$4)+'Calculs 3D'!$D$14-OffsetY)/Ecran)*'Calculs 3D'!$D$31)+(((($D270*$V$4)+'Calculs 3D'!$E$14-OffsetZ)/Ecran)*'Calculs 3D'!$E$31)),0)</f>
        <v>-0.17876537473385309</v>
      </c>
      <c r="W270" s="105">
        <f>IF(Body9Actif=TRUE,((((($B270*$V$4)+'Calculs 3D'!$C$14-OffsetX)/Ecran)*'Calculs 3D'!$C$32)+(((($C270*$V$4)+'Calculs 3D'!$D$14-OffsetY)/Ecran)*'Calculs 3D'!$D$32)+(((($D270*$V$4)+'Calculs 3D'!$E$14-OffsetZ)/Ecran)*'Calculs 3D'!$E$32)),0)</f>
        <v>0.2929913503497491</v>
      </c>
      <c r="X270" s="105">
        <f>IF(Body10Actif=TRUE,((((($B270*$X$4)+'Calculs 3D'!$C$15-OffsetX)/Ecran)*'Calculs 3D'!$C$31)+(((($C270*$X$4)+'Calculs 3D'!$D$15-OffsetY)/Ecran)*'Calculs 3D'!$D$31)+(((($D270*$X$4)+'Calculs 3D'!$E$15-OffsetZ)/Ecran)*'Calculs 3D'!$E$31)),0)</f>
        <v>-1.7112630260255335E-2</v>
      </c>
      <c r="Y270" s="105">
        <f>IF(Body10Actif=TRUE,((((($B270*$X$4)+'Calculs 3D'!$C$15-OffsetX)/Ecran)*'Calculs 3D'!$C$32)+(((($C270*$X$4)+'Calculs 3D'!$D$15-OffsetY)/Ecran)*'Calculs 3D'!$D$32)+(((($D270*$X$4)+'Calculs 3D'!$E$15-OffsetZ)/Ecran)*'Calculs 3D'!$E$32)),0)</f>
        <v>0.29906204241067863</v>
      </c>
    </row>
    <row r="271" spans="2:25" x14ac:dyDescent="0.3">
      <c r="B271" s="102">
        <v>-0.67249851196395727</v>
      </c>
      <c r="C271" s="102">
        <v>0.67249851196395738</v>
      </c>
      <c r="D271" s="102">
        <v>0.3090169943749474</v>
      </c>
      <c r="F271" s="105">
        <f>IF(Body1Actif=TRUE,((((($B271*$F$4)+'Calculs 3D'!$C$6-OffsetX)/Ecran)*'Calculs 3D'!$C$31)+(((($C271*$F$4)+'Calculs 3D'!$D$6-OffsetY)/Ecran)*'Calculs 3D'!$D$31)+(((($D271*$F$4)+'Calculs 3D'!$E$6-OffsetZ)/Ecran)*'Calculs 3D'!$E$31)),0)</f>
        <v>5.00172631292648E-2</v>
      </c>
      <c r="G271" s="105">
        <f>IF(Body1Actif=TRUE,((((($B271*$F$4)+'Calculs 3D'!$C$6-OffsetX)/Ecran)*'Calculs 3D'!$C$32)+(((($C271*$F$4)+'Calculs 3D'!$D$6-OffsetY)/Ecran)*'Calculs 3D'!$D$32)+(((($D271*$F$4)+'Calculs 3D'!$E$6-OffsetZ)/Ecran)*'Calculs 3D'!$E$32)),0)</f>
        <v>0.26706009150749588</v>
      </c>
      <c r="H271" s="105">
        <f>IF(Body2Actif=TRUE,((((($B271*$H$4)+'Calculs 3D'!$C$7-OffsetX)/Ecran)*'Calculs 3D'!$C$31)+(((($C271*$H$4)+'Calculs 3D'!$D$7-OffsetY)/Ecran)*'Calculs 3D'!$D$31)+(((($D271*$H$4)+'Calculs 3D'!$E$7-OffsetZ)/Ecran)*'Calculs 3D'!$E$31)),0)</f>
        <v>2.3057920335525575E-2</v>
      </c>
      <c r="I271" s="105">
        <f>IF(Body2Actif=TRUE,((((($B271*$H$4)+'Calculs 3D'!$C$7-OffsetX)/Ecran)*'Calculs 3D'!$C$32)+(((($C271*$H$4)+'Calculs 3D'!$D$7-OffsetY)/Ecran)*'Calculs 3D'!$D$32)+(((($D271*$H$4)+'Calculs 3D'!$E$7-OffsetZ)/Ecran)*'Calculs 3D'!$E$32)),0)</f>
        <v>4.2781596969842767E-2</v>
      </c>
      <c r="J271" s="105">
        <f>IF(Body3Actif=TRUE,((((($B271*$J$4)+'Calculs 3D'!$C$8-OffsetX)/Ecran)*'Calculs 3D'!$C$31)+(((($C271*$J$4)+'Calculs 3D'!$D$8-OffsetY)/Ecran)*'Calculs 3D'!$D$31)+(((($D271*$J$4)+'Calculs 3D'!$E$8-OffsetZ)/Ecran)*'Calculs 3D'!$E$31)),0)</f>
        <v>0.21768663189273121</v>
      </c>
      <c r="K271" s="105">
        <f>IF(Body3Actif=TRUE,((((($B271*$J$4)+'Calculs 3D'!$C$8-OffsetX)/Ecran)*'Calculs 3D'!$C$32)+(((($C271*$J$4)+'Calculs 3D'!$D$8-OffsetY)/Ecran)*'Calculs 3D'!$D$32)+(((($D271*$J$4)+'Calculs 3D'!$E$8-OffsetZ)/Ecran)*'Calculs 3D'!$E$32)),0)</f>
        <v>-7.5329009366191982E-2</v>
      </c>
      <c r="L271" s="105">
        <f>IF(Body4Actif=TRUE,((((($B271*$L$4)+'Calculs 3D'!$C$9-OffsetX)/Ecran)*'Calculs 3D'!$C$31)+(((($C271*$L$4)+'Calculs 3D'!$D$9-OffsetY)/Ecran)*'Calculs 3D'!$D$31)+(((($D271*$L$4)+'Calculs 3D'!$E$9-OffsetZ)/Ecran)*'Calculs 3D'!$E$31)),0)</f>
        <v>-9.5791700191475315E-2</v>
      </c>
      <c r="M271" s="105">
        <f>IF(Body4Actif=TRUE,((((($B271*$L$4)+'Calculs 3D'!$C$9-OffsetX)/Ecran)*'Calculs 3D'!$C$32)+(((($C271*$L$4)+'Calculs 3D'!$D$9-OffsetY)/Ecran)*'Calculs 3D'!$D$32)+(((($D271*$L$4)+'Calculs 3D'!$E$9-OffsetZ)/Ecran)*'Calculs 3D'!$E$32)),0)</f>
        <v>-0.16490849663260299</v>
      </c>
      <c r="N271" s="105">
        <f>IF(Body5Actif=TRUE,((((($B271*$N$4)+'Calculs 3D'!$C$10-OffsetX)/Ecran)*'Calculs 3D'!$C$31)+(((($C271*$N$4)+'Calculs 3D'!$D$10-OffsetY)/Ecran)*'Calculs 3D'!$D$31)+(((($D271*$N$4)+'Calculs 3D'!$E$10-OffsetZ)/Ecran)*'Calculs 3D'!$E$31)),0)</f>
        <v>-5.8918710073040809E-4</v>
      </c>
      <c r="O271" s="105">
        <f>IF(Body5Actif=TRUE,((((($B271*$N$4)+'Calculs 3D'!$C$10-OffsetX)/Ecran)*'Calculs 3D'!$C$32)+(((($C271*$N$4)+'Calculs 3D'!$D$10-OffsetY)/Ecran)*'Calculs 3D'!$D$32)+(((($D271*$N$4)+'Calculs 3D'!$E$10-OffsetZ)/Ecran)*'Calculs 3D'!$E$32)),0)</f>
        <v>3.0253166015907912E-3</v>
      </c>
      <c r="P271" s="105">
        <f>IF(Body6Actif=TRUE,((((($B271*$P$4)+'Calculs 3D'!$C$11-OffsetX)/Ecran)*'Calculs 3D'!$C$31)+(((($C271*$P$4)+'Calculs 3D'!$D$11-OffsetY)/Ecran)*'Calculs 3D'!$D$31)+(((($D271*$P$4)+'Calculs 3D'!$E$11-OffsetZ)/Ecran)*'Calculs 3D'!$E$31)),0)</f>
        <v>0.16858279514276486</v>
      </c>
      <c r="Q271" s="105">
        <f>IF(Body6Actif=TRUE,((((($B271*$P$4)+'Calculs 3D'!$C$11-OffsetX)/Ecran)*'Calculs 3D'!$C$32)+(((($C271*$P$4)+'Calculs 3D'!$D$11-OffsetY)/Ecran)*'Calculs 3D'!$D$32)+(((($D271*$P$4)+'Calculs 3D'!$E$11-OffsetZ)/Ecran)*'Calculs 3D'!$E$32)),0)</f>
        <v>0.14465645094031282</v>
      </c>
      <c r="R271" s="105">
        <f>IF(Body7Actif=TRUE,((((($B271*$R$4)+'Calculs 3D'!$C$12-OffsetX)/Ecran)*'Calculs 3D'!$C$31)+(((($C271*$R$4)+'Calculs 3D'!$D$12-OffsetY)/Ecran)*'Calculs 3D'!$D$31)+(((($D271*$R$4)+'Calculs 3D'!$E$12-OffsetZ)/Ecran)*'Calculs 3D'!$E$31)),0)</f>
        <v>-0.28284123248230675</v>
      </c>
      <c r="S271" s="105">
        <f>IF(Body7Actif=TRUE,((((($B271*$R$4)+'Calculs 3D'!$C$12-OffsetX)/Ecran)*'Calculs 3D'!$C$32)+(((($C271*$R$4)+'Calculs 3D'!$D$12-OffsetY)/Ecran)*'Calculs 3D'!$D$32)+(((($D271*$R$4)+'Calculs 3D'!$E$12-OffsetZ)/Ecran)*'Calculs 3D'!$E$32)),0)</f>
        <v>7.3994643144580707E-2</v>
      </c>
      <c r="T271" s="105">
        <f>IF(Body8Actif=TRUE,((((($B271*$T$4)+'Calculs 3D'!$C$13-OffsetX)/Ecran)*'Calculs 3D'!$C$31)+(((($C271*$T$4)+'Calculs 3D'!$D$13-OffsetY)/Ecran)*'Calculs 3D'!$D$31)+(((($D271*$T$4)+'Calculs 3D'!$E$13-OffsetZ)/Ecran)*'Calculs 3D'!$E$31)),0)</f>
        <v>0.16741239051176474</v>
      </c>
      <c r="U271" s="105">
        <f>IF(Body8Actif=TRUE,((((($B271*$T$4)+'Calculs 3D'!$C$13-OffsetX)/Ecran)*'Calculs 3D'!$C$32)+(((($C271*$T$4)+'Calculs 3D'!$D$13-OffsetY)/Ecran)*'Calculs 3D'!$D$32)+(((($D271*$T$4)+'Calculs 3D'!$E$13-OffsetZ)/Ecran)*'Calculs 3D'!$E$32)),0)</f>
        <v>-0.12636910167977736</v>
      </c>
      <c r="V271" s="105">
        <f>IF(Body9Actif=TRUE,((((($B271*$V$4)+'Calculs 3D'!$C$14-OffsetX)/Ecran)*'Calculs 3D'!$C$31)+(((($C271*$V$4)+'Calculs 3D'!$D$14-OffsetY)/Ecran)*'Calculs 3D'!$D$31)+(((($D271*$V$4)+'Calculs 3D'!$E$14-OffsetZ)/Ecran)*'Calculs 3D'!$E$31)),0)</f>
        <v>-0.17871121999290338</v>
      </c>
      <c r="W271" s="105">
        <f>IF(Body9Actif=TRUE,((((($B271*$V$4)+'Calculs 3D'!$C$14-OffsetX)/Ecran)*'Calculs 3D'!$C$32)+(((($C271*$V$4)+'Calculs 3D'!$D$14-OffsetY)/Ecran)*'Calculs 3D'!$D$32)+(((($D271*$V$4)+'Calculs 3D'!$E$14-OffsetZ)/Ecran)*'Calculs 3D'!$E$32)),0)</f>
        <v>0.2945032026082009</v>
      </c>
      <c r="X271" s="105">
        <f>IF(Body10Actif=TRUE,((((($B271*$X$4)+'Calculs 3D'!$C$15-OffsetX)/Ecran)*'Calculs 3D'!$C$31)+(((($C271*$X$4)+'Calculs 3D'!$D$15-OffsetY)/Ecran)*'Calculs 3D'!$D$31)+(((($D271*$X$4)+'Calculs 3D'!$E$15-OffsetZ)/Ecran)*'Calculs 3D'!$E$31)),0)</f>
        <v>-1.7030886164698333E-2</v>
      </c>
      <c r="Y271" s="105">
        <f>IF(Body10Actif=TRUE,((((($B271*$X$4)+'Calculs 3D'!$C$15-OffsetX)/Ecran)*'Calculs 3D'!$C$32)+(((($C271*$X$4)+'Calculs 3D'!$D$15-OffsetY)/Ecran)*'Calculs 3D'!$D$32)+(((($D271*$X$4)+'Calculs 3D'!$E$15-OffsetZ)/Ecran)*'Calculs 3D'!$E$32)),0)</f>
        <v>0.30134411399509797</v>
      </c>
    </row>
    <row r="272" spans="2:25" x14ac:dyDescent="0.3">
      <c r="B272" s="102">
        <v>-0.57206140281768425</v>
      </c>
      <c r="C272" s="102">
        <v>0.57206140281768436</v>
      </c>
      <c r="D272" s="102">
        <v>0.58778525229247314</v>
      </c>
      <c r="F272" s="105">
        <f>IF(Body1Actif=TRUE,((((($B272*$F$4)+'Calculs 3D'!$C$6-OffsetX)/Ecran)*'Calculs 3D'!$C$31)+(((($C272*$F$4)+'Calculs 3D'!$D$6-OffsetY)/Ecran)*'Calculs 3D'!$D$31)+(((($D272*$F$4)+'Calculs 3D'!$E$6-OffsetZ)/Ecran)*'Calculs 3D'!$E$31)),0)</f>
        <v>5.0101184249954238E-2</v>
      </c>
      <c r="G272" s="105">
        <f>IF(Body1Actif=TRUE,((((($B272*$F$4)+'Calculs 3D'!$C$6-OffsetX)/Ecran)*'Calculs 3D'!$C$32)+(((($C272*$F$4)+'Calculs 3D'!$D$6-OffsetY)/Ecran)*'Calculs 3D'!$D$32)+(((($D272*$F$4)+'Calculs 3D'!$E$6-OffsetZ)/Ecran)*'Calculs 3D'!$E$32)),0)</f>
        <v>0.26756354834798557</v>
      </c>
      <c r="H272" s="105">
        <f>IF(Body2Actif=TRUE,((((($B272*$H$4)+'Calculs 3D'!$C$7-OffsetX)/Ecran)*'Calculs 3D'!$C$31)+(((($C272*$H$4)+'Calculs 3D'!$D$7-OffsetY)/Ecran)*'Calculs 3D'!$D$31)+(((($D272*$H$4)+'Calculs 3D'!$E$7-OffsetZ)/Ecran)*'Calculs 3D'!$E$31)),0)</f>
        <v>2.3385034494817922E-2</v>
      </c>
      <c r="I272" s="105">
        <f>IF(Body2Actif=TRUE,((((($B272*$H$4)+'Calculs 3D'!$C$7-OffsetX)/Ecran)*'Calculs 3D'!$C$32)+(((($C272*$H$4)+'Calculs 3D'!$D$7-OffsetY)/Ecran)*'Calculs 3D'!$D$32)+(((($D272*$H$4)+'Calculs 3D'!$E$7-OffsetZ)/Ecran)*'Calculs 3D'!$E$32)),0)</f>
        <v>4.4744009527775963E-2</v>
      </c>
      <c r="J272" s="105">
        <f>IF(Body3Actif=TRUE,((((($B272*$J$4)+'Calculs 3D'!$C$8-OffsetX)/Ecran)*'Calculs 3D'!$C$31)+(((($C272*$J$4)+'Calculs 3D'!$D$8-OffsetY)/Ecran)*'Calculs 3D'!$D$31)+(((($D272*$J$4)+'Calculs 3D'!$E$8-OffsetZ)/Ecran)*'Calculs 3D'!$E$31)),0)</f>
        <v>0.21783200869151476</v>
      </c>
      <c r="K272" s="105">
        <f>IF(Body3Actif=TRUE,((((($B272*$J$4)+'Calculs 3D'!$C$8-OffsetX)/Ecran)*'Calculs 3D'!$C$32)+(((($C272*$J$4)+'Calculs 3D'!$D$8-OffsetY)/Ecran)*'Calculs 3D'!$D$32)+(((($D272*$J$4)+'Calculs 3D'!$E$8-OffsetZ)/Ecran)*'Calculs 3D'!$E$32)),0)</f>
        <v>-7.445686963313336E-2</v>
      </c>
      <c r="L272" s="105">
        <f>IF(Body4Actif=TRUE,((((($B272*$L$4)+'Calculs 3D'!$C$9-OffsetX)/Ecran)*'Calculs 3D'!$C$31)+(((($C272*$L$4)+'Calculs 3D'!$D$9-OffsetY)/Ecran)*'Calculs 3D'!$D$31)+(((($D272*$L$4)+'Calculs 3D'!$E$9-OffsetZ)/Ecran)*'Calculs 3D'!$E$31)),0)</f>
        <v>-9.5602667816942016E-2</v>
      </c>
      <c r="M272" s="105">
        <f>IF(Body4Actif=TRUE,((((($B272*$L$4)+'Calculs 3D'!$C$9-OffsetX)/Ecran)*'Calculs 3D'!$C$32)+(((($C272*$L$4)+'Calculs 3D'!$D$9-OffsetY)/Ecran)*'Calculs 3D'!$D$32)+(((($D272*$L$4)+'Calculs 3D'!$E$9-OffsetZ)/Ecran)*'Calculs 3D'!$E$32)),0)</f>
        <v>-0.1637744597983595</v>
      </c>
      <c r="N272" s="105">
        <f>IF(Body5Actif=TRUE,((((($B272*$N$4)+'Calculs 3D'!$C$10-OffsetX)/Ecran)*'Calculs 3D'!$C$31)+(((($C272*$N$4)+'Calculs 3D'!$D$10-OffsetY)/Ecran)*'Calculs 3D'!$D$31)+(((($D272*$N$4)+'Calculs 3D'!$E$10-OffsetZ)/Ecran)*'Calculs 3D'!$E$31)),0)</f>
        <v>-3.7338929152001647E-4</v>
      </c>
      <c r="O272" s="105">
        <f>IF(Body5Actif=TRUE,((((($B272*$N$4)+'Calculs 3D'!$C$10-OffsetX)/Ecran)*'Calculs 3D'!$C$32)+(((($C272*$N$4)+'Calculs 3D'!$D$10-OffsetY)/Ecran)*'Calculs 3D'!$D$32)+(((($D272*$N$4)+'Calculs 3D'!$E$10-OffsetZ)/Ecran)*'Calculs 3D'!$E$32)),0)</f>
        <v>4.3199237555124545E-3</v>
      </c>
      <c r="P272" s="105">
        <f>IF(Body6Actif=TRUE,((((($B272*$P$4)+'Calculs 3D'!$C$11-OffsetX)/Ecran)*'Calculs 3D'!$C$31)+(((($C272*$P$4)+'Calculs 3D'!$D$11-OffsetY)/Ecran)*'Calculs 3D'!$D$31)+(((($D272*$P$4)+'Calculs 3D'!$E$11-OffsetZ)/Ecran)*'Calculs 3D'!$E$31)),0)</f>
        <v>0.16889552300910804</v>
      </c>
      <c r="Q272" s="105">
        <f>IF(Body6Actif=TRUE,((((($B272*$P$4)+'Calculs 3D'!$C$11-OffsetX)/Ecran)*'Calculs 3D'!$C$32)+(((($C272*$P$4)+'Calculs 3D'!$D$11-OffsetY)/Ecran)*'Calculs 3D'!$D$32)+(((($D272*$P$4)+'Calculs 3D'!$E$11-OffsetZ)/Ecran)*'Calculs 3D'!$E$32)),0)</f>
        <v>0.14653255772045093</v>
      </c>
      <c r="R272" s="105">
        <f>IF(Body7Actif=TRUE,((((($B272*$R$4)+'Calculs 3D'!$C$12-OffsetX)/Ecran)*'Calculs 3D'!$C$31)+(((($C272*$R$4)+'Calculs 3D'!$D$12-OffsetY)/Ecran)*'Calculs 3D'!$D$31)+(((($D272*$R$4)+'Calculs 3D'!$E$12-OffsetZ)/Ecran)*'Calculs 3D'!$E$31)),0)</f>
        <v>-0.28252717129912397</v>
      </c>
      <c r="S272" s="105">
        <f>IF(Body7Actif=TRUE,((((($B272*$R$4)+'Calculs 3D'!$C$12-OffsetX)/Ecran)*'Calculs 3D'!$C$32)+(((($C272*$R$4)+'Calculs 3D'!$D$12-OffsetY)/Ecran)*'Calculs 3D'!$D$32)+(((($D272*$R$4)+'Calculs 3D'!$E$12-OffsetZ)/Ecran)*'Calculs 3D'!$E$32)),0)</f>
        <v>7.5878748715463074E-2</v>
      </c>
      <c r="T272" s="105">
        <f>IF(Body8Actif=TRUE,((((($B272*$T$4)+'Calculs 3D'!$C$13-OffsetX)/Ecran)*'Calculs 3D'!$C$31)+(((($C272*$T$4)+'Calculs 3D'!$D$13-OffsetY)/Ecran)*'Calculs 3D'!$D$31)+(((($D272*$T$4)+'Calculs 3D'!$E$13-OffsetZ)/Ecran)*'Calculs 3D'!$E$31)),0)</f>
        <v>0.16752565997040225</v>
      </c>
      <c r="U272" s="105">
        <f>IF(Body8Actif=TRUE,((((($B272*$T$4)+'Calculs 3D'!$C$13-OffsetX)/Ecran)*'Calculs 3D'!$C$32)+(((($C272*$T$4)+'Calculs 3D'!$D$13-OffsetY)/Ecran)*'Calculs 3D'!$D$32)+(((($D272*$T$4)+'Calculs 3D'!$E$13-OffsetZ)/Ecran)*'Calculs 3D'!$E$32)),0)</f>
        <v>-0.12568957925084506</v>
      </c>
      <c r="V272" s="105">
        <f>IF(Body9Actif=TRUE,((((($B272*$V$4)+'Calculs 3D'!$C$14-OffsetX)/Ecran)*'Calculs 3D'!$C$31)+(((($C272*$V$4)+'Calculs 3D'!$D$14-OffsetY)/Ecran)*'Calculs 3D'!$D$31)+(((($D272*$V$4)+'Calculs 3D'!$E$14-OffsetZ)/Ecran)*'Calculs 3D'!$E$31)),0)</f>
        <v>-0.17855405681341663</v>
      </c>
      <c r="W272" s="105">
        <f>IF(Body9Actif=TRUE,((((($B272*$V$4)+'Calculs 3D'!$C$14-OffsetX)/Ecran)*'Calculs 3D'!$C$32)+(((($C272*$V$4)+'Calculs 3D'!$D$14-OffsetY)/Ecran)*'Calculs 3D'!$D$32)+(((($D272*$V$4)+'Calculs 3D'!$E$14-OffsetZ)/Ecran)*'Calculs 3D'!$E$32)),0)</f>
        <v>0.29544605081060449</v>
      </c>
      <c r="X272" s="105">
        <f>IF(Body10Actif=TRUE,((((($B272*$X$4)+'Calculs 3D'!$C$15-OffsetX)/Ecran)*'Calculs 3D'!$C$31)+(((($C272*$X$4)+'Calculs 3D'!$D$15-OffsetY)/Ecran)*'Calculs 3D'!$D$31)+(((($D272*$X$4)+'Calculs 3D'!$E$15-OffsetZ)/Ecran)*'Calculs 3D'!$E$31)),0)</f>
        <v>-1.679365555964496E-2</v>
      </c>
      <c r="Y272" s="105">
        <f>IF(Body10Actif=TRUE,((((($B272*$X$4)+'Calculs 3D'!$C$15-OffsetX)/Ecran)*'Calculs 3D'!$C$32)+(((($C272*$X$4)+'Calculs 3D'!$D$15-OffsetY)/Ecran)*'Calculs 3D'!$D$32)+(((($D272*$X$4)+'Calculs 3D'!$E$15-OffsetZ)/Ecran)*'Calculs 3D'!$E$32)),0)</f>
        <v>0.30276730007634206</v>
      </c>
    </row>
    <row r="273" spans="2:25" x14ac:dyDescent="0.3">
      <c r="B273" s="102">
        <v>-0.41562693777745341</v>
      </c>
      <c r="C273" s="102">
        <v>0.41562693777745346</v>
      </c>
      <c r="D273" s="102">
        <v>0.80901699437494745</v>
      </c>
      <c r="F273" s="105">
        <f>IF(Body1Actif=TRUE,((((($B273*$F$4)+'Calculs 3D'!$C$6-OffsetX)/Ecran)*'Calculs 3D'!$C$31)+(((($C273*$F$4)+'Calculs 3D'!$D$6-OffsetY)/Ecran)*'Calculs 3D'!$D$31)+(((($D273*$F$4)+'Calculs 3D'!$E$6-OffsetZ)/Ecran)*'Calculs 3D'!$E$31)),0)</f>
        <v>5.0231894459877822E-2</v>
      </c>
      <c r="G273" s="105">
        <f>IF(Body1Actif=TRUE,((((($B273*$F$4)+'Calculs 3D'!$C$6-OffsetX)/Ecran)*'Calculs 3D'!$C$32)+(((($C273*$F$4)+'Calculs 3D'!$D$6-OffsetY)/Ecran)*'Calculs 3D'!$D$32)+(((($D273*$F$4)+'Calculs 3D'!$E$6-OffsetZ)/Ecran)*'Calculs 3D'!$E$32)),0)</f>
        <v>0.26771388970318966</v>
      </c>
      <c r="H273" s="105">
        <f>IF(Body2Actif=TRUE,((((($B273*$H$4)+'Calculs 3D'!$C$7-OffsetX)/Ecran)*'Calculs 3D'!$C$31)+(((($C273*$H$4)+'Calculs 3D'!$D$7-OffsetY)/Ecran)*'Calculs 3D'!$D$31)+(((($D273*$H$4)+'Calculs 3D'!$E$7-OffsetZ)/Ecran)*'Calculs 3D'!$E$31)),0)</f>
        <v>2.3894526742762427E-2</v>
      </c>
      <c r="I273" s="105">
        <f>IF(Body2Actif=TRUE,((((($B273*$H$4)+'Calculs 3D'!$C$7-OffsetX)/Ecran)*'Calculs 3D'!$C$32)+(((($C273*$H$4)+'Calculs 3D'!$D$7-OffsetY)/Ecran)*'Calculs 3D'!$D$32)+(((($D273*$H$4)+'Calculs 3D'!$E$7-OffsetZ)/Ecran)*'Calculs 3D'!$E$32)),0)</f>
        <v>4.5330021554431971E-2</v>
      </c>
      <c r="J273" s="105">
        <f>IF(Body3Actif=TRUE,((((($B273*$J$4)+'Calculs 3D'!$C$8-OffsetX)/Ecran)*'Calculs 3D'!$C$31)+(((($C273*$J$4)+'Calculs 3D'!$D$8-OffsetY)/Ecran)*'Calculs 3D'!$D$31)+(((($D273*$J$4)+'Calculs 3D'!$E$8-OffsetZ)/Ecran)*'Calculs 3D'!$E$31)),0)</f>
        <v>0.21805843836417532</v>
      </c>
      <c r="K273" s="105">
        <f>IF(Body3Actif=TRUE,((((($B273*$J$4)+'Calculs 3D'!$C$8-OffsetX)/Ecran)*'Calculs 3D'!$C$32)+(((($C273*$J$4)+'Calculs 3D'!$D$8-OffsetY)/Ecran)*'Calculs 3D'!$D$32)+(((($D273*$J$4)+'Calculs 3D'!$E$8-OffsetZ)/Ecran)*'Calculs 3D'!$E$32)),0)</f>
        <v>-7.4196432871031143E-2</v>
      </c>
      <c r="L273" s="105">
        <f>IF(Body4Actif=TRUE,((((($B273*$L$4)+'Calculs 3D'!$C$9-OffsetX)/Ecran)*'Calculs 3D'!$C$31)+(((($C273*$L$4)+'Calculs 3D'!$D$9-OffsetY)/Ecran)*'Calculs 3D'!$D$31)+(((($D273*$L$4)+'Calculs 3D'!$E$9-OffsetZ)/Ecran)*'Calculs 3D'!$E$31)),0)</f>
        <v>-9.5308242990931352E-2</v>
      </c>
      <c r="M273" s="105">
        <f>IF(Body4Actif=TRUE,((((($B273*$L$4)+'Calculs 3D'!$C$9-OffsetX)/Ecran)*'Calculs 3D'!$C$32)+(((($C273*$L$4)+'Calculs 3D'!$D$9-OffsetY)/Ecran)*'Calculs 3D'!$D$32)+(((($D273*$L$4)+'Calculs 3D'!$E$9-OffsetZ)/Ecran)*'Calculs 3D'!$E$32)),0)</f>
        <v>-0.16343581580586616</v>
      </c>
      <c r="N273" s="105">
        <f>IF(Body5Actif=TRUE,((((($B273*$N$4)+'Calculs 3D'!$C$10-OffsetX)/Ecran)*'Calculs 3D'!$C$31)+(((($C273*$N$4)+'Calculs 3D'!$D$10-OffsetY)/Ecran)*'Calculs 3D'!$D$31)+(((($D273*$N$4)+'Calculs 3D'!$E$10-OffsetZ)/Ecran)*'Calculs 3D'!$E$31)),0)</f>
        <v>-3.7276323637628131E-5</v>
      </c>
      <c r="O273" s="105">
        <f>IF(Body5Actif=TRUE,((((($B273*$N$4)+'Calculs 3D'!$C$10-OffsetX)/Ecran)*'Calculs 3D'!$C$32)+(((($C273*$N$4)+'Calculs 3D'!$D$10-OffsetY)/Ecran)*'Calculs 3D'!$D$32)+(((($D273*$N$4)+'Calculs 3D'!$E$10-OffsetZ)/Ecran)*'Calculs 3D'!$E$32)),0)</f>
        <v>4.7065169613733212E-3</v>
      </c>
      <c r="P273" s="105">
        <f>IF(Body6Actif=TRUE,((((($B273*$P$4)+'Calculs 3D'!$C$11-OffsetX)/Ecran)*'Calculs 3D'!$C$31)+(((($C273*$P$4)+'Calculs 3D'!$D$11-OffsetY)/Ecran)*'Calculs 3D'!$D$31)+(((($D273*$P$4)+'Calculs 3D'!$E$11-OffsetZ)/Ecran)*'Calculs 3D'!$E$31)),0)</f>
        <v>0.1693826080804568</v>
      </c>
      <c r="Q273" s="105">
        <f>IF(Body6Actif=TRUE,((((($B273*$P$4)+'Calculs 3D'!$C$11-OffsetX)/Ecran)*'Calculs 3D'!$C$32)+(((($C273*$P$4)+'Calculs 3D'!$D$11-OffsetY)/Ecran)*'Calculs 3D'!$D$32)+(((($D273*$P$4)+'Calculs 3D'!$E$11-OffsetZ)/Ecran)*'Calculs 3D'!$E$32)),0)</f>
        <v>0.14709279727456878</v>
      </c>
      <c r="R273" s="105">
        <f>IF(Body7Actif=TRUE,((((($B273*$R$4)+'Calculs 3D'!$C$12-OffsetX)/Ecran)*'Calculs 3D'!$C$31)+(((($C273*$R$4)+'Calculs 3D'!$D$12-OffsetY)/Ecran)*'Calculs 3D'!$D$31)+(((($D273*$R$4)+'Calculs 3D'!$E$12-OffsetZ)/Ecran)*'Calculs 3D'!$E$31)),0)</f>
        <v>-0.28203800953811048</v>
      </c>
      <c r="S273" s="105">
        <f>IF(Body7Actif=TRUE,((((($B273*$R$4)+'Calculs 3D'!$C$12-OffsetX)/Ecran)*'Calculs 3D'!$C$32)+(((($C273*$R$4)+'Calculs 3D'!$D$12-OffsetY)/Ecran)*'Calculs 3D'!$D$32)+(((($D273*$R$4)+'Calculs 3D'!$E$12-OffsetZ)/Ecran)*'Calculs 3D'!$E$32)),0)</f>
        <v>7.6441376853753004E-2</v>
      </c>
      <c r="T273" s="105">
        <f>IF(Body8Actif=TRUE,((((($B273*$T$4)+'Calculs 3D'!$C$13-OffsetX)/Ecran)*'Calculs 3D'!$C$31)+(((($C273*$T$4)+'Calculs 3D'!$D$13-OffsetY)/Ecran)*'Calculs 3D'!$D$31)+(((($D273*$T$4)+'Calculs 3D'!$E$13-OffsetZ)/Ecran)*'Calculs 3D'!$E$31)),0)</f>
        <v>0.16770208128835895</v>
      </c>
      <c r="U273" s="105">
        <f>IF(Body8Actif=TRUE,((((($B273*$T$4)+'Calculs 3D'!$C$13-OffsetX)/Ecran)*'Calculs 3D'!$C$32)+(((($C273*$T$4)+'Calculs 3D'!$D$13-OffsetY)/Ecran)*'Calculs 3D'!$D$32)+(((($D273*$T$4)+'Calculs 3D'!$E$13-OffsetZ)/Ecran)*'Calculs 3D'!$E$32)),0)</f>
        <v>-0.12548666151363069</v>
      </c>
      <c r="V273" s="105">
        <f>IF(Body9Actif=TRUE,((((($B273*$V$4)+'Calculs 3D'!$C$14-OffsetX)/Ecran)*'Calculs 3D'!$C$31)+(((($C273*$V$4)+'Calculs 3D'!$D$14-OffsetY)/Ecran)*'Calculs 3D'!$D$31)+(((($D273*$V$4)+'Calculs 3D'!$E$14-OffsetZ)/Ecran)*'Calculs 3D'!$E$31)),0)</f>
        <v>-0.1783092694224212</v>
      </c>
      <c r="W273" s="105">
        <f>IF(Body9Actif=TRUE,((((($B273*$V$4)+'Calculs 3D'!$C$14-OffsetX)/Ecran)*'Calculs 3D'!$C$32)+(((($C273*$V$4)+'Calculs 3D'!$D$14-OffsetY)/Ecran)*'Calculs 3D'!$D$32)+(((($D273*$V$4)+'Calculs 3D'!$E$14-OffsetZ)/Ecran)*'Calculs 3D'!$E$32)),0)</f>
        <v>0.29572760240569895</v>
      </c>
      <c r="X273" s="105">
        <f>IF(Body10Actif=TRUE,((((($B273*$X$4)+'Calculs 3D'!$C$15-OffsetX)/Ecran)*'Calculs 3D'!$C$31)+(((($C273*$X$4)+'Calculs 3D'!$D$15-OffsetY)/Ecran)*'Calculs 3D'!$D$31)+(((($D273*$X$4)+'Calculs 3D'!$E$15-OffsetZ)/Ecran)*'Calculs 3D'!$E$31)),0)</f>
        <v>-1.6424160229600776E-2</v>
      </c>
      <c r="Y273" s="105">
        <f>IF(Body10Actif=TRUE,((((($B273*$X$4)+'Calculs 3D'!$C$15-OffsetX)/Ecran)*'Calculs 3D'!$C$32)+(((($C273*$X$4)+'Calculs 3D'!$D$15-OffsetY)/Ecran)*'Calculs 3D'!$D$32)+(((($D273*$X$4)+'Calculs 3D'!$E$15-OffsetZ)/Ecran)*'Calculs 3D'!$E$32)),0)</f>
        <v>0.30319228928485842</v>
      </c>
    </row>
    <row r="274" spans="2:25" x14ac:dyDescent="0.3">
      <c r="B274" s="102">
        <v>-0.21850801222441055</v>
      </c>
      <c r="C274" s="102">
        <v>0.21850801222441057</v>
      </c>
      <c r="D274" s="102">
        <v>0.95105651629515353</v>
      </c>
      <c r="F274" s="105">
        <f>IF(Body1Actif=TRUE,((((($B274*$F$4)+'Calculs 3D'!$C$6-OffsetX)/Ecran)*'Calculs 3D'!$C$31)+(((($C274*$F$4)+'Calculs 3D'!$D$6-OffsetY)/Ecran)*'Calculs 3D'!$D$31)+(((($D274*$F$4)+'Calculs 3D'!$E$6-OffsetZ)/Ecran)*'Calculs 3D'!$E$31)),0)</f>
        <v>5.0396598932976655E-2</v>
      </c>
      <c r="G274" s="105">
        <f>IF(Body1Actif=TRUE,((((($B274*$F$4)+'Calculs 3D'!$C$6-OffsetX)/Ecran)*'Calculs 3D'!$C$32)+(((($C274*$F$4)+'Calculs 3D'!$D$6-OffsetY)/Ecran)*'Calculs 3D'!$D$32)+(((($D274*$F$4)+'Calculs 3D'!$E$6-OffsetZ)/Ecran)*'Calculs 3D'!$E$32)),0)</f>
        <v>0.26749639911377099</v>
      </c>
      <c r="H274" s="105">
        <f>IF(Body2Actif=TRUE,((((($B274*$H$4)+'Calculs 3D'!$C$7-OffsetX)/Ecran)*'Calculs 3D'!$C$31)+(((($C274*$H$4)+'Calculs 3D'!$D$7-OffsetY)/Ecran)*'Calculs 3D'!$D$31)+(((($D274*$H$4)+'Calculs 3D'!$E$7-OffsetZ)/Ecran)*'Calculs 3D'!$E$31)),0)</f>
        <v>2.4536524428289068E-2</v>
      </c>
      <c r="I274" s="105">
        <f>IF(Body2Actif=TRUE,((((($B274*$H$4)+'Calculs 3D'!$C$7-OffsetX)/Ecran)*'Calculs 3D'!$C$32)+(((($C274*$H$4)+'Calculs 3D'!$D$7-OffsetY)/Ecran)*'Calculs 3D'!$D$32)+(((($D274*$H$4)+'Calculs 3D'!$E$7-OffsetZ)/Ecran)*'Calculs 3D'!$E$32)),0)</f>
        <v>4.4482270109655879E-2</v>
      </c>
      <c r="J274" s="105">
        <f>IF(Body3Actif=TRUE,((((($B274*$J$4)+'Calculs 3D'!$C$8-OffsetX)/Ecran)*'Calculs 3D'!$C$31)+(((($C274*$J$4)+'Calculs 3D'!$D$8-OffsetY)/Ecran)*'Calculs 3D'!$D$31)+(((($D274*$J$4)+'Calculs 3D'!$E$8-OffsetZ)/Ecran)*'Calculs 3D'!$E$31)),0)</f>
        <v>0.21834375639672457</v>
      </c>
      <c r="K274" s="105">
        <f>IF(Body3Actif=TRUE,((((($B274*$J$4)+'Calculs 3D'!$C$8-OffsetX)/Ecran)*'Calculs 3D'!$C$32)+(((($C274*$J$4)+'Calculs 3D'!$D$8-OffsetY)/Ecran)*'Calculs 3D'!$D$32)+(((($D274*$J$4)+'Calculs 3D'!$E$8-OffsetZ)/Ecran)*'Calculs 3D'!$E$32)),0)</f>
        <v>-7.4573192444729403E-2</v>
      </c>
      <c r="L274" s="105">
        <f>IF(Body4Actif=TRUE,((((($B274*$L$4)+'Calculs 3D'!$C$9-OffsetX)/Ecran)*'Calculs 3D'!$C$31)+(((($C274*$L$4)+'Calculs 3D'!$D$9-OffsetY)/Ecran)*'Calculs 3D'!$D$31)+(((($D274*$L$4)+'Calculs 3D'!$E$9-OffsetZ)/Ecran)*'Calculs 3D'!$E$31)),0)</f>
        <v>-9.4937246066791686E-2</v>
      </c>
      <c r="M274" s="105">
        <f>IF(Body4Actif=TRUE,((((($B274*$L$4)+'Calculs 3D'!$C$9-OffsetX)/Ecran)*'Calculs 3D'!$C$32)+(((($C274*$L$4)+'Calculs 3D'!$D$9-OffsetY)/Ecran)*'Calculs 3D'!$D$32)+(((($D274*$L$4)+'Calculs 3D'!$E$9-OffsetZ)/Ecran)*'Calculs 3D'!$E$32)),0)</f>
        <v>-0.16392571348857957</v>
      </c>
      <c r="N274" s="105">
        <f>IF(Body5Actif=TRUE,((((($B274*$N$4)+'Calculs 3D'!$C$10-OffsetX)/Ecran)*'Calculs 3D'!$C$31)+(((($C274*$N$4)+'Calculs 3D'!$D$10-OffsetY)/Ecran)*'Calculs 3D'!$D$31)+(((($D274*$N$4)+'Calculs 3D'!$E$10-OffsetZ)/Ecran)*'Calculs 3D'!$E$31)),0)</f>
        <v>3.8625072378368E-4</v>
      </c>
      <c r="O274" s="105">
        <f>IF(Body5Actif=TRUE,((((($B274*$N$4)+'Calculs 3D'!$C$10-OffsetX)/Ecran)*'Calculs 3D'!$C$32)+(((($C274*$N$4)+'Calculs 3D'!$D$10-OffsetY)/Ecran)*'Calculs 3D'!$D$32)+(((($D274*$N$4)+'Calculs 3D'!$E$10-OffsetZ)/Ecran)*'Calculs 3D'!$E$32)),0)</f>
        <v>4.1472537826304848E-3</v>
      </c>
      <c r="P274" s="105">
        <f>IF(Body6Actif=TRUE,((((($B274*$P$4)+'Calculs 3D'!$C$11-OffsetX)/Ecran)*'Calculs 3D'!$C$31)+(((($C274*$P$4)+'Calculs 3D'!$D$11-OffsetY)/Ecran)*'Calculs 3D'!$D$31)+(((($D274*$P$4)+'Calculs 3D'!$E$11-OffsetZ)/Ecran)*'Calculs 3D'!$E$31)),0)</f>
        <v>0.16999637107630616</v>
      </c>
      <c r="Q274" s="105">
        <f>IF(Body6Actif=TRUE,((((($B274*$P$4)+'Calculs 3D'!$C$11-OffsetX)/Ecran)*'Calculs 3D'!$C$32)+(((($C274*$P$4)+'Calculs 3D'!$D$11-OffsetY)/Ecran)*'Calculs 3D'!$D$32)+(((($D274*$P$4)+'Calculs 3D'!$E$11-OffsetZ)/Ecran)*'Calculs 3D'!$E$32)),0)</f>
        <v>0.14628232945169095</v>
      </c>
      <c r="R274" s="105">
        <f>IF(Body7Actif=TRUE,((((($B274*$R$4)+'Calculs 3D'!$C$12-OffsetX)/Ecran)*'Calculs 3D'!$C$31)+(((($C274*$R$4)+'Calculs 3D'!$D$12-OffsetY)/Ecran)*'Calculs 3D'!$D$31)+(((($D274*$R$4)+'Calculs 3D'!$E$12-OffsetZ)/Ecran)*'Calculs 3D'!$E$31)),0)</f>
        <v>-0.28142162976062457</v>
      </c>
      <c r="S274" s="105">
        <f>IF(Body7Actif=TRUE,((((($B274*$R$4)+'Calculs 3D'!$C$12-OffsetX)/Ecran)*'Calculs 3D'!$C$32)+(((($C274*$R$4)+'Calculs 3D'!$D$12-OffsetY)/Ecran)*'Calculs 3D'!$D$32)+(((($D274*$R$4)+'Calculs 3D'!$E$12-OffsetZ)/Ecran)*'Calculs 3D'!$E$32)),0)</f>
        <v>7.5627453597213859E-2</v>
      </c>
      <c r="T274" s="105">
        <f>IF(Body8Actif=TRUE,((((($B274*$T$4)+'Calculs 3D'!$C$13-OffsetX)/Ecran)*'Calculs 3D'!$C$31)+(((($C274*$T$4)+'Calculs 3D'!$D$13-OffsetY)/Ecran)*'Calculs 3D'!$D$31)+(((($D274*$T$4)+'Calculs 3D'!$E$13-OffsetZ)/Ecran)*'Calculs 3D'!$E$31)),0)</f>
        <v>0.16792438511783381</v>
      </c>
      <c r="U274" s="105">
        <f>IF(Body8Actif=TRUE,((((($B274*$T$4)+'Calculs 3D'!$C$13-OffsetX)/Ecran)*'Calculs 3D'!$C$32)+(((($C274*$T$4)+'Calculs 3D'!$D$13-OffsetY)/Ecran)*'Calculs 3D'!$D$32)+(((($D274*$T$4)+'Calculs 3D'!$E$13-OffsetZ)/Ecran)*'Calculs 3D'!$E$32)),0)</f>
        <v>-0.12578021147006385</v>
      </c>
      <c r="V274" s="105">
        <f>IF(Body9Actif=TRUE,((((($B274*$V$4)+'Calculs 3D'!$C$14-OffsetX)/Ecran)*'Calculs 3D'!$C$31)+(((($C274*$V$4)+'Calculs 3D'!$D$14-OffsetY)/Ecran)*'Calculs 3D'!$D$31)+(((($D274*$V$4)+'Calculs 3D'!$E$14-OffsetZ)/Ecran)*'Calculs 3D'!$E$31)),0)</f>
        <v>-0.17800081931528189</v>
      </c>
      <c r="W274" s="105">
        <f>IF(Body9Actif=TRUE,((((($B274*$V$4)+'Calculs 3D'!$C$14-OffsetX)/Ecran)*'Calculs 3D'!$C$32)+(((($C274*$V$4)+'Calculs 3D'!$D$14-OffsetY)/Ecran)*'Calculs 3D'!$D$32)+(((($D274*$V$4)+'Calculs 3D'!$E$14-OffsetZ)/Ecran)*'Calculs 3D'!$E$32)),0)</f>
        <v>0.29532029716167119</v>
      </c>
      <c r="X274" s="105">
        <f>IF(Body10Actif=TRUE,((((($B274*$X$4)+'Calculs 3D'!$C$15-OffsetX)/Ecran)*'Calculs 3D'!$C$31)+(((($C274*$X$4)+'Calculs 3D'!$D$15-OffsetY)/Ecran)*'Calculs 3D'!$D$31)+(((($D274*$X$4)+'Calculs 3D'!$E$15-OffsetZ)/Ecran)*'Calculs 3D'!$E$31)),0)</f>
        <v>-1.5958568951895791E-2</v>
      </c>
      <c r="Y274" s="105">
        <f>IF(Body10Actif=TRUE,((((($B274*$X$4)+'Calculs 3D'!$C$15-OffsetX)/Ecran)*'Calculs 3D'!$C$32)+(((($C274*$X$4)+'Calculs 3D'!$D$15-OffsetY)/Ecran)*'Calculs 3D'!$D$32)+(((($D274*$X$4)+'Calculs 3D'!$E$15-OffsetZ)/Ecran)*'Calculs 3D'!$E$32)),0)</f>
        <v>0.30257748071584339</v>
      </c>
    </row>
    <row r="275" spans="2:25" x14ac:dyDescent="0.3">
      <c r="B275" s="102">
        <v>-4.3315539021305316E-17</v>
      </c>
      <c r="C275" s="102">
        <v>4.3315539021305322E-17</v>
      </c>
      <c r="D275" s="102">
        <v>1</v>
      </c>
      <c r="F275" s="105">
        <f>IF(Body1Actif=TRUE,((((($B275*$F$4)+'Calculs 3D'!$C$6-OffsetX)/Ecran)*'Calculs 3D'!$C$31)+(((($C275*$F$4)+'Calculs 3D'!$D$6-OffsetY)/Ecran)*'Calculs 3D'!$D$31)+(((($D275*$F$4)+'Calculs 3D'!$E$6-OffsetZ)/Ecran)*'Calculs 3D'!$E$31)),0)</f>
        <v>5.0579175247860285E-2</v>
      </c>
      <c r="G275" s="105">
        <f>IF(Body1Actif=TRUE,((((($B275*$F$4)+'Calculs 3D'!$C$6-OffsetX)/Ecran)*'Calculs 3D'!$C$32)+(((($C275*$F$4)+'Calculs 3D'!$D$6-OffsetY)/Ecran)*'Calculs 3D'!$D$32)+(((($D275*$F$4)+'Calculs 3D'!$E$6-OffsetZ)/Ecran)*'Calculs 3D'!$E$32)),0)</f>
        <v>0.26693236607396786</v>
      </c>
      <c r="H275" s="105">
        <f>IF(Body2Actif=TRUE,((((($B275*$H$4)+'Calculs 3D'!$C$7-OffsetX)/Ecran)*'Calculs 3D'!$C$31)+(((($C275*$H$4)+'Calculs 3D'!$D$7-OffsetY)/Ecran)*'Calculs 3D'!$D$31)+(((($D275*$H$4)+'Calculs 3D'!$E$7-OffsetZ)/Ecran)*'Calculs 3D'!$E$31)),0)</f>
        <v>2.5248184344877585E-2</v>
      </c>
      <c r="I275" s="105">
        <f>IF(Body2Actif=TRUE,((((($B275*$H$4)+'Calculs 3D'!$C$7-OffsetX)/Ecran)*'Calculs 3D'!$C$32)+(((($C275*$H$4)+'Calculs 3D'!$D$7-OffsetY)/Ecran)*'Calculs 3D'!$D$32)+(((($D275*$H$4)+'Calculs 3D'!$E$7-OffsetZ)/Ecran)*'Calculs 3D'!$E$32)),0)</f>
        <v>4.2283739011493945E-2</v>
      </c>
      <c r="J275" s="105">
        <f>IF(Body3Actif=TRUE,((((($B275*$J$4)+'Calculs 3D'!$C$8-OffsetX)/Ecran)*'Calculs 3D'!$C$31)+(((($C275*$J$4)+'Calculs 3D'!$D$8-OffsetY)/Ecran)*'Calculs 3D'!$D$31)+(((($D275*$J$4)+'Calculs 3D'!$E$8-OffsetZ)/Ecran)*'Calculs 3D'!$E$31)),0)</f>
        <v>0.21866003387220898</v>
      </c>
      <c r="K275" s="105">
        <f>IF(Body3Actif=TRUE,((((($B275*$J$4)+'Calculs 3D'!$C$8-OffsetX)/Ecran)*'Calculs 3D'!$C$32)+(((($C275*$J$4)+'Calculs 3D'!$D$8-OffsetY)/Ecran)*'Calculs 3D'!$D$32)+(((($D275*$J$4)+'Calculs 3D'!$E$8-OffsetZ)/Ecran)*'Calculs 3D'!$E$32)),0)</f>
        <v>-7.5550268502116352E-2</v>
      </c>
      <c r="L275" s="105">
        <f>IF(Body4Actif=TRUE,((((($B275*$L$4)+'Calculs 3D'!$C$9-OffsetX)/Ecran)*'Calculs 3D'!$C$31)+(((($C275*$L$4)+'Calculs 3D'!$D$9-OffsetY)/Ecran)*'Calculs 3D'!$D$31)+(((($D275*$L$4)+'Calculs 3D'!$E$9-OffsetZ)/Ecran)*'Calculs 3D'!$E$31)),0)</f>
        <v>-9.4525992808345366E-2</v>
      </c>
      <c r="M275" s="105">
        <f>IF(Body4Actif=TRUE,((((($B275*$L$4)+'Calculs 3D'!$C$9-OffsetX)/Ecran)*'Calculs 3D'!$C$32)+(((($C275*$L$4)+'Calculs 3D'!$D$9-OffsetY)/Ecran)*'Calculs 3D'!$D$32)+(((($D275*$L$4)+'Calculs 3D'!$E$9-OffsetZ)/Ecran)*'Calculs 3D'!$E$32)),0)</f>
        <v>-0.165196198247998</v>
      </c>
      <c r="N275" s="105">
        <f>IF(Body5Actif=TRUE,((((($B275*$N$4)+'Calculs 3D'!$C$10-OffsetX)/Ecran)*'Calculs 3D'!$C$31)+(((($C275*$N$4)+'Calculs 3D'!$D$10-OffsetY)/Ecran)*'Calculs 3D'!$D$31)+(((($D275*$N$4)+'Calculs 3D'!$E$10-OffsetZ)/Ecran)*'Calculs 3D'!$E$31)),0)</f>
        <v>8.557340724558533E-4</v>
      </c>
      <c r="O275" s="105">
        <f>IF(Body5Actif=TRUE,((((($B275*$N$4)+'Calculs 3D'!$C$10-OffsetX)/Ecran)*'Calculs 3D'!$C$32)+(((($C275*$N$4)+'Calculs 3D'!$D$10-OffsetY)/Ecran)*'Calculs 3D'!$D$32)+(((($D275*$N$4)+'Calculs 3D'!$E$10-OffsetZ)/Ecran)*'Calculs 3D'!$E$32)),0)</f>
        <v>2.6968787958349836E-3</v>
      </c>
      <c r="P275" s="105">
        <f>IF(Body6Actif=TRUE,((((($B275*$P$4)+'Calculs 3D'!$C$11-OffsetX)/Ecran)*'Calculs 3D'!$C$31)+(((($C275*$P$4)+'Calculs 3D'!$D$11-OffsetY)/Ecran)*'Calculs 3D'!$D$31)+(((($D275*$P$4)+'Calculs 3D'!$E$11-OffsetZ)/Ecran)*'Calculs 3D'!$E$31)),0)</f>
        <v>0.1706767325982842</v>
      </c>
      <c r="Q275" s="105">
        <f>IF(Body6Actif=TRUE,((((($B275*$P$4)+'Calculs 3D'!$C$11-OffsetX)/Ecran)*'Calculs 3D'!$C$32)+(((($C275*$P$4)+'Calculs 3D'!$D$11-OffsetY)/Ecran)*'Calculs 3D'!$D$32)+(((($D275*$P$4)+'Calculs 3D'!$E$11-OffsetZ)/Ecran)*'Calculs 3D'!$E$32)),0)</f>
        <v>0.14418048848918191</v>
      </c>
      <c r="R275" s="105">
        <f>IF(Body7Actif=TRUE,((((($B275*$R$4)+'Calculs 3D'!$C$12-OffsetX)/Ecran)*'Calculs 3D'!$C$31)+(((($C275*$R$4)+'Calculs 3D'!$D$12-OffsetY)/Ecran)*'Calculs 3D'!$D$31)+(((($D275*$R$4)+'Calculs 3D'!$E$12-OffsetZ)/Ecran)*'Calculs 3D'!$E$31)),0)</f>
        <v>-0.28073836751385717</v>
      </c>
      <c r="S275" s="105">
        <f>IF(Body7Actif=TRUE,((((($B275*$R$4)+'Calculs 3D'!$C$12-OffsetX)/Ecran)*'Calculs 3D'!$C$32)+(((($C275*$R$4)+'Calculs 3D'!$D$12-OffsetY)/Ecran)*'Calculs 3D'!$D$32)+(((($D275*$R$4)+'Calculs 3D'!$E$12-OffsetZ)/Ecran)*'Calculs 3D'!$E$32)),0)</f>
        <v>7.3516651425132598E-2</v>
      </c>
      <c r="T275" s="105">
        <f>IF(Body8Actif=TRUE,((((($B275*$T$4)+'Calculs 3D'!$C$13-OffsetX)/Ecran)*'Calculs 3D'!$C$31)+(((($C275*$T$4)+'Calculs 3D'!$D$13-OffsetY)/Ecran)*'Calculs 3D'!$D$31)+(((($D275*$T$4)+'Calculs 3D'!$E$13-OffsetZ)/Ecran)*'Calculs 3D'!$E$31)),0)</f>
        <v>0.16817081081111579</v>
      </c>
      <c r="U275" s="105">
        <f>IF(Body8Actif=TRUE,((((($B275*$T$4)+'Calculs 3D'!$C$13-OffsetX)/Ecran)*'Calculs 3D'!$C$32)+(((($C275*$T$4)+'Calculs 3D'!$D$13-OffsetY)/Ecran)*'Calculs 3D'!$D$32)+(((($D275*$T$4)+'Calculs 3D'!$E$13-OffsetZ)/Ecran)*'Calculs 3D'!$E$32)),0)</f>
        <v>-0.12654149440512596</v>
      </c>
      <c r="V275" s="105">
        <f>IF(Body9Actif=TRUE,((((($B275*$V$4)+'Calculs 3D'!$C$14-OffsetX)/Ecran)*'Calculs 3D'!$C$31)+(((($C275*$V$4)+'Calculs 3D'!$D$14-OffsetY)/Ecran)*'Calculs 3D'!$D$31)+(((($D275*$V$4)+'Calculs 3D'!$E$14-OffsetZ)/Ecran)*'Calculs 3D'!$E$31)),0)</f>
        <v>-0.17765889973758367</v>
      </c>
      <c r="W275" s="105">
        <f>IF(Body9Actif=TRUE,((((($B275*$V$4)+'Calculs 3D'!$C$14-OffsetX)/Ecran)*'Calculs 3D'!$C$32)+(((($C275*$V$4)+'Calculs 3D'!$D$14-OffsetY)/Ecran)*'Calculs 3D'!$D$32)+(((($D275*$V$4)+'Calculs 3D'!$E$14-OffsetZ)/Ecran)*'Calculs 3D'!$E$32)),0)</f>
        <v>0.294264004953669</v>
      </c>
      <c r="X275" s="105">
        <f>IF(Body10Actif=TRUE,((((($B275*$X$4)+'Calculs 3D'!$C$15-OffsetX)/Ecran)*'Calculs 3D'!$C$31)+(((($C275*$X$4)+'Calculs 3D'!$D$15-OffsetY)/Ecran)*'Calculs 3D'!$D$31)+(((($D275*$X$4)+'Calculs 3D'!$E$15-OffsetZ)/Ecran)*'Calculs 3D'!$E$31)),0)</f>
        <v>-1.5442457044756913E-2</v>
      </c>
      <c r="Y275" s="105">
        <f>IF(Body10Actif=TRUE,((((($B275*$X$4)+'Calculs 3D'!$C$15-OffsetX)/Ecran)*'Calculs 3D'!$C$32)+(((($C275*$X$4)+'Calculs 3D'!$D$15-OffsetY)/Ecran)*'Calculs 3D'!$D$32)+(((($D275*$X$4)+'Calculs 3D'!$E$15-OffsetZ)/Ecran)*'Calculs 3D'!$E$32)),0)</f>
        <v>0.30098305611565546</v>
      </c>
    </row>
    <row r="276" spans="2:25" x14ac:dyDescent="0.3">
      <c r="B276" s="102">
        <v>0.21850801222441046</v>
      </c>
      <c r="C276" s="102">
        <v>-0.21850801222441049</v>
      </c>
      <c r="D276" s="102">
        <v>0.95105651629515364</v>
      </c>
      <c r="F276" s="105">
        <f>IF(Body1Actif=TRUE,((((($B276*$F$4)+'Calculs 3D'!$C$6-OffsetX)/Ecran)*'Calculs 3D'!$C$31)+(((($C276*$F$4)+'Calculs 3D'!$D$6-OffsetY)/Ecran)*'Calculs 3D'!$D$31)+(((($D276*$F$4)+'Calculs 3D'!$E$6-OffsetZ)/Ecran)*'Calculs 3D'!$E$31)),0)</f>
        <v>5.0761751562743908E-2</v>
      </c>
      <c r="G276" s="105">
        <f>IF(Body1Actif=TRUE,((((($B276*$F$4)+'Calculs 3D'!$C$6-OffsetX)/Ecran)*'Calculs 3D'!$C$32)+(((($C276*$F$4)+'Calculs 3D'!$D$6-OffsetY)/Ecran)*'Calculs 3D'!$D$32)+(((($D276*$F$4)+'Calculs 3D'!$E$6-OffsetZ)/Ecran)*'Calculs 3D'!$E$32)),0)</f>
        <v>0.26607700206756546</v>
      </c>
      <c r="H276" s="105">
        <f>IF(Body2Actif=TRUE,((((($B276*$H$4)+'Calculs 3D'!$C$7-OffsetX)/Ecran)*'Calculs 3D'!$C$31)+(((($C276*$H$4)+'Calculs 3D'!$D$7-OffsetY)/Ecran)*'Calculs 3D'!$D$31)+(((($D276*$H$4)+'Calculs 3D'!$E$7-OffsetZ)/Ecran)*'Calculs 3D'!$E$31)),0)</f>
        <v>2.5959844261466115E-2</v>
      </c>
      <c r="I276" s="105">
        <f>IF(Body2Actif=TRUE,((((($B276*$H$4)+'Calculs 3D'!$C$7-OffsetX)/Ecran)*'Calculs 3D'!$C$32)+(((($C276*$H$4)+'Calculs 3D'!$D$7-OffsetY)/Ecran)*'Calculs 3D'!$D$32)+(((($D276*$H$4)+'Calculs 3D'!$E$7-OffsetZ)/Ecran)*'Calculs 3D'!$E$32)),0)</f>
        <v>3.8949635801901208E-2</v>
      </c>
      <c r="J276" s="105">
        <f>IF(Body3Actif=TRUE,((((($B276*$J$4)+'Calculs 3D'!$C$8-OffsetX)/Ecran)*'Calculs 3D'!$C$31)+(((($C276*$J$4)+'Calculs 3D'!$D$8-OffsetY)/Ecran)*'Calculs 3D'!$D$31)+(((($D276*$J$4)+'Calculs 3D'!$E$8-OffsetZ)/Ecran)*'Calculs 3D'!$E$31)),0)</f>
        <v>0.21897631134769335</v>
      </c>
      <c r="K276" s="105">
        <f>IF(Body3Actif=TRUE,((((($B276*$J$4)+'Calculs 3D'!$C$8-OffsetX)/Ecran)*'Calculs 3D'!$C$32)+(((($C276*$J$4)+'Calculs 3D'!$D$8-OffsetY)/Ecran)*'Calculs 3D'!$D$32)+(((($D276*$J$4)+'Calculs 3D'!$E$8-OffsetZ)/Ecran)*'Calculs 3D'!$E$32)),0)</f>
        <v>-7.7032018031005706E-2</v>
      </c>
      <c r="L276" s="105">
        <f>IF(Body4Actif=TRUE,((((($B276*$L$4)+'Calculs 3D'!$C$9-OffsetX)/Ecran)*'Calculs 3D'!$C$31)+(((($C276*$L$4)+'Calculs 3D'!$D$9-OffsetY)/Ecran)*'Calculs 3D'!$D$31)+(((($D276*$L$4)+'Calculs 3D'!$E$9-OffsetZ)/Ecran)*'Calculs 3D'!$E$31)),0)</f>
        <v>-9.4114739549899018E-2</v>
      </c>
      <c r="M276" s="105">
        <f>IF(Body4Actif=TRUE,((((($B276*$L$4)+'Calculs 3D'!$C$9-OffsetX)/Ecran)*'Calculs 3D'!$C$32)+(((($C276*$L$4)+'Calculs 3D'!$D$9-OffsetY)/Ecran)*'Calculs 3D'!$D$32)+(((($D276*$L$4)+'Calculs 3D'!$E$9-OffsetZ)/Ecran)*'Calculs 3D'!$E$32)),0)</f>
        <v>-0.16712290618388162</v>
      </c>
      <c r="N276" s="105">
        <f>IF(Body5Actif=TRUE,((((($B276*$N$4)+'Calculs 3D'!$C$10-OffsetX)/Ecran)*'Calculs 3D'!$C$31)+(((($C276*$N$4)+'Calculs 3D'!$D$10-OffsetY)/Ecran)*'Calculs 3D'!$D$31)+(((($D276*$N$4)+'Calculs 3D'!$E$10-OffsetZ)/Ecran)*'Calculs 3D'!$E$31)),0)</f>
        <v>1.3252174211280266E-3</v>
      </c>
      <c r="O276" s="105">
        <f>IF(Body5Actif=TRUE,((((($B276*$N$4)+'Calculs 3D'!$C$10-OffsetX)/Ecran)*'Calculs 3D'!$C$32)+(((($C276*$N$4)+'Calculs 3D'!$D$10-OffsetY)/Ecran)*'Calculs 3D'!$D$32)+(((($D276*$N$4)+'Calculs 3D'!$E$10-OffsetZ)/Ecran)*'Calculs 3D'!$E$32)),0)</f>
        <v>4.9736481005110272E-4</v>
      </c>
      <c r="P276" s="105">
        <f>IF(Body6Actif=TRUE,((((($B276*$P$4)+'Calculs 3D'!$C$11-OffsetX)/Ecran)*'Calculs 3D'!$C$31)+(((($C276*$P$4)+'Calculs 3D'!$D$11-OffsetY)/Ecran)*'Calculs 3D'!$D$31)+(((($D276*$P$4)+'Calculs 3D'!$E$11-OffsetZ)/Ecran)*'Calculs 3D'!$E$31)),0)</f>
        <v>0.17135709412026223</v>
      </c>
      <c r="Q276" s="105">
        <f>IF(Body6Actif=TRUE,((((($B276*$P$4)+'Calculs 3D'!$C$11-OffsetX)/Ecran)*'Calculs 3D'!$C$32)+(((($C276*$P$4)+'Calculs 3D'!$D$11-OffsetY)/Ecran)*'Calculs 3D'!$D$32)+(((($D276*$P$4)+'Calculs 3D'!$E$11-OffsetZ)/Ecran)*'Calculs 3D'!$E$32)),0)</f>
        <v>0.14099301722483931</v>
      </c>
      <c r="R276" s="105">
        <f>IF(Body7Actif=TRUE,((((($B276*$R$4)+'Calculs 3D'!$C$12-OffsetX)/Ecran)*'Calculs 3D'!$C$31)+(((($C276*$R$4)+'Calculs 3D'!$D$12-OffsetY)/Ecran)*'Calculs 3D'!$D$31)+(((($D276*$R$4)+'Calculs 3D'!$E$12-OffsetZ)/Ecran)*'Calculs 3D'!$E$31)),0)</f>
        <v>-0.28005510526708971</v>
      </c>
      <c r="S276" s="105">
        <f>IF(Body7Actif=TRUE,((((($B276*$R$4)+'Calculs 3D'!$C$12-OffsetX)/Ecran)*'Calculs 3D'!$C$32)+(((($C276*$R$4)+'Calculs 3D'!$D$12-OffsetY)/Ecran)*'Calculs 3D'!$D$32)+(((($D276*$R$4)+'Calculs 3D'!$E$12-OffsetZ)/Ecran)*'Calculs 3D'!$E$32)),0)</f>
        <v>7.0315590360935987E-2</v>
      </c>
      <c r="T276" s="105">
        <f>IF(Body8Actif=TRUE,((((($B276*$T$4)+'Calculs 3D'!$C$13-OffsetX)/Ecran)*'Calculs 3D'!$C$31)+(((($C276*$T$4)+'Calculs 3D'!$D$13-OffsetY)/Ecran)*'Calculs 3D'!$D$31)+(((($D276*$T$4)+'Calculs 3D'!$E$13-OffsetZ)/Ecran)*'Calculs 3D'!$E$31)),0)</f>
        <v>0.16841723650439777</v>
      </c>
      <c r="U276" s="105">
        <f>IF(Body8Actif=TRUE,((((($B276*$T$4)+'Calculs 3D'!$C$13-OffsetX)/Ecran)*'Calculs 3D'!$C$32)+(((($C276*$T$4)+'Calculs 3D'!$D$13-OffsetY)/Ecran)*'Calculs 3D'!$D$32)+(((($D276*$T$4)+'Calculs 3D'!$E$13-OffsetZ)/Ecran)*'Calculs 3D'!$E$32)),0)</f>
        <v>-0.12769599064096313</v>
      </c>
      <c r="V276" s="105">
        <f>IF(Body9Actif=TRUE,((((($B276*$V$4)+'Calculs 3D'!$C$14-OffsetX)/Ecran)*'Calculs 3D'!$C$31)+(((($C276*$V$4)+'Calculs 3D'!$D$14-OffsetY)/Ecran)*'Calculs 3D'!$D$31)+(((($D276*$V$4)+'Calculs 3D'!$E$14-OffsetZ)/Ecran)*'Calculs 3D'!$E$31)),0)</f>
        <v>-0.17731698015988545</v>
      </c>
      <c r="W276" s="105">
        <f>IF(Body9Actif=TRUE,((((($B276*$V$4)+'Calculs 3D'!$C$14-OffsetX)/Ecran)*'Calculs 3D'!$C$32)+(((($C276*$V$4)+'Calculs 3D'!$D$14-OffsetY)/Ecran)*'Calculs 3D'!$D$32)+(((($D276*$V$4)+'Calculs 3D'!$E$14-OffsetZ)/Ecran)*'Calculs 3D'!$E$32)),0)</f>
        <v>0.29266212302263239</v>
      </c>
      <c r="X276" s="105">
        <f>IF(Body10Actif=TRUE,((((($B276*$X$4)+'Calculs 3D'!$C$15-OffsetX)/Ecran)*'Calculs 3D'!$C$31)+(((($C276*$X$4)+'Calculs 3D'!$D$15-OffsetY)/Ecran)*'Calculs 3D'!$D$31)+(((($D276*$X$4)+'Calculs 3D'!$E$15-OffsetZ)/Ecran)*'Calculs 3D'!$E$31)),0)</f>
        <v>-1.4926345137618022E-2</v>
      </c>
      <c r="Y276" s="105">
        <f>IF(Body10Actif=TRUE,((((($B276*$X$4)+'Calculs 3D'!$C$15-OffsetX)/Ecran)*'Calculs 3D'!$C$32)+(((($C276*$X$4)+'Calculs 3D'!$D$15-OffsetY)/Ecran)*'Calculs 3D'!$D$32)+(((($D276*$X$4)+'Calculs 3D'!$E$15-OffsetZ)/Ecran)*'Calculs 3D'!$E$32)),0)</f>
        <v>0.29856508887317035</v>
      </c>
    </row>
    <row r="277" spans="2:25" x14ac:dyDescent="0.3">
      <c r="B277" s="102">
        <v>0.4156269377774533</v>
      </c>
      <c r="C277" s="102">
        <v>-0.41562693777745341</v>
      </c>
      <c r="D277" s="102">
        <v>0.80901699437494745</v>
      </c>
      <c r="F277" s="105">
        <f>IF(Body1Actif=TRUE,((((($B277*$F$4)+'Calculs 3D'!$C$6-OffsetX)/Ecran)*'Calculs 3D'!$C$31)+(((($C277*$F$4)+'Calculs 3D'!$D$6-OffsetY)/Ecran)*'Calculs 3D'!$D$31)+(((($D277*$F$4)+'Calculs 3D'!$E$6-OffsetZ)/Ecran)*'Calculs 3D'!$E$31)),0)</f>
        <v>5.0926456035842747E-2</v>
      </c>
      <c r="G277" s="105">
        <f>IF(Body1Actif=TRUE,((((($B277*$F$4)+'Calculs 3D'!$C$6-OffsetX)/Ecran)*'Calculs 3D'!$C$32)+(((($C277*$F$4)+'Calculs 3D'!$D$6-OffsetY)/Ecran)*'Calculs 3D'!$D$32)+(((($D277*$F$4)+'Calculs 3D'!$E$6-OffsetZ)/Ecran)*'Calculs 3D'!$E$32)),0)</f>
        <v>0.26501403608318203</v>
      </c>
      <c r="H277" s="105">
        <f>IF(Body2Actif=TRUE,((((($B277*$H$4)+'Calculs 3D'!$C$7-OffsetX)/Ecran)*'Calculs 3D'!$C$31)+(((($C277*$H$4)+'Calculs 3D'!$D$7-OffsetY)/Ecran)*'Calculs 3D'!$D$31)+(((($D277*$H$4)+'Calculs 3D'!$E$7-OffsetZ)/Ecran)*'Calculs 3D'!$E$31)),0)</f>
        <v>2.6601841946992749E-2</v>
      </c>
      <c r="I277" s="105">
        <f>IF(Body2Actif=TRUE,((((($B277*$H$4)+'Calculs 3D'!$C$7-OffsetX)/Ecran)*'Calculs 3D'!$C$32)+(((($C277*$H$4)+'Calculs 3D'!$D$7-OffsetY)/Ecran)*'Calculs 3D'!$D$32)+(((($D277*$H$4)+'Calculs 3D'!$E$7-OffsetZ)/Ecran)*'Calculs 3D'!$E$32)),0)</f>
        <v>3.4806325733095569E-2</v>
      </c>
      <c r="J277" s="105">
        <f>IF(Body3Actif=TRUE,((((($B277*$J$4)+'Calculs 3D'!$C$8-OffsetX)/Ecran)*'Calculs 3D'!$C$31)+(((($C277*$J$4)+'Calculs 3D'!$D$8-OffsetY)/Ecran)*'Calculs 3D'!$D$31)+(((($D277*$J$4)+'Calculs 3D'!$E$8-OffsetZ)/Ecran)*'Calculs 3D'!$E$31)),0)</f>
        <v>0.21926162938024263</v>
      </c>
      <c r="K277" s="105">
        <f>IF(Body3Actif=TRUE,((((($B277*$J$4)+'Calculs 3D'!$C$8-OffsetX)/Ecran)*'Calculs 3D'!$C$32)+(((($C277*$J$4)+'Calculs 3D'!$D$8-OffsetY)/Ecran)*'Calculs 3D'!$D$32)+(((($D277*$J$4)+'Calculs 3D'!$E$8-OffsetZ)/Ecran)*'Calculs 3D'!$E$32)),0)</f>
        <v>-7.8873397063553771E-2</v>
      </c>
      <c r="L277" s="105">
        <f>IF(Body4Actif=TRUE,((((($B277*$L$4)+'Calculs 3D'!$C$9-OffsetX)/Ecran)*'Calculs 3D'!$C$31)+(((($C277*$L$4)+'Calculs 3D'!$D$9-OffsetY)/Ecran)*'Calculs 3D'!$D$31)+(((($D277*$L$4)+'Calculs 3D'!$E$9-OffsetZ)/Ecran)*'Calculs 3D'!$E$31)),0)</f>
        <v>-9.3743742625759352E-2</v>
      </c>
      <c r="M277" s="105">
        <f>IF(Body4Actif=TRUE,((((($B277*$L$4)+'Calculs 3D'!$C$9-OffsetX)/Ecran)*'Calculs 3D'!$C$32)+(((($C277*$L$4)+'Calculs 3D'!$D$9-OffsetY)/Ecran)*'Calculs 3D'!$D$32)+(((($D277*$L$4)+'Calculs 3D'!$E$9-OffsetZ)/Ecran)*'Calculs 3D'!$E$32)),0)</f>
        <v>-0.16951723769930271</v>
      </c>
      <c r="N277" s="105">
        <f>IF(Body5Actif=TRUE,((((($B277*$N$4)+'Calculs 3D'!$C$10-OffsetX)/Ecran)*'Calculs 3D'!$C$31)+(((($C277*$N$4)+'Calculs 3D'!$D$10-OffsetY)/Ecran)*'Calculs 3D'!$D$31)+(((($D277*$N$4)+'Calculs 3D'!$E$10-OffsetZ)/Ecran)*'Calculs 3D'!$E$31)),0)</f>
        <v>1.7487444685493343E-3</v>
      </c>
      <c r="O277" s="105">
        <f>IF(Body5Actif=TRUE,((((($B277*$N$4)+'Calculs 3D'!$C$10-OffsetX)/Ecran)*'Calculs 3D'!$C$32)+(((($C277*$N$4)+'Calculs 3D'!$D$10-OffsetY)/Ecran)*'Calculs 3D'!$D$32)+(((($D277*$N$4)+'Calculs 3D'!$E$10-OffsetZ)/Ecran)*'Calculs 3D'!$E$32)),0)</f>
        <v>-2.2359844208775679E-3</v>
      </c>
      <c r="P277" s="105">
        <f>IF(Body6Actif=TRUE,((((($B277*$P$4)+'Calculs 3D'!$C$11-OffsetX)/Ecran)*'Calculs 3D'!$C$31)+(((($C277*$P$4)+'Calculs 3D'!$D$11-OffsetY)/Ecran)*'Calculs 3D'!$D$31)+(((($D277*$P$4)+'Calculs 3D'!$E$11-OffsetZ)/Ecran)*'Calculs 3D'!$E$31)),0)</f>
        <v>0.1719708571161116</v>
      </c>
      <c r="Q277" s="105">
        <f>IF(Body6Actif=TRUE,((((($B277*$P$4)+'Calculs 3D'!$C$11-OffsetX)/Ecran)*'Calculs 3D'!$C$32)+(((($C277*$P$4)+'Calculs 3D'!$D$11-OffsetY)/Ecran)*'Calculs 3D'!$D$32)+(((($D277*$P$4)+'Calculs 3D'!$E$11-OffsetZ)/Ecran)*'Calculs 3D'!$E$32)),0)</f>
        <v>0.13703192755443505</v>
      </c>
      <c r="R277" s="105">
        <f>IF(Body7Actif=TRUE,((((($B277*$R$4)+'Calculs 3D'!$C$12-OffsetX)/Ecran)*'Calculs 3D'!$C$31)+(((($C277*$R$4)+'Calculs 3D'!$D$12-OffsetY)/Ecran)*'Calculs 3D'!$D$31)+(((($D277*$R$4)+'Calculs 3D'!$E$12-OffsetZ)/Ecran)*'Calculs 3D'!$E$31)),0)</f>
        <v>-0.27943872548960386</v>
      </c>
      <c r="S277" s="105">
        <f>IF(Body7Actif=TRUE,((((($B277*$R$4)+'Calculs 3D'!$C$12-OffsetX)/Ecran)*'Calculs 3D'!$C$32)+(((($C277*$R$4)+'Calculs 3D'!$D$12-OffsetY)/Ecran)*'Calculs 3D'!$D$32)+(((($D277*$R$4)+'Calculs 3D'!$E$12-OffsetZ)/Ecran)*'Calculs 3D'!$E$32)),0)</f>
        <v>6.6337612564691464E-2</v>
      </c>
      <c r="T277" s="105">
        <f>IF(Body8Actif=TRUE,((((($B277*$T$4)+'Calculs 3D'!$C$13-OffsetX)/Ecran)*'Calculs 3D'!$C$31)+(((($C277*$T$4)+'Calculs 3D'!$D$13-OffsetY)/Ecran)*'Calculs 3D'!$D$31)+(((($D277*$T$4)+'Calculs 3D'!$E$13-OffsetZ)/Ecran)*'Calculs 3D'!$E$31)),0)</f>
        <v>0.16863954033387257</v>
      </c>
      <c r="U277" s="105">
        <f>IF(Body8Actif=TRUE,((((($B277*$T$4)+'Calculs 3D'!$C$13-OffsetX)/Ecran)*'Calculs 3D'!$C$32)+(((($C277*$T$4)+'Calculs 3D'!$D$13-OffsetY)/Ecran)*'Calculs 3D'!$D$32)+(((($D277*$T$4)+'Calculs 3D'!$E$13-OffsetZ)/Ecran)*'Calculs 3D'!$E$32)),0)</f>
        <v>-0.12913069004216327</v>
      </c>
      <c r="V277" s="105">
        <f>IF(Body9Actif=TRUE,((((($B277*$V$4)+'Calculs 3D'!$C$14-OffsetX)/Ecran)*'Calculs 3D'!$C$31)+(((($C277*$V$4)+'Calculs 3D'!$D$14-OffsetY)/Ecran)*'Calculs 3D'!$D$31)+(((($D277*$V$4)+'Calculs 3D'!$E$14-OffsetZ)/Ecran)*'Calculs 3D'!$E$31)),0)</f>
        <v>-0.17700853005274614</v>
      </c>
      <c r="W277" s="105">
        <f>IF(Body9Actif=TRUE,((((($B277*$V$4)+'Calculs 3D'!$C$14-OffsetX)/Ecran)*'Calculs 3D'!$C$32)+(((($C277*$V$4)+'Calculs 3D'!$D$14-OffsetY)/Ecran)*'Calculs 3D'!$D$32)+(((($D277*$V$4)+'Calculs 3D'!$E$14-OffsetZ)/Ecran)*'Calculs 3D'!$E$32)),0)</f>
        <v>0.29067145473293876</v>
      </c>
      <c r="X277" s="105">
        <f>IF(Body10Actif=TRUE,((((($B277*$X$4)+'Calculs 3D'!$C$15-OffsetX)/Ecran)*'Calculs 3D'!$C$31)+(((($C277*$X$4)+'Calculs 3D'!$D$15-OffsetY)/Ecran)*'Calculs 3D'!$D$31)+(((($D277*$X$4)+'Calculs 3D'!$E$15-OffsetZ)/Ecran)*'Calculs 3D'!$E$31)),0)</f>
        <v>-1.4460753859913023E-2</v>
      </c>
      <c r="Y277" s="105">
        <f>IF(Body10Actif=TRUE,((((($B277*$X$4)+'Calculs 3D'!$C$15-OffsetX)/Ecran)*'Calculs 3D'!$C$32)+(((($C277*$X$4)+'Calculs 3D'!$D$15-OffsetY)/Ecran)*'Calculs 3D'!$D$32)+(((($D277*$X$4)+'Calculs 3D'!$E$15-OffsetZ)/Ecran)*'Calculs 3D'!$E$32)),0)</f>
        <v>0.29556026646905098</v>
      </c>
    </row>
    <row r="278" spans="2:25" x14ac:dyDescent="0.3">
      <c r="B278" s="102">
        <v>0.57206140281768414</v>
      </c>
      <c r="C278" s="102">
        <v>-0.57206140281768425</v>
      </c>
      <c r="D278" s="102">
        <v>0.58778525229247325</v>
      </c>
      <c r="F278" s="105">
        <f>IF(Body1Actif=TRUE,((((($B278*$F$4)+'Calculs 3D'!$C$6-OffsetX)/Ecran)*'Calculs 3D'!$C$31)+(((($C278*$F$4)+'Calculs 3D'!$D$6-OffsetY)/Ecran)*'Calculs 3D'!$D$31)+(((($D278*$F$4)+'Calculs 3D'!$E$6-OffsetZ)/Ecran)*'Calculs 3D'!$E$31)),0)</f>
        <v>5.1057166245766311E-2</v>
      </c>
      <c r="G278" s="105">
        <f>IF(Body1Actif=TRUE,((((($B278*$F$4)+'Calculs 3D'!$C$6-OffsetX)/Ecran)*'Calculs 3D'!$C$32)+(((($C278*$F$4)+'Calculs 3D'!$D$6-OffsetY)/Ecran)*'Calculs 3D'!$D$32)+(((($D278*$F$4)+'Calculs 3D'!$E$6-OffsetZ)/Ecran)*'Calculs 3D'!$E$32)),0)</f>
        <v>0.2638475186374884</v>
      </c>
      <c r="H278" s="105">
        <f>IF(Body2Actif=TRUE,((((($B278*$H$4)+'Calculs 3D'!$C$7-OffsetX)/Ecran)*'Calculs 3D'!$C$31)+(((($C278*$H$4)+'Calculs 3D'!$D$7-OffsetY)/Ecran)*'Calculs 3D'!$D$31)+(((($D278*$H$4)+'Calculs 3D'!$E$7-OffsetZ)/Ecran)*'Calculs 3D'!$E$31)),0)</f>
        <v>2.7111334194937258E-2</v>
      </c>
      <c r="I278" s="105">
        <f>IF(Body2Actif=TRUE,((((($B278*$H$4)+'Calculs 3D'!$C$7-OffsetX)/Ecran)*'Calculs 3D'!$C$32)+(((($C278*$H$4)+'Calculs 3D'!$D$7-OffsetY)/Ecran)*'Calculs 3D'!$D$32)+(((($D278*$H$4)+'Calculs 3D'!$E$7-OffsetZ)/Ecran)*'Calculs 3D'!$E$32)),0)</f>
        <v>3.0259384862750503E-2</v>
      </c>
      <c r="J278" s="105">
        <f>IF(Body3Actif=TRUE,((((($B278*$J$4)+'Calculs 3D'!$C$8-OffsetX)/Ecran)*'Calculs 3D'!$C$31)+(((($C278*$J$4)+'Calculs 3D'!$D$8-OffsetY)/Ecran)*'Calculs 3D'!$D$31)+(((($D278*$J$4)+'Calculs 3D'!$E$8-OffsetZ)/Ecran)*'Calculs 3D'!$E$31)),0)</f>
        <v>0.21948805905290314</v>
      </c>
      <c r="K278" s="105">
        <f>IF(Body3Actif=TRUE,((((($B278*$J$4)+'Calculs 3D'!$C$8-OffsetX)/Ecran)*'Calculs 3D'!$C$32)+(((($C278*$J$4)+'Calculs 3D'!$D$8-OffsetY)/Ecran)*'Calculs 3D'!$D$32)+(((($D278*$J$4)+'Calculs 3D'!$E$8-OffsetZ)/Ecran)*'Calculs 3D'!$E$32)),0)</f>
        <v>-8.089415859041256E-2</v>
      </c>
      <c r="L278" s="105">
        <f>IF(Body4Actif=TRUE,((((($B278*$L$4)+'Calculs 3D'!$C$9-OffsetX)/Ecran)*'Calculs 3D'!$C$31)+(((($C278*$L$4)+'Calculs 3D'!$D$9-OffsetY)/Ecran)*'Calculs 3D'!$D$31)+(((($D278*$L$4)+'Calculs 3D'!$E$9-OffsetZ)/Ecran)*'Calculs 3D'!$E$31)),0)</f>
        <v>-9.3449317799748702E-2</v>
      </c>
      <c r="M278" s="105">
        <f>IF(Body4Actif=TRUE,((((($B278*$L$4)+'Calculs 3D'!$C$9-OffsetX)/Ecran)*'Calculs 3D'!$C$32)+(((($C278*$L$4)+'Calculs 3D'!$D$9-OffsetY)/Ecran)*'Calculs 3D'!$D$32)+(((($D278*$L$4)+'Calculs 3D'!$E$9-OffsetZ)/Ecran)*'Calculs 3D'!$E$32)),0)</f>
        <v>-0.17214481894324316</v>
      </c>
      <c r="N278" s="105">
        <f>IF(Body5Actif=TRUE,((((($B278*$N$4)+'Calculs 3D'!$C$10-OffsetX)/Ecran)*'Calculs 3D'!$C$31)+(((($C278*$N$4)+'Calculs 3D'!$D$10-OffsetY)/Ecran)*'Calculs 3D'!$D$31)+(((($D278*$N$4)+'Calculs 3D'!$E$10-OffsetZ)/Ecran)*'Calculs 3D'!$E$31)),0)</f>
        <v>2.0848574364317222E-3</v>
      </c>
      <c r="O278" s="105">
        <f>IF(Body5Actif=TRUE,((((($B278*$N$4)+'Calculs 3D'!$C$10-OffsetX)/Ecran)*'Calculs 3D'!$C$32)+(((($C278*$N$4)+'Calculs 3D'!$D$10-OffsetY)/Ecran)*'Calculs 3D'!$D$32)+(((($D278*$N$4)+'Calculs 3D'!$E$10-OffsetZ)/Ecran)*'Calculs 3D'!$E$32)),0)</f>
        <v>-5.2356096298638004E-3</v>
      </c>
      <c r="P278" s="105">
        <f>IF(Body6Actif=TRUE,((((($B278*$P$4)+'Calculs 3D'!$C$11-OffsetX)/Ecran)*'Calculs 3D'!$C$31)+(((($C278*$P$4)+'Calculs 3D'!$D$11-OffsetY)/Ecran)*'Calculs 3D'!$D$31)+(((($D278*$P$4)+'Calculs 3D'!$E$11-OffsetZ)/Ecran)*'Calculs 3D'!$E$31)),0)</f>
        <v>0.1724579421874603</v>
      </c>
      <c r="Q278" s="105">
        <f>IF(Body6Actif=TRUE,((((($B278*$P$4)+'Calculs 3D'!$C$11-OffsetX)/Ecran)*'Calculs 3D'!$C$32)+(((($C278*$P$4)+'Calculs 3D'!$D$11-OffsetY)/Ecran)*'Calculs 3D'!$D$32)+(((($D278*$P$4)+'Calculs 3D'!$E$11-OffsetZ)/Ecran)*'Calculs 3D'!$E$32)),0)</f>
        <v>0.13268495853344295</v>
      </c>
      <c r="R278" s="105">
        <f>IF(Body7Actif=TRUE,((((($B278*$R$4)+'Calculs 3D'!$C$12-OffsetX)/Ecran)*'Calculs 3D'!$C$31)+(((($C278*$R$4)+'Calculs 3D'!$D$12-OffsetY)/Ecran)*'Calculs 3D'!$D$31)+(((($D278*$R$4)+'Calculs 3D'!$E$12-OffsetZ)/Ecran)*'Calculs 3D'!$E$31)),0)</f>
        <v>-0.27894956372859037</v>
      </c>
      <c r="S278" s="105">
        <f>IF(Body7Actif=TRUE,((((($B278*$R$4)+'Calculs 3D'!$C$12-OffsetX)/Ecran)*'Calculs 3D'!$C$32)+(((($C278*$R$4)+'Calculs 3D'!$D$12-OffsetY)/Ecran)*'Calculs 3D'!$D$32)+(((($D278*$R$4)+'Calculs 3D'!$E$12-OffsetZ)/Ecran)*'Calculs 3D'!$E$32)),0)</f>
        <v>6.1972110219296522E-2</v>
      </c>
      <c r="T278" s="105">
        <f>IF(Body8Actif=TRUE,((((($B278*$T$4)+'Calculs 3D'!$C$13-OffsetX)/Ecran)*'Calculs 3D'!$C$31)+(((($C278*$T$4)+'Calculs 3D'!$D$13-OffsetY)/Ecran)*'Calculs 3D'!$D$31)+(((($D278*$T$4)+'Calculs 3D'!$E$13-OffsetZ)/Ecran)*'Calculs 3D'!$E$31)),0)</f>
        <v>0.16881596165182933</v>
      </c>
      <c r="U278" s="105">
        <f>IF(Body8Actif=TRUE,((((($B278*$T$4)+'Calculs 3D'!$C$13-OffsetX)/Ecran)*'Calculs 3D'!$C$32)+(((($C278*$T$4)+'Calculs 3D'!$D$13-OffsetY)/Ecran)*'Calculs 3D'!$D$32)+(((($D278*$T$4)+'Calculs 3D'!$E$13-OffsetZ)/Ecran)*'Calculs 3D'!$E$32)),0)</f>
        <v>-0.13070515423519846</v>
      </c>
      <c r="V278" s="105">
        <f>IF(Body9Actif=TRUE,((((($B278*$V$4)+'Calculs 3D'!$C$14-OffsetX)/Ecran)*'Calculs 3D'!$C$31)+(((($C278*$V$4)+'Calculs 3D'!$D$14-OffsetY)/Ecran)*'Calculs 3D'!$D$31)+(((($D278*$V$4)+'Calculs 3D'!$E$14-OffsetZ)/Ecran)*'Calculs 3D'!$E$31)),0)</f>
        <v>-0.17676374266175074</v>
      </c>
      <c r="W278" s="105">
        <f>IF(Body9Actif=TRUE,((((($B278*$V$4)+'Calculs 3D'!$C$14-OffsetX)/Ecran)*'Calculs 3D'!$C$32)+(((($C278*$V$4)+'Calculs 3D'!$D$14-OffsetY)/Ecran)*'Calculs 3D'!$D$32)+(((($D278*$V$4)+'Calculs 3D'!$E$14-OffsetZ)/Ecran)*'Calculs 3D'!$E$32)),0)</f>
        <v>0.28848686056658496</v>
      </c>
      <c r="X278" s="105">
        <f>IF(Body10Actif=TRUE,((((($B278*$X$4)+'Calculs 3D'!$C$15-OffsetX)/Ecran)*'Calculs 3D'!$C$31)+(((($C278*$X$4)+'Calculs 3D'!$D$15-OffsetY)/Ecran)*'Calculs 3D'!$D$31)+(((($D278*$X$4)+'Calculs 3D'!$E$15-OffsetZ)/Ecran)*'Calculs 3D'!$E$31)),0)</f>
        <v>-1.4091258529868839E-2</v>
      </c>
      <c r="Y278" s="105">
        <f>IF(Body10Actif=TRUE,((((($B278*$X$4)+'Calculs 3D'!$C$15-OffsetX)/Ecran)*'Calculs 3D'!$C$32)+(((($C278*$X$4)+'Calculs 3D'!$D$15-OffsetY)/Ecran)*'Calculs 3D'!$D$32)+(((($D278*$X$4)+'Calculs 3D'!$E$15-OffsetZ)/Ecran)*'Calculs 3D'!$E$32)),0)</f>
        <v>0.29226272185604124</v>
      </c>
    </row>
    <row r="279" spans="2:25" x14ac:dyDescent="0.3">
      <c r="B279" s="102">
        <v>0.67249851196395727</v>
      </c>
      <c r="C279" s="102">
        <v>-0.67249851196395738</v>
      </c>
      <c r="D279" s="102">
        <v>0.30901699437494751</v>
      </c>
      <c r="F279" s="105">
        <f>IF(Body1Actif=TRUE,((((($B279*$F$4)+'Calculs 3D'!$C$6-OffsetX)/Ecran)*'Calculs 3D'!$C$31)+(((($C279*$F$4)+'Calculs 3D'!$D$6-OffsetY)/Ecran)*'Calculs 3D'!$D$31)+(((($D279*$F$4)+'Calculs 3D'!$E$6-OffsetZ)/Ecran)*'Calculs 3D'!$E$31)),0)</f>
        <v>5.1141087366455749E-2</v>
      </c>
      <c r="G279" s="105">
        <f>IF(Body1Actif=TRUE,((((($B279*$F$4)+'Calculs 3D'!$C$6-OffsetX)/Ecran)*'Calculs 3D'!$C$32)+(((($C279*$F$4)+'Calculs 3D'!$D$6-OffsetY)/Ecran)*'Calculs 3D'!$D$32)+(((($D279*$F$4)+'Calculs 3D'!$E$6-OffsetZ)/Ecran)*'Calculs 3D'!$E$32)),0)</f>
        <v>0.26269163658567413</v>
      </c>
      <c r="H279" s="105">
        <f>IF(Body2Actif=TRUE,((((($B279*$H$4)+'Calculs 3D'!$C$7-OffsetX)/Ecran)*'Calculs 3D'!$C$31)+(((($C279*$H$4)+'Calculs 3D'!$D$7-OffsetY)/Ecran)*'Calculs 3D'!$D$31)+(((($D279*$H$4)+'Calculs 3D'!$E$7-OffsetZ)/Ecran)*'Calculs 3D'!$E$31)),0)</f>
        <v>2.7438448354229605E-2</v>
      </c>
      <c r="I279" s="105">
        <f>IF(Body2Actif=TRUE,((((($B279*$H$4)+'Calculs 3D'!$C$7-OffsetX)/Ecran)*'Calculs 3D'!$C$32)+(((($C279*$H$4)+'Calculs 3D'!$D$7-OffsetY)/Ecran)*'Calculs 3D'!$D$32)+(((($D279*$H$4)+'Calculs 3D'!$E$7-OffsetZ)/Ecran)*'Calculs 3D'!$E$32)),0)</f>
        <v>2.5753899443655234E-2</v>
      </c>
      <c r="J279" s="105">
        <f>IF(Body3Actif=TRUE,((((($B279*$J$4)+'Calculs 3D'!$C$8-OffsetX)/Ecran)*'Calculs 3D'!$C$31)+(((($C279*$J$4)+'Calculs 3D'!$D$8-OffsetY)/Ecran)*'Calculs 3D'!$D$31)+(((($D279*$J$4)+'Calculs 3D'!$E$8-OffsetZ)/Ecran)*'Calculs 3D'!$E$31)),0)</f>
        <v>0.21963343585168671</v>
      </c>
      <c r="K279" s="105">
        <f>IF(Body3Actif=TRUE,((((($B279*$J$4)+'Calculs 3D'!$C$8-OffsetX)/Ecran)*'Calculs 3D'!$C$32)+(((($C279*$J$4)+'Calculs 3D'!$D$8-OffsetY)/Ecran)*'Calculs 3D'!$D$32)+(((($D279*$J$4)+'Calculs 3D'!$E$8-OffsetZ)/Ecran)*'Calculs 3D'!$E$32)),0)</f>
        <v>-8.2896496393859764E-2</v>
      </c>
      <c r="L279" s="105">
        <f>IF(Body4Actif=TRUE,((((($B279*$L$4)+'Calculs 3D'!$C$9-OffsetX)/Ecran)*'Calculs 3D'!$C$31)+(((($C279*$L$4)+'Calculs 3D'!$D$9-OffsetY)/Ecran)*'Calculs 3D'!$D$31)+(((($D279*$L$4)+'Calculs 3D'!$E$9-OffsetZ)/Ecran)*'Calculs 3D'!$E$31)),0)</f>
        <v>-9.3260285425215389E-2</v>
      </c>
      <c r="M279" s="105">
        <f>IF(Body4Actif=TRUE,((((($B279*$L$4)+'Calculs 3D'!$C$9-OffsetX)/Ecran)*'Calculs 3D'!$C$32)+(((($C279*$L$4)+'Calculs 3D'!$D$9-OffsetY)/Ecran)*'Calculs 3D'!$D$32)+(((($D279*$L$4)+'Calculs 3D'!$E$9-OffsetZ)/Ecran)*'Calculs 3D'!$E$32)),0)</f>
        <v>-0.17474844395611105</v>
      </c>
      <c r="N279" s="105">
        <f>IF(Body5Actif=TRUE,((((($B279*$N$4)+'Calculs 3D'!$C$10-OffsetX)/Ecran)*'Calculs 3D'!$C$31)+(((($C279*$N$4)+'Calculs 3D'!$D$10-OffsetY)/Ecran)*'Calculs 3D'!$D$31)+(((($D279*$N$4)+'Calculs 3D'!$E$10-OffsetZ)/Ecran)*'Calculs 3D'!$E$31)),0)</f>
        <v>2.3006552456421121E-3</v>
      </c>
      <c r="O279" s="105">
        <f>IF(Body5Actif=TRUE,((((($B279*$N$4)+'Calculs 3D'!$C$10-OffsetX)/Ecran)*'Calculs 3D'!$C$32)+(((($C279*$N$4)+'Calculs 3D'!$D$10-OffsetY)/Ecran)*'Calculs 3D'!$D$32)+(((($D279*$N$4)+'Calculs 3D'!$E$10-OffsetZ)/Ecran)*'Calculs 3D'!$E$32)),0)</f>
        <v>-8.2078866018342727E-3</v>
      </c>
      <c r="P279" s="105">
        <f>IF(Body6Actif=TRUE,((((($B279*$P$4)+'Calculs 3D'!$C$11-OffsetX)/Ecran)*'Calculs 3D'!$C$31)+(((($C279*$P$4)+'Calculs 3D'!$D$11-OffsetY)/Ecran)*'Calculs 3D'!$D$31)+(((($D279*$P$4)+'Calculs 3D'!$E$11-OffsetZ)/Ecran)*'Calculs 3D'!$E$31)),0)</f>
        <v>0.17277067005380348</v>
      </c>
      <c r="Q279" s="105">
        <f>IF(Body6Actif=TRUE,((((($B279*$P$4)+'Calculs 3D'!$C$11-OffsetX)/Ecran)*'Calculs 3D'!$C$32)+(((($C279*$P$4)+'Calculs 3D'!$D$11-OffsetY)/Ecran)*'Calculs 3D'!$D$32)+(((($D279*$P$4)+'Calculs 3D'!$E$11-OffsetZ)/Ecran)*'Calculs 3D'!$E$32)),0)</f>
        <v>0.1283776217767518</v>
      </c>
      <c r="R279" s="105">
        <f>IF(Body7Actif=TRUE,((((($B279*$R$4)+'Calculs 3D'!$C$12-OffsetX)/Ecran)*'Calculs 3D'!$C$31)+(((($C279*$R$4)+'Calculs 3D'!$D$12-OffsetY)/Ecran)*'Calculs 3D'!$D$31)+(((($D279*$R$4)+'Calculs 3D'!$E$12-OffsetZ)/Ecran)*'Calculs 3D'!$E$31)),0)</f>
        <v>-0.27863550254540759</v>
      </c>
      <c r="S279" s="105">
        <f>IF(Body7Actif=TRUE,((((($B279*$R$4)+'Calculs 3D'!$C$12-OffsetX)/Ecran)*'Calculs 3D'!$C$32)+(((($C279*$R$4)+'Calculs 3D'!$D$12-OffsetY)/Ecran)*'Calculs 3D'!$D$32)+(((($D279*$R$4)+'Calculs 3D'!$E$12-OffsetZ)/Ecran)*'Calculs 3D'!$E$32)),0)</f>
        <v>5.7646409110561819E-2</v>
      </c>
      <c r="T279" s="105">
        <f>IF(Body8Actif=TRUE,((((($B279*$T$4)+'Calculs 3D'!$C$13-OffsetX)/Ecran)*'Calculs 3D'!$C$31)+(((($C279*$T$4)+'Calculs 3D'!$D$13-OffsetY)/Ecran)*'Calculs 3D'!$D$31)+(((($D279*$T$4)+'Calculs 3D'!$E$13-OffsetZ)/Ecran)*'Calculs 3D'!$E$31)),0)</f>
        <v>0.16892923111046679</v>
      </c>
      <c r="U279" s="105">
        <f>IF(Body8Actif=TRUE,((((($B279*$T$4)+'Calculs 3D'!$C$13-OffsetX)/Ecran)*'Calculs 3D'!$C$32)+(((($C279*$T$4)+'Calculs 3D'!$D$13-OffsetY)/Ecran)*'Calculs 3D'!$D$32)+(((($D279*$T$4)+'Calculs 3D'!$E$13-OffsetZ)/Ecran)*'Calculs 3D'!$E$32)),0)</f>
        <v>-0.13226526369491731</v>
      </c>
      <c r="V279" s="105">
        <f>IF(Body9Actif=TRUE,((((($B279*$V$4)+'Calculs 3D'!$C$14-OffsetX)/Ecran)*'Calculs 3D'!$C$31)+(((($C279*$V$4)+'Calculs 3D'!$D$14-OffsetY)/Ecran)*'Calculs 3D'!$D$31)+(((($D279*$V$4)+'Calculs 3D'!$E$14-OffsetZ)/Ecran)*'Calculs 3D'!$E$31)),0)</f>
        <v>-0.17660657948226396</v>
      </c>
      <c r="W279" s="105">
        <f>IF(Body9Actif=TRUE,((((($B279*$V$4)+'Calculs 3D'!$C$14-OffsetX)/Ecran)*'Calculs 3D'!$C$32)+(((($C279*$V$4)+'Calculs 3D'!$D$14-OffsetY)/Ecran)*'Calculs 3D'!$D$32)+(((($D279*$V$4)+'Calculs 3D'!$E$14-OffsetZ)/Ecran)*'Calculs 3D'!$E$32)),0)</f>
        <v>0.28632218382153624</v>
      </c>
      <c r="X279" s="105">
        <f>IF(Body10Actif=TRUE,((((($B279*$X$4)+'Calculs 3D'!$C$15-OffsetX)/Ecran)*'Calculs 3D'!$C$31)+(((($C279*$X$4)+'Calculs 3D'!$D$15-OffsetY)/Ecran)*'Calculs 3D'!$D$31)+(((($D279*$X$4)+'Calculs 3D'!$E$15-OffsetZ)/Ecran)*'Calculs 3D'!$E$31)),0)</f>
        <v>-1.3854027924815507E-2</v>
      </c>
      <c r="Y279" s="105">
        <f>IF(Body10Actif=TRUE,((((($B279*$X$4)+'Calculs 3D'!$C$15-OffsetX)/Ecran)*'Calculs 3D'!$C$32)+(((($C279*$X$4)+'Calculs 3D'!$D$15-OffsetY)/Ecran)*'Calculs 3D'!$D$32)+(((($D279*$X$4)+'Calculs 3D'!$E$15-OffsetZ)/Ecran)*'Calculs 3D'!$E$32)),0)</f>
        <v>0.28899524167620683</v>
      </c>
    </row>
    <row r="280" spans="2:25" x14ac:dyDescent="0.3">
      <c r="B280" s="102">
        <v>0.70710678118654746</v>
      </c>
      <c r="C280" s="102">
        <v>-0.70710678118654757</v>
      </c>
      <c r="D280" s="102">
        <v>1.22514845490862E-16</v>
      </c>
      <c r="F280" s="105">
        <f>IF(Body1Actif=TRUE,((((($B280*$F$4)+'Calculs 3D'!$C$6-OffsetX)/Ecran)*'Calculs 3D'!$C$31)+(((($C280*$F$4)+'Calculs 3D'!$D$6-OffsetY)/Ecran)*'Calculs 3D'!$D$31)+(((($D280*$F$4)+'Calculs 3D'!$E$6-OffsetZ)/Ecran)*'Calculs 3D'!$E$31)),0)</f>
        <v>5.1170004613905119E-2</v>
      </c>
      <c r="G280" s="105">
        <f>IF(Body1Actif=TRUE,((((($B280*$F$4)+'Calculs 3D'!$C$6-OffsetX)/Ecran)*'Calculs 3D'!$C$32)+(((($C280*$F$4)+'Calculs 3D'!$D$6-OffsetY)/Ecran)*'Calculs 3D'!$D$32)+(((($D280*$F$4)+'Calculs 3D'!$E$6-OffsetZ)/Ecran)*'Calculs 3D'!$E$32)),0)</f>
        <v>0.26165953571647449</v>
      </c>
      <c r="H280" s="105">
        <f>IF(Body2Actif=TRUE,((((($B280*$H$4)+'Calculs 3D'!$C$7-OffsetX)/Ecran)*'Calculs 3D'!$C$31)+(((($C280*$H$4)+'Calculs 3D'!$D$7-OffsetY)/Ecran)*'Calculs 3D'!$D$31)+(((($D280*$H$4)+'Calculs 3D'!$E$7-OffsetZ)/Ecran)*'Calculs 3D'!$E$31)),0)</f>
        <v>2.7551164211819877E-2</v>
      </c>
      <c r="I280" s="105">
        <f>IF(Body2Actif=TRUE,((((($B280*$H$4)+'Calculs 3D'!$C$7-OffsetX)/Ecran)*'Calculs 3D'!$C$32)+(((($C280*$H$4)+'Calculs 3D'!$D$7-OffsetY)/Ecran)*'Calculs 3D'!$D$32)+(((($D280*$H$4)+'Calculs 3D'!$E$7-OffsetZ)/Ecran)*'Calculs 3D'!$E$32)),0)</f>
        <v>2.1730897780193624E-2</v>
      </c>
      <c r="J280" s="105">
        <f>IF(Body3Actif=TRUE,((((($B280*$J$4)+'Calculs 3D'!$C$8-OffsetX)/Ecran)*'Calculs 3D'!$C$31)+(((($C280*$J$4)+'Calculs 3D'!$D$8-OffsetY)/Ecran)*'Calculs 3D'!$D$31)+(((($D280*$J$4)+'Calculs 3D'!$E$8-OffsetZ)/Ecran)*'Calculs 3D'!$E$31)),0)</f>
        <v>0.21968352928262858</v>
      </c>
      <c r="K280" s="105">
        <f>IF(Body3Actif=TRUE,((((($B280*$J$4)+'Calculs 3D'!$C$8-OffsetX)/Ecran)*'Calculs 3D'!$C$32)+(((($C280*$J$4)+'Calculs 3D'!$D$8-OffsetY)/Ecran)*'Calculs 3D'!$D$32)+(((($D280*$J$4)+'Calculs 3D'!$E$8-OffsetZ)/Ecran)*'Calculs 3D'!$E$32)),0)</f>
        <v>-8.468440769858615E-2</v>
      </c>
      <c r="L280" s="105">
        <f>IF(Body4Actif=TRUE,((((($B280*$L$4)+'Calculs 3D'!$C$9-OffsetX)/Ecran)*'Calculs 3D'!$C$31)+(((($C280*$L$4)+'Calculs 3D'!$D$9-OffsetY)/Ecran)*'Calculs 3D'!$D$31)+(((($D280*$L$4)+'Calculs 3D'!$E$9-OffsetZ)/Ecran)*'Calculs 3D'!$E$31)),0)</f>
        <v>-9.3195149308044734E-2</v>
      </c>
      <c r="M280" s="105">
        <f>IF(Body4Actif=TRUE,((((($B280*$L$4)+'Calculs 3D'!$C$9-OffsetX)/Ecran)*'Calculs 3D'!$C$32)+(((($C280*$L$4)+'Calculs 3D'!$D$9-OffsetY)/Ecran)*'Calculs 3D'!$D$32)+(((($D280*$L$4)+'Calculs 3D'!$E$9-OffsetZ)/Ecran)*'Calculs 3D'!$E$32)),0)</f>
        <v>-0.17707325178112479</v>
      </c>
      <c r="N280" s="105">
        <f>IF(Body5Actif=TRUE,((((($B280*$N$4)+'Calculs 3D'!$C$10-OffsetX)/Ecran)*'Calculs 3D'!$C$31)+(((($C280*$N$4)+'Calculs 3D'!$D$10-OffsetY)/Ecran)*'Calculs 3D'!$D$31)+(((($D280*$N$4)+'Calculs 3D'!$E$10-OffsetZ)/Ecran)*'Calculs 3D'!$E$31)),0)</f>
        <v>2.3750141030632441E-3</v>
      </c>
      <c r="O280" s="105">
        <f>IF(Body5Actif=TRUE,((((($B280*$N$4)+'Calculs 3D'!$C$10-OffsetX)/Ecran)*'Calculs 3D'!$C$32)+(((($C280*$N$4)+'Calculs 3D'!$D$10-OffsetY)/Ecran)*'Calculs 3D'!$D$32)+(((($D280*$N$4)+'Calculs 3D'!$E$10-OffsetZ)/Ecran)*'Calculs 3D'!$E$32)),0)</f>
        <v>-1.0861868157701127E-2</v>
      </c>
      <c r="P280" s="105">
        <f>IF(Body6Actif=TRUE,((((($B280*$P$4)+'Calculs 3D'!$C$11-OffsetX)/Ecran)*'Calculs 3D'!$C$31)+(((($C280*$P$4)+'Calculs 3D'!$D$11-OffsetY)/Ecran)*'Calculs 3D'!$D$31)+(((($D280*$P$4)+'Calculs 3D'!$E$11-OffsetZ)/Ecran)*'Calculs 3D'!$E$31)),0)</f>
        <v>0.17287842873268033</v>
      </c>
      <c r="Q280" s="105">
        <f>IF(Body6Actif=TRUE,((((($B280*$P$4)+'Calculs 3D'!$C$11-OffsetX)/Ecran)*'Calculs 3D'!$C$32)+(((($C280*$P$4)+'Calculs 3D'!$D$11-OffsetY)/Ecran)*'Calculs 3D'!$D$32)+(((($D280*$P$4)+'Calculs 3D'!$E$11-OffsetZ)/Ecran)*'Calculs 3D'!$E$32)),0)</f>
        <v>0.12453154941708636</v>
      </c>
      <c r="R280" s="105">
        <f>IF(Body7Actif=TRUE,((((($B280*$R$4)+'Calculs 3D'!$C$12-OffsetX)/Ecran)*'Calculs 3D'!$C$31)+(((($C280*$R$4)+'Calculs 3D'!$D$12-OffsetY)/Ecran)*'Calculs 3D'!$D$31)+(((($D280*$R$4)+'Calculs 3D'!$E$12-OffsetZ)/Ecran)*'Calculs 3D'!$E$31)),0)</f>
        <v>-0.27852728443685848</v>
      </c>
      <c r="S280" s="105">
        <f>IF(Body7Actif=TRUE,((((($B280*$R$4)+'Calculs 3D'!$C$12-OffsetX)/Ecran)*'Calculs 3D'!$C$32)+(((($C280*$R$4)+'Calculs 3D'!$D$12-OffsetY)/Ecran)*'Calculs 3D'!$D$32)+(((($D280*$R$4)+'Calculs 3D'!$E$12-OffsetZ)/Ecran)*'Calculs 3D'!$E$32)),0)</f>
        <v>5.3783939001942047E-2</v>
      </c>
      <c r="T280" s="105">
        <f>IF(Body8Actif=TRUE,((((($B280*$T$4)+'Calculs 3D'!$C$13-OffsetX)/Ecran)*'Calculs 3D'!$C$31)+(((($C280*$T$4)+'Calculs 3D'!$D$13-OffsetY)/Ecran)*'Calculs 3D'!$D$31)+(((($D280*$T$4)+'Calculs 3D'!$E$13-OffsetZ)/Ecran)*'Calculs 3D'!$E$31)),0)</f>
        <v>0.16896826110597885</v>
      </c>
      <c r="U280" s="105">
        <f>IF(Body8Actif=TRUE,((((($B280*$T$4)+'Calculs 3D'!$C$13-OffsetX)/Ecran)*'Calculs 3D'!$C$32)+(((($C280*$T$4)+'Calculs 3D'!$D$13-OffsetY)/Ecran)*'Calculs 3D'!$D$32)+(((($D280*$T$4)+'Calculs 3D'!$E$13-OffsetZ)/Ecran)*'Calculs 3D'!$E$32)),0)</f>
        <v>-0.13365830403748077</v>
      </c>
      <c r="V280" s="105">
        <f>IF(Body9Actif=TRUE,((((($B280*$V$4)+'Calculs 3D'!$C$14-OffsetX)/Ecran)*'Calculs 3D'!$C$31)+(((($C280*$V$4)+'Calculs 3D'!$D$14-OffsetY)/Ecran)*'Calculs 3D'!$D$31)+(((($D280*$V$4)+'Calculs 3D'!$E$14-OffsetZ)/Ecran)*'Calculs 3D'!$E$31)),0)</f>
        <v>-0.17655242474131425</v>
      </c>
      <c r="W280" s="105">
        <f>IF(Body9Actif=TRUE,((((($B280*$V$4)+'Calculs 3D'!$C$14-OffsetX)/Ecran)*'Calculs 3D'!$C$32)+(((($C280*$V$4)+'Calculs 3D'!$D$14-OffsetY)/Ecran)*'Calculs 3D'!$D$32)+(((($D280*$V$4)+'Calculs 3D'!$E$14-OffsetZ)/Ecran)*'Calculs 3D'!$E$32)),0)</f>
        <v>0.28438931813978768</v>
      </c>
      <c r="X280" s="105">
        <f>IF(Body10Actif=TRUE,((((($B280*$X$4)+'Calculs 3D'!$C$15-OffsetX)/Ecran)*'Calculs 3D'!$C$31)+(((($C280*$X$4)+'Calculs 3D'!$D$15-OffsetY)/Ecran)*'Calculs 3D'!$D$31)+(((($D280*$X$4)+'Calculs 3D'!$E$15-OffsetZ)/Ecran)*'Calculs 3D'!$E$31)),0)</f>
        <v>-1.3772283829258491E-2</v>
      </c>
      <c r="Y280" s="105">
        <f>IF(Body10Actif=TRUE,((((($B280*$X$4)+'Calculs 3D'!$C$15-OffsetX)/Ecran)*'Calculs 3D'!$C$32)+(((($C280*$X$4)+'Calculs 3D'!$D$15-OffsetY)/Ecran)*'Calculs 3D'!$D$32)+(((($D280*$X$4)+'Calculs 3D'!$E$15-OffsetZ)/Ecran)*'Calculs 3D'!$E$32)),0)</f>
        <v>0.28607766965542308</v>
      </c>
    </row>
    <row r="281" spans="2:25" x14ac:dyDescent="0.3">
      <c r="B281" s="102">
        <v>0.67249851196395727</v>
      </c>
      <c r="C281" s="102">
        <v>-0.67249851196395738</v>
      </c>
      <c r="D281" s="102">
        <v>-0.30901699437494773</v>
      </c>
      <c r="F281" s="105">
        <f>IF(Body1Actif=TRUE,((((($B281*$F$4)+'Calculs 3D'!$C$6-OffsetX)/Ecran)*'Calculs 3D'!$C$31)+(((($C281*$F$4)+'Calculs 3D'!$D$6-OffsetY)/Ecran)*'Calculs 3D'!$D$31)+(((($D281*$F$4)+'Calculs 3D'!$E$6-OffsetZ)/Ecran)*'Calculs 3D'!$E$31)),0)</f>
        <v>5.1141087366455749E-2</v>
      </c>
      <c r="G281" s="105">
        <f>IF(Body1Actif=TRUE,((((($B281*$F$4)+'Calculs 3D'!$C$6-OffsetX)/Ecran)*'Calculs 3D'!$C$32)+(((($C281*$F$4)+'Calculs 3D'!$D$6-OffsetY)/Ecran)*'Calculs 3D'!$D$32)+(((($D281*$F$4)+'Calculs 3D'!$E$6-OffsetZ)/Ecran)*'Calculs 3D'!$E$32)),0)</f>
        <v>0.26085224525403644</v>
      </c>
      <c r="H281" s="105">
        <f>IF(Body2Actif=TRUE,((((($B281*$H$4)+'Calculs 3D'!$C$7-OffsetX)/Ecran)*'Calculs 3D'!$C$31)+(((($C281*$H$4)+'Calculs 3D'!$D$7-OffsetY)/Ecran)*'Calculs 3D'!$D$31)+(((($D281*$H$4)+'Calculs 3D'!$E$7-OffsetZ)/Ecran)*'Calculs 3D'!$E$31)),0)</f>
        <v>2.7438448354229605E-2</v>
      </c>
      <c r="I281" s="105">
        <f>IF(Body2Actif=TRUE,((((($B281*$H$4)+'Calculs 3D'!$C$7-OffsetX)/Ecran)*'Calculs 3D'!$C$32)+(((($C281*$H$4)+'Calculs 3D'!$D$7-OffsetY)/Ecran)*'Calculs 3D'!$D$32)+(((($D281*$H$4)+'Calculs 3D'!$E$7-OffsetZ)/Ecran)*'Calculs 3D'!$E$32)),0)</f>
        <v>1.858417930508606E-2</v>
      </c>
      <c r="J281" s="105">
        <f>IF(Body3Actif=TRUE,((((($B281*$J$4)+'Calculs 3D'!$C$8-OffsetX)/Ecran)*'Calculs 3D'!$C$31)+(((($C281*$J$4)+'Calculs 3D'!$D$8-OffsetY)/Ecran)*'Calculs 3D'!$D$31)+(((($D281*$J$4)+'Calculs 3D'!$E$8-OffsetZ)/Ecran)*'Calculs 3D'!$E$31)),0)</f>
        <v>0.21963343585168671</v>
      </c>
      <c r="K281" s="105">
        <f>IF(Body3Actif=TRUE,((((($B281*$J$4)+'Calculs 3D'!$C$8-OffsetX)/Ecran)*'Calculs 3D'!$C$32)+(((($C281*$J$4)+'Calculs 3D'!$D$8-OffsetY)/Ecran)*'Calculs 3D'!$D$32)+(((($D281*$J$4)+'Calculs 3D'!$E$8-OffsetZ)/Ecran)*'Calculs 3D'!$E$32)),0)</f>
        <v>-8.6082879288974457E-2</v>
      </c>
      <c r="L281" s="105">
        <f>IF(Body4Actif=TRUE,((((($B281*$L$4)+'Calculs 3D'!$C$9-OffsetX)/Ecran)*'Calculs 3D'!$C$31)+(((($C281*$L$4)+'Calculs 3D'!$D$9-OffsetY)/Ecran)*'Calculs 3D'!$D$31)+(((($D281*$L$4)+'Calculs 3D'!$E$9-OffsetZ)/Ecran)*'Calculs 3D'!$E$31)),0)</f>
        <v>-9.3260285425215389E-2</v>
      </c>
      <c r="M281" s="105">
        <f>IF(Body4Actif=TRUE,((((($B281*$L$4)+'Calculs 3D'!$C$9-OffsetX)/Ecran)*'Calculs 3D'!$C$32)+(((($C281*$L$4)+'Calculs 3D'!$D$9-OffsetY)/Ecran)*'Calculs 3D'!$D$32)+(((($D281*$L$4)+'Calculs 3D'!$E$9-OffsetZ)/Ecran)*'Calculs 3D'!$E$32)),0)</f>
        <v>-0.17889167403048342</v>
      </c>
      <c r="N281" s="105">
        <f>IF(Body5Actif=TRUE,((((($B281*$N$4)+'Calculs 3D'!$C$10-OffsetX)/Ecran)*'Calculs 3D'!$C$31)+(((($C281*$N$4)+'Calculs 3D'!$D$10-OffsetY)/Ecran)*'Calculs 3D'!$D$31)+(((($D281*$N$4)+'Calculs 3D'!$E$10-OffsetZ)/Ecran)*'Calculs 3D'!$E$31)),0)</f>
        <v>2.3006552456421121E-3</v>
      </c>
      <c r="O281" s="105">
        <f>IF(Body5Actif=TRUE,((((($B281*$N$4)+'Calculs 3D'!$C$10-OffsetX)/Ecran)*'Calculs 3D'!$C$32)+(((($C281*$N$4)+'Calculs 3D'!$D$10-OffsetY)/Ecran)*'Calculs 3D'!$D$32)+(((($D281*$N$4)+'Calculs 3D'!$E$10-OffsetZ)/Ecran)*'Calculs 3D'!$E$32)),0)</f>
        <v>-1.2937764091399304E-2</v>
      </c>
      <c r="P281" s="105">
        <f>IF(Body6Actif=TRUE,((((($B281*$P$4)+'Calculs 3D'!$C$11-OffsetX)/Ecran)*'Calculs 3D'!$C$31)+(((($C281*$P$4)+'Calculs 3D'!$D$11-OffsetY)/Ecran)*'Calculs 3D'!$D$31)+(((($D281*$P$4)+'Calculs 3D'!$E$11-OffsetZ)/Ecran)*'Calculs 3D'!$E$31)),0)</f>
        <v>0.17277067005380348</v>
      </c>
      <c r="Q281" s="105">
        <f>IF(Body6Actif=TRUE,((((($B281*$P$4)+'Calculs 3D'!$C$11-OffsetX)/Ecran)*'Calculs 3D'!$C$32)+(((($C281*$P$4)+'Calculs 3D'!$D$11-OffsetY)/Ecran)*'Calculs 3D'!$D$32)+(((($D281*$P$4)+'Calculs 3D'!$E$11-OffsetZ)/Ecran)*'Calculs 3D'!$E$32)),0)</f>
        <v>0.12152322181417252</v>
      </c>
      <c r="R281" s="105">
        <f>IF(Body7Actif=TRUE,((((($B281*$R$4)+'Calculs 3D'!$C$12-OffsetX)/Ecran)*'Calculs 3D'!$C$31)+(((($C281*$R$4)+'Calculs 3D'!$D$12-OffsetY)/Ecran)*'Calculs 3D'!$D$31)+(((($D281*$R$4)+'Calculs 3D'!$E$12-OffsetZ)/Ecran)*'Calculs 3D'!$E$31)),0)</f>
        <v>-0.27863550254540759</v>
      </c>
      <c r="S281" s="105">
        <f>IF(Body7Actif=TRUE,((((($B281*$R$4)+'Calculs 3D'!$C$12-OffsetX)/Ecran)*'Calculs 3D'!$C$32)+(((($C281*$R$4)+'Calculs 3D'!$D$12-OffsetY)/Ecran)*'Calculs 3D'!$D$32)+(((($D281*$R$4)+'Calculs 3D'!$E$12-OffsetZ)/Ecran)*'Calculs 3D'!$E$32)),0)</f>
        <v>5.076278537908066E-2</v>
      </c>
      <c r="T281" s="105">
        <f>IF(Body8Actif=TRUE,((((($B281*$T$4)+'Calculs 3D'!$C$13-OffsetX)/Ecran)*'Calculs 3D'!$C$31)+(((($C281*$T$4)+'Calculs 3D'!$D$13-OffsetY)/Ecran)*'Calculs 3D'!$D$31)+(((($D281*$T$4)+'Calculs 3D'!$E$13-OffsetZ)/Ecran)*'Calculs 3D'!$E$31)),0)</f>
        <v>0.16892923111046679</v>
      </c>
      <c r="U281" s="105">
        <f>IF(Body8Actif=TRUE,((((($B281*$T$4)+'Calculs 3D'!$C$13-OffsetX)/Ecran)*'Calculs 3D'!$C$32)+(((($C281*$T$4)+'Calculs 3D'!$D$13-OffsetY)/Ecran)*'Calculs 3D'!$D$32)+(((($D281*$T$4)+'Calculs 3D'!$E$13-OffsetZ)/Ecran)*'Calculs 3D'!$E$32)),0)</f>
        <v>-0.13474791476827591</v>
      </c>
      <c r="V281" s="105">
        <f>IF(Body9Actif=TRUE,((((($B281*$V$4)+'Calculs 3D'!$C$14-OffsetX)/Ecran)*'Calculs 3D'!$C$31)+(((($C281*$V$4)+'Calculs 3D'!$D$14-OffsetY)/Ecran)*'Calculs 3D'!$D$31)+(((($D281*$V$4)+'Calculs 3D'!$E$14-OffsetZ)/Ecran)*'Calculs 3D'!$E$31)),0)</f>
        <v>-0.17660657948226396</v>
      </c>
      <c r="W281" s="105">
        <f>IF(Body9Actif=TRUE,((((($B281*$V$4)+'Calculs 3D'!$C$14-OffsetX)/Ecran)*'Calculs 3D'!$C$32)+(((($C281*$V$4)+'Calculs 3D'!$D$14-OffsetY)/Ecran)*'Calculs 3D'!$D$32)+(((($D281*$V$4)+'Calculs 3D'!$E$14-OffsetZ)/Ecran)*'Calculs 3D'!$E$32)),0)</f>
        <v>0.28287746588133594</v>
      </c>
      <c r="X281" s="105">
        <f>IF(Body10Actif=TRUE,((((($B281*$X$4)+'Calculs 3D'!$C$15-OffsetX)/Ecran)*'Calculs 3D'!$C$31)+(((($C281*$X$4)+'Calculs 3D'!$D$15-OffsetY)/Ecran)*'Calculs 3D'!$D$31)+(((($D281*$X$4)+'Calculs 3D'!$E$15-OffsetZ)/Ecran)*'Calculs 3D'!$E$31)),0)</f>
        <v>-1.3854027924815507E-2</v>
      </c>
      <c r="Y281" s="105">
        <f>IF(Body10Actif=TRUE,((((($B281*$X$4)+'Calculs 3D'!$C$15-OffsetX)/Ecran)*'Calculs 3D'!$C$32)+(((($C281*$X$4)+'Calculs 3D'!$D$15-OffsetY)/Ecran)*'Calculs 3D'!$D$32)+(((($D281*$X$4)+'Calculs 3D'!$E$15-OffsetZ)/Ecran)*'Calculs 3D'!$E$32)),0)</f>
        <v>0.2837955980710038</v>
      </c>
    </row>
    <row r="282" spans="2:25" x14ac:dyDescent="0.3">
      <c r="B282" s="102">
        <v>0.57206140281768436</v>
      </c>
      <c r="C282" s="102">
        <v>-0.57206140281768447</v>
      </c>
      <c r="D282" s="102">
        <v>-0.58778525229247303</v>
      </c>
      <c r="F282" s="105">
        <f>IF(Body1Actif=TRUE,((((($B282*$F$4)+'Calculs 3D'!$C$6-OffsetX)/Ecran)*'Calculs 3D'!$C$31)+(((($C282*$F$4)+'Calculs 3D'!$D$6-OffsetY)/Ecran)*'Calculs 3D'!$D$31)+(((($D282*$F$4)+'Calculs 3D'!$E$6-OffsetZ)/Ecran)*'Calculs 3D'!$E$31)),0)</f>
        <v>5.1057166245766311E-2</v>
      </c>
      <c r="G282" s="105">
        <f>IF(Body1Actif=TRUE,((((($B282*$F$4)+'Calculs 3D'!$C$6-OffsetX)/Ecran)*'Calculs 3D'!$C$32)+(((($C282*$F$4)+'Calculs 3D'!$D$6-OffsetY)/Ecran)*'Calculs 3D'!$D$32)+(((($D282*$F$4)+'Calculs 3D'!$E$6-OffsetZ)/Ecran)*'Calculs 3D'!$E$32)),0)</f>
        <v>0.26034878841354681</v>
      </c>
      <c r="H282" s="105">
        <f>IF(Body2Actif=TRUE,((((($B282*$H$4)+'Calculs 3D'!$C$7-OffsetX)/Ecran)*'Calculs 3D'!$C$31)+(((($C282*$H$4)+'Calculs 3D'!$D$7-OffsetY)/Ecran)*'Calculs 3D'!$D$31)+(((($D282*$H$4)+'Calculs 3D'!$E$7-OffsetZ)/Ecran)*'Calculs 3D'!$E$31)),0)</f>
        <v>2.7111334194937255E-2</v>
      </c>
      <c r="I282" s="105">
        <f>IF(Body2Actif=TRUE,((((($B282*$H$4)+'Calculs 3D'!$C$7-OffsetX)/Ecran)*'Calculs 3D'!$C$32)+(((($C282*$H$4)+'Calculs 3D'!$D$7-OffsetY)/Ecran)*'Calculs 3D'!$D$32)+(((($D282*$H$4)+'Calculs 3D'!$E$7-OffsetZ)/Ecran)*'Calculs 3D'!$E$32)),0)</f>
        <v>1.6621766747152884E-2</v>
      </c>
      <c r="J282" s="105">
        <f>IF(Body3Actif=TRUE,((((($B282*$J$4)+'Calculs 3D'!$C$8-OffsetX)/Ecran)*'Calculs 3D'!$C$31)+(((($C282*$J$4)+'Calculs 3D'!$D$8-OffsetY)/Ecran)*'Calculs 3D'!$D$31)+(((($D282*$J$4)+'Calculs 3D'!$E$8-OffsetZ)/Ecran)*'Calculs 3D'!$E$31)),0)</f>
        <v>0.21948805905290314</v>
      </c>
      <c r="K282" s="105">
        <f>IF(Body3Actif=TRUE,((((($B282*$J$4)+'Calculs 3D'!$C$8-OffsetX)/Ecran)*'Calculs 3D'!$C$32)+(((($C282*$J$4)+'Calculs 3D'!$D$8-OffsetY)/Ecran)*'Calculs 3D'!$D$32)+(((($D282*$J$4)+'Calculs 3D'!$E$8-OffsetZ)/Ecran)*'Calculs 3D'!$E$32)),0)</f>
        <v>-8.6955019022033078E-2</v>
      </c>
      <c r="L282" s="105">
        <f>IF(Body4Actif=TRUE,((((($B282*$L$4)+'Calculs 3D'!$C$9-OffsetX)/Ecran)*'Calculs 3D'!$C$31)+(((($C282*$L$4)+'Calculs 3D'!$D$9-OffsetY)/Ecran)*'Calculs 3D'!$D$31)+(((($D282*$L$4)+'Calculs 3D'!$E$9-OffsetZ)/Ecran)*'Calculs 3D'!$E$31)),0)</f>
        <v>-9.3449317799748702E-2</v>
      </c>
      <c r="M282" s="105">
        <f>IF(Body4Actif=TRUE,((((($B282*$L$4)+'Calculs 3D'!$C$9-OffsetX)/Ecran)*'Calculs 3D'!$C$32)+(((($C282*$L$4)+'Calculs 3D'!$D$9-OffsetY)/Ecran)*'Calculs 3D'!$D$32)+(((($D282*$L$4)+'Calculs 3D'!$E$9-OffsetZ)/Ecran)*'Calculs 3D'!$E$32)),0)</f>
        <v>-0.18002571086472688</v>
      </c>
      <c r="N282" s="105">
        <f>IF(Body5Actif=TRUE,((((($B282*$N$4)+'Calculs 3D'!$C$10-OffsetX)/Ecran)*'Calculs 3D'!$C$31)+(((($C282*$N$4)+'Calculs 3D'!$D$10-OffsetY)/Ecran)*'Calculs 3D'!$D$31)+(((($D282*$N$4)+'Calculs 3D'!$E$10-OffsetZ)/Ecran)*'Calculs 3D'!$E$31)),0)</f>
        <v>2.0848574364317222E-3</v>
      </c>
      <c r="O282" s="105">
        <f>IF(Body5Actif=TRUE,((((($B282*$N$4)+'Calculs 3D'!$C$10-OffsetX)/Ecran)*'Calculs 3D'!$C$32)+(((($C282*$N$4)+'Calculs 3D'!$D$10-OffsetY)/Ecran)*'Calculs 3D'!$D$32)+(((($D282*$N$4)+'Calculs 3D'!$E$10-OffsetZ)/Ecran)*'Calculs 3D'!$E$32)),0)</f>
        <v>-1.423237124532096E-2</v>
      </c>
      <c r="P282" s="105">
        <f>IF(Body6Actif=TRUE,((((($B282*$P$4)+'Calculs 3D'!$C$11-OffsetX)/Ecran)*'Calculs 3D'!$C$31)+(((($C282*$P$4)+'Calculs 3D'!$D$11-OffsetY)/Ecran)*'Calculs 3D'!$D$31)+(((($D282*$P$4)+'Calculs 3D'!$E$11-OffsetZ)/Ecran)*'Calculs 3D'!$E$31)),0)</f>
        <v>0.1724579421874603</v>
      </c>
      <c r="Q282" s="105">
        <f>IF(Body6Actif=TRUE,((((($B282*$P$4)+'Calculs 3D'!$C$11-OffsetX)/Ecran)*'Calculs 3D'!$C$32)+(((($C282*$P$4)+'Calculs 3D'!$D$11-OffsetY)/Ecran)*'Calculs 3D'!$D$32)+(((($D282*$P$4)+'Calculs 3D'!$E$11-OffsetZ)/Ecran)*'Calculs 3D'!$E$32)),0)</f>
        <v>0.11964711503403444</v>
      </c>
      <c r="R282" s="105">
        <f>IF(Body7Actif=TRUE,((((($B282*$R$4)+'Calculs 3D'!$C$12-OffsetX)/Ecran)*'Calculs 3D'!$C$31)+(((($C282*$R$4)+'Calculs 3D'!$D$12-OffsetY)/Ecran)*'Calculs 3D'!$D$31)+(((($D282*$R$4)+'Calculs 3D'!$E$12-OffsetZ)/Ecran)*'Calculs 3D'!$E$31)),0)</f>
        <v>-0.27894956372859037</v>
      </c>
      <c r="S282" s="105">
        <f>IF(Body7Actif=TRUE,((((($B282*$R$4)+'Calculs 3D'!$C$12-OffsetX)/Ecran)*'Calculs 3D'!$C$32)+(((($C282*$R$4)+'Calculs 3D'!$D$12-OffsetY)/Ecran)*'Calculs 3D'!$D$32)+(((($D282*$R$4)+'Calculs 3D'!$E$12-OffsetZ)/Ecran)*'Calculs 3D'!$E$32)),0)</f>
        <v>4.8878679808198308E-2</v>
      </c>
      <c r="T282" s="105">
        <f>IF(Body8Actif=TRUE,((((($B282*$T$4)+'Calculs 3D'!$C$13-OffsetX)/Ecran)*'Calculs 3D'!$C$31)+(((($C282*$T$4)+'Calculs 3D'!$D$13-OffsetY)/Ecran)*'Calculs 3D'!$D$31)+(((($D282*$T$4)+'Calculs 3D'!$E$13-OffsetZ)/Ecran)*'Calculs 3D'!$E$31)),0)</f>
        <v>0.16881596165182933</v>
      </c>
      <c r="U282" s="105">
        <f>IF(Body8Actif=TRUE,((((($B282*$T$4)+'Calculs 3D'!$C$13-OffsetX)/Ecran)*'Calculs 3D'!$C$32)+(((($C282*$T$4)+'Calculs 3D'!$D$13-OffsetY)/Ecran)*'Calculs 3D'!$D$32)+(((($D282*$T$4)+'Calculs 3D'!$E$13-OffsetZ)/Ecran)*'Calculs 3D'!$E$32)),0)</f>
        <v>-0.13542743719720823</v>
      </c>
      <c r="V282" s="105">
        <f>IF(Body9Actif=TRUE,((((($B282*$V$4)+'Calculs 3D'!$C$14-OffsetX)/Ecran)*'Calculs 3D'!$C$31)+(((($C282*$V$4)+'Calculs 3D'!$D$14-OffsetY)/Ecran)*'Calculs 3D'!$D$31)+(((($D282*$V$4)+'Calculs 3D'!$E$14-OffsetZ)/Ecran)*'Calculs 3D'!$E$31)),0)</f>
        <v>-0.17676374266175074</v>
      </c>
      <c r="W282" s="105">
        <f>IF(Body9Actif=TRUE,((((($B282*$V$4)+'Calculs 3D'!$C$14-OffsetX)/Ecran)*'Calculs 3D'!$C$32)+(((($C282*$V$4)+'Calculs 3D'!$D$14-OffsetY)/Ecran)*'Calculs 3D'!$D$32)+(((($D282*$V$4)+'Calculs 3D'!$E$14-OffsetZ)/Ecran)*'Calculs 3D'!$E$32)),0)</f>
        <v>0.28193461767893235</v>
      </c>
      <c r="X282" s="105">
        <f>IF(Body10Actif=TRUE,((((($B282*$X$4)+'Calculs 3D'!$C$15-OffsetX)/Ecran)*'Calculs 3D'!$C$31)+(((($C282*$X$4)+'Calculs 3D'!$D$15-OffsetY)/Ecran)*'Calculs 3D'!$D$31)+(((($D282*$X$4)+'Calculs 3D'!$E$15-OffsetZ)/Ecran)*'Calculs 3D'!$E$31)),0)</f>
        <v>-1.4091258529868839E-2</v>
      </c>
      <c r="Y282" s="105">
        <f>IF(Body10Actif=TRUE,((((($B282*$X$4)+'Calculs 3D'!$C$15-OffsetX)/Ecran)*'Calculs 3D'!$C$32)+(((($C282*$X$4)+'Calculs 3D'!$D$15-OffsetY)/Ecran)*'Calculs 3D'!$D$32)+(((($D282*$X$4)+'Calculs 3D'!$E$15-OffsetZ)/Ecran)*'Calculs 3D'!$E$32)),0)</f>
        <v>0.28237241198975971</v>
      </c>
    </row>
    <row r="283" spans="2:25" x14ac:dyDescent="0.3">
      <c r="B283" s="102">
        <v>0.41562693777745346</v>
      </c>
      <c r="C283" s="102">
        <v>-0.41562693777745352</v>
      </c>
      <c r="D283" s="102">
        <v>-0.80901699437494734</v>
      </c>
      <c r="F283" s="105">
        <f>IF(Body1Actif=TRUE,((((($B283*$F$4)+'Calculs 3D'!$C$6-OffsetX)/Ecran)*'Calculs 3D'!$C$31)+(((($C283*$F$4)+'Calculs 3D'!$D$6-OffsetY)/Ecran)*'Calculs 3D'!$D$31)+(((($D283*$F$4)+'Calculs 3D'!$E$6-OffsetZ)/Ecran)*'Calculs 3D'!$E$31)),0)</f>
        <v>5.0926456035842747E-2</v>
      </c>
      <c r="G283" s="105">
        <f>IF(Body1Actif=TRUE,((((($B283*$F$4)+'Calculs 3D'!$C$6-OffsetX)/Ecran)*'Calculs 3D'!$C$32)+(((($C283*$F$4)+'Calculs 3D'!$D$6-OffsetY)/Ecran)*'Calculs 3D'!$D$32)+(((($D283*$F$4)+'Calculs 3D'!$E$6-OffsetZ)/Ecran)*'Calculs 3D'!$E$32)),0)</f>
        <v>0.26019844705834272</v>
      </c>
      <c r="H283" s="105">
        <f>IF(Body2Actif=TRUE,((((($B283*$H$4)+'Calculs 3D'!$C$7-OffsetX)/Ecran)*'Calculs 3D'!$C$31)+(((($C283*$H$4)+'Calculs 3D'!$D$7-OffsetY)/Ecran)*'Calculs 3D'!$D$31)+(((($D283*$H$4)+'Calculs 3D'!$E$7-OffsetZ)/Ecran)*'Calculs 3D'!$E$31)),0)</f>
        <v>2.6601841946992753E-2</v>
      </c>
      <c r="I283" s="105">
        <f>IF(Body2Actif=TRUE,((((($B283*$H$4)+'Calculs 3D'!$C$7-OffsetX)/Ecran)*'Calculs 3D'!$C$32)+(((($C283*$H$4)+'Calculs 3D'!$D$7-OffsetY)/Ecran)*'Calculs 3D'!$D$32)+(((($D283*$H$4)+'Calculs 3D'!$E$7-OffsetZ)/Ecran)*'Calculs 3D'!$E$32)),0)</f>
        <v>1.6035754720496859E-2</v>
      </c>
      <c r="J283" s="105">
        <f>IF(Body3Actif=TRUE,((((($B283*$J$4)+'Calculs 3D'!$C$8-OffsetX)/Ecran)*'Calculs 3D'!$C$31)+(((($C283*$J$4)+'Calculs 3D'!$D$8-OffsetY)/Ecran)*'Calculs 3D'!$D$31)+(((($D283*$J$4)+'Calculs 3D'!$E$8-OffsetZ)/Ecran)*'Calculs 3D'!$E$31)),0)</f>
        <v>0.21926162938024263</v>
      </c>
      <c r="K283" s="105">
        <f>IF(Body3Actif=TRUE,((((($B283*$J$4)+'Calculs 3D'!$C$8-OffsetX)/Ecran)*'Calculs 3D'!$C$32)+(((($C283*$J$4)+'Calculs 3D'!$D$8-OffsetY)/Ecran)*'Calculs 3D'!$D$32)+(((($D283*$J$4)+'Calculs 3D'!$E$8-OffsetZ)/Ecran)*'Calculs 3D'!$E$32)),0)</f>
        <v>-8.7215455784135323E-2</v>
      </c>
      <c r="L283" s="105">
        <f>IF(Body4Actif=TRUE,((((($B283*$L$4)+'Calculs 3D'!$C$9-OffsetX)/Ecran)*'Calculs 3D'!$C$31)+(((($C283*$L$4)+'Calculs 3D'!$D$9-OffsetY)/Ecran)*'Calculs 3D'!$D$31)+(((($D283*$L$4)+'Calculs 3D'!$E$9-OffsetZ)/Ecran)*'Calculs 3D'!$E$31)),0)</f>
        <v>-9.3743742625759352E-2</v>
      </c>
      <c r="M283" s="105">
        <f>IF(Body4Actif=TRUE,((((($B283*$L$4)+'Calculs 3D'!$C$9-OffsetX)/Ecran)*'Calculs 3D'!$C$32)+(((($C283*$L$4)+'Calculs 3D'!$D$9-OffsetY)/Ecran)*'Calculs 3D'!$D$32)+(((($D283*$L$4)+'Calculs 3D'!$E$9-OffsetZ)/Ecran)*'Calculs 3D'!$E$32)),0)</f>
        <v>-0.18036435485722024</v>
      </c>
      <c r="N283" s="105">
        <f>IF(Body5Actif=TRUE,((((($B283*$N$4)+'Calculs 3D'!$C$10-OffsetX)/Ecran)*'Calculs 3D'!$C$31)+(((($C283*$N$4)+'Calculs 3D'!$D$10-OffsetY)/Ecran)*'Calculs 3D'!$D$31)+(((($D283*$N$4)+'Calculs 3D'!$E$10-OffsetZ)/Ecran)*'Calculs 3D'!$E$31)),0)</f>
        <v>1.7487444685493343E-3</v>
      </c>
      <c r="O283" s="105">
        <f>IF(Body5Actif=TRUE,((((($B283*$N$4)+'Calculs 3D'!$C$10-OffsetX)/Ecran)*'Calculs 3D'!$C$32)+(((($C283*$N$4)+'Calculs 3D'!$D$10-OffsetY)/Ecran)*'Calculs 3D'!$D$32)+(((($D283*$N$4)+'Calculs 3D'!$E$10-OffsetZ)/Ecran)*'Calculs 3D'!$E$32)),0)</f>
        <v>-1.461896445118183E-2</v>
      </c>
      <c r="P283" s="105">
        <f>IF(Body6Actif=TRUE,((((($B283*$P$4)+'Calculs 3D'!$C$11-OffsetX)/Ecran)*'Calculs 3D'!$C$31)+(((($C283*$P$4)+'Calculs 3D'!$D$11-OffsetY)/Ecran)*'Calculs 3D'!$D$31)+(((($D283*$P$4)+'Calculs 3D'!$E$11-OffsetZ)/Ecran)*'Calculs 3D'!$E$31)),0)</f>
        <v>0.1719708571161116</v>
      </c>
      <c r="Q283" s="105">
        <f>IF(Body6Actif=TRUE,((((($B283*$P$4)+'Calculs 3D'!$C$11-OffsetX)/Ecran)*'Calculs 3D'!$C$32)+(((($C283*$P$4)+'Calculs 3D'!$D$11-OffsetY)/Ecran)*'Calculs 3D'!$D$32)+(((($D283*$P$4)+'Calculs 3D'!$E$11-OffsetZ)/Ecran)*'Calculs 3D'!$E$32)),0)</f>
        <v>0.11908687547991659</v>
      </c>
      <c r="R283" s="105">
        <f>IF(Body7Actif=TRUE,((((($B283*$R$4)+'Calculs 3D'!$C$12-OffsetX)/Ecran)*'Calculs 3D'!$C$31)+(((($C283*$R$4)+'Calculs 3D'!$D$12-OffsetY)/Ecran)*'Calculs 3D'!$D$31)+(((($D283*$R$4)+'Calculs 3D'!$E$12-OffsetZ)/Ecran)*'Calculs 3D'!$E$31)),0)</f>
        <v>-0.27943872548960386</v>
      </c>
      <c r="S283" s="105">
        <f>IF(Body7Actif=TRUE,((((($B283*$R$4)+'Calculs 3D'!$C$12-OffsetX)/Ecran)*'Calculs 3D'!$C$32)+(((($C283*$R$4)+'Calculs 3D'!$D$12-OffsetY)/Ecran)*'Calculs 3D'!$D$32)+(((($D283*$R$4)+'Calculs 3D'!$E$12-OffsetZ)/Ecran)*'Calculs 3D'!$E$32)),0)</f>
        <v>4.8316051669908405E-2</v>
      </c>
      <c r="T283" s="105">
        <f>IF(Body8Actif=TRUE,((((($B283*$T$4)+'Calculs 3D'!$C$13-OffsetX)/Ecran)*'Calculs 3D'!$C$31)+(((($C283*$T$4)+'Calculs 3D'!$D$13-OffsetY)/Ecran)*'Calculs 3D'!$D$31)+(((($D283*$T$4)+'Calculs 3D'!$E$13-OffsetZ)/Ecran)*'Calculs 3D'!$E$31)),0)</f>
        <v>0.16863954033387257</v>
      </c>
      <c r="U283" s="105">
        <f>IF(Body8Actif=TRUE,((((($B283*$T$4)+'Calculs 3D'!$C$13-OffsetX)/Ecran)*'Calculs 3D'!$C$32)+(((($C283*$T$4)+'Calculs 3D'!$D$13-OffsetY)/Ecran)*'Calculs 3D'!$D$32)+(((($D283*$T$4)+'Calculs 3D'!$E$13-OffsetZ)/Ecran)*'Calculs 3D'!$E$32)),0)</f>
        <v>-0.1356303549344226</v>
      </c>
      <c r="V283" s="105">
        <f>IF(Body9Actif=TRUE,((((($B283*$V$4)+'Calculs 3D'!$C$14-OffsetX)/Ecran)*'Calculs 3D'!$C$31)+(((($C283*$V$4)+'Calculs 3D'!$D$14-OffsetY)/Ecran)*'Calculs 3D'!$D$31)+(((($D283*$V$4)+'Calculs 3D'!$E$14-OffsetZ)/Ecran)*'Calculs 3D'!$E$31)),0)</f>
        <v>-0.17700853005274614</v>
      </c>
      <c r="W283" s="105">
        <f>IF(Body9Actif=TRUE,((((($B283*$V$4)+'Calculs 3D'!$C$14-OffsetX)/Ecran)*'Calculs 3D'!$C$32)+(((($C283*$V$4)+'Calculs 3D'!$D$14-OffsetY)/Ecran)*'Calculs 3D'!$D$32)+(((($D283*$V$4)+'Calculs 3D'!$E$14-OffsetZ)/Ecran)*'Calculs 3D'!$E$32)),0)</f>
        <v>0.28165306608383789</v>
      </c>
      <c r="X283" s="105">
        <f>IF(Body10Actif=TRUE,((((($B283*$X$4)+'Calculs 3D'!$C$15-OffsetX)/Ecran)*'Calculs 3D'!$C$31)+(((($C283*$X$4)+'Calculs 3D'!$D$15-OffsetY)/Ecran)*'Calculs 3D'!$D$31)+(((($D283*$X$4)+'Calculs 3D'!$E$15-OffsetZ)/Ecran)*'Calculs 3D'!$E$31)),0)</f>
        <v>-1.4460753859913023E-2</v>
      </c>
      <c r="Y283" s="105">
        <f>IF(Body10Actif=TRUE,((((($B283*$X$4)+'Calculs 3D'!$C$15-OffsetX)/Ecran)*'Calculs 3D'!$C$32)+(((($C283*$X$4)+'Calculs 3D'!$D$15-OffsetY)/Ecran)*'Calculs 3D'!$D$32)+(((($D283*$X$4)+'Calculs 3D'!$E$15-OffsetZ)/Ecran)*'Calculs 3D'!$E$32)),0)</f>
        <v>0.28194742278124335</v>
      </c>
    </row>
    <row r="284" spans="2:25" x14ac:dyDescent="0.3">
      <c r="B284" s="102">
        <v>0.2185080122244106</v>
      </c>
      <c r="C284" s="102">
        <v>-0.21850801222441066</v>
      </c>
      <c r="D284" s="102">
        <v>-0.95105651629515353</v>
      </c>
      <c r="F284" s="105">
        <f>IF(Body1Actif=TRUE,((((($B284*$F$4)+'Calculs 3D'!$C$6-OffsetX)/Ecran)*'Calculs 3D'!$C$31)+(((($C284*$F$4)+'Calculs 3D'!$D$6-OffsetY)/Ecran)*'Calculs 3D'!$D$31)+(((($D284*$F$4)+'Calculs 3D'!$E$6-OffsetZ)/Ecran)*'Calculs 3D'!$E$31)),0)</f>
        <v>5.0761751562743908E-2</v>
      </c>
      <c r="G284" s="105">
        <f>IF(Body1Actif=TRUE,((((($B284*$F$4)+'Calculs 3D'!$C$6-OffsetX)/Ecran)*'Calculs 3D'!$C$32)+(((($C284*$F$4)+'Calculs 3D'!$D$6-OffsetY)/Ecran)*'Calculs 3D'!$D$32)+(((($D284*$F$4)+'Calculs 3D'!$E$6-OffsetZ)/Ecran)*'Calculs 3D'!$E$32)),0)</f>
        <v>0.26041593764776139</v>
      </c>
      <c r="H284" s="105">
        <f>IF(Body2Actif=TRUE,((((($B284*$H$4)+'Calculs 3D'!$C$7-OffsetX)/Ecran)*'Calculs 3D'!$C$31)+(((($C284*$H$4)+'Calculs 3D'!$D$7-OffsetY)/Ecran)*'Calculs 3D'!$D$31)+(((($D284*$H$4)+'Calculs 3D'!$E$7-OffsetZ)/Ecran)*'Calculs 3D'!$E$31)),0)</f>
        <v>2.5959844261466115E-2</v>
      </c>
      <c r="I284" s="105">
        <f>IF(Body2Actif=TRUE,((((($B284*$H$4)+'Calculs 3D'!$C$7-OffsetX)/Ecran)*'Calculs 3D'!$C$32)+(((($C284*$H$4)+'Calculs 3D'!$D$7-OffsetY)/Ecran)*'Calculs 3D'!$D$32)+(((($D284*$H$4)+'Calculs 3D'!$E$7-OffsetZ)/Ecran)*'Calculs 3D'!$E$32)),0)</f>
        <v>1.6883506165272968E-2</v>
      </c>
      <c r="J284" s="105">
        <f>IF(Body3Actif=TRUE,((((($B284*$J$4)+'Calculs 3D'!$C$8-OffsetX)/Ecran)*'Calculs 3D'!$C$31)+(((($C284*$J$4)+'Calculs 3D'!$D$8-OffsetY)/Ecran)*'Calculs 3D'!$D$31)+(((($D284*$J$4)+'Calculs 3D'!$E$8-OffsetZ)/Ecran)*'Calculs 3D'!$E$31)),0)</f>
        <v>0.21897631134769338</v>
      </c>
      <c r="K284" s="105">
        <f>IF(Body3Actif=TRUE,((((($B284*$J$4)+'Calculs 3D'!$C$8-OffsetX)/Ecran)*'Calculs 3D'!$C$32)+(((($C284*$J$4)+'Calculs 3D'!$D$8-OffsetY)/Ecran)*'Calculs 3D'!$D$32)+(((($D284*$J$4)+'Calculs 3D'!$E$8-OffsetZ)/Ecran)*'Calculs 3D'!$E$32)),0)</f>
        <v>-8.6838696210437022E-2</v>
      </c>
      <c r="L284" s="105">
        <f>IF(Body4Actif=TRUE,((((($B284*$L$4)+'Calculs 3D'!$C$9-OffsetX)/Ecran)*'Calculs 3D'!$C$31)+(((($C284*$L$4)+'Calculs 3D'!$D$9-OffsetY)/Ecran)*'Calculs 3D'!$D$31)+(((($D284*$L$4)+'Calculs 3D'!$E$9-OffsetZ)/Ecran)*'Calculs 3D'!$E$31)),0)</f>
        <v>-9.4114739549899018E-2</v>
      </c>
      <c r="M284" s="105">
        <f>IF(Body4Actif=TRUE,((((($B284*$L$4)+'Calculs 3D'!$C$9-OffsetX)/Ecran)*'Calculs 3D'!$C$32)+(((($C284*$L$4)+'Calculs 3D'!$D$9-OffsetY)/Ecran)*'Calculs 3D'!$D$32)+(((($D284*$L$4)+'Calculs 3D'!$E$9-OffsetZ)/Ecran)*'Calculs 3D'!$E$32)),0)</f>
        <v>-0.17987445717450681</v>
      </c>
      <c r="N284" s="105">
        <f>IF(Body5Actif=TRUE,((((($B284*$N$4)+'Calculs 3D'!$C$10-OffsetX)/Ecran)*'Calculs 3D'!$C$31)+(((($C284*$N$4)+'Calculs 3D'!$D$10-OffsetY)/Ecran)*'Calculs 3D'!$D$31)+(((($D284*$N$4)+'Calculs 3D'!$E$10-OffsetZ)/Ecran)*'Calculs 3D'!$E$31)),0)</f>
        <v>1.3252174211280266E-3</v>
      </c>
      <c r="O284" s="105">
        <f>IF(Body5Actif=TRUE,((((($B284*$N$4)+'Calculs 3D'!$C$10-OffsetX)/Ecran)*'Calculs 3D'!$C$32)+(((($C284*$N$4)+'Calculs 3D'!$D$10-OffsetY)/Ecran)*'Calculs 3D'!$D$32)+(((($D284*$N$4)+'Calculs 3D'!$E$10-OffsetZ)/Ecran)*'Calculs 3D'!$E$32)),0)</f>
        <v>-1.4059701272438994E-2</v>
      </c>
      <c r="P284" s="105">
        <f>IF(Body6Actif=TRUE,((((($B284*$P$4)+'Calculs 3D'!$C$11-OffsetX)/Ecran)*'Calculs 3D'!$C$31)+(((($C284*$P$4)+'Calculs 3D'!$D$11-OffsetY)/Ecran)*'Calculs 3D'!$D$31)+(((($D284*$P$4)+'Calculs 3D'!$E$11-OffsetZ)/Ecran)*'Calculs 3D'!$E$31)),0)</f>
        <v>0.17135709412026223</v>
      </c>
      <c r="Q284" s="105">
        <f>IF(Body6Actif=TRUE,((((($B284*$P$4)+'Calculs 3D'!$C$11-OffsetX)/Ecran)*'Calculs 3D'!$C$32)+(((($C284*$P$4)+'Calculs 3D'!$D$11-OffsetY)/Ecran)*'Calculs 3D'!$D$32)+(((($D284*$P$4)+'Calculs 3D'!$E$11-OffsetZ)/Ecran)*'Calculs 3D'!$E$32)),0)</f>
        <v>0.11989734330279443</v>
      </c>
      <c r="R284" s="105">
        <f>IF(Body7Actif=TRUE,((((($B284*$R$4)+'Calculs 3D'!$C$12-OffsetX)/Ecran)*'Calculs 3D'!$C$31)+(((($C284*$R$4)+'Calculs 3D'!$D$12-OffsetY)/Ecran)*'Calculs 3D'!$D$31)+(((($D284*$R$4)+'Calculs 3D'!$E$12-OffsetZ)/Ecran)*'Calculs 3D'!$E$31)),0)</f>
        <v>-0.28005510526708971</v>
      </c>
      <c r="S284" s="105">
        <f>IF(Body7Actif=TRUE,((((($B284*$R$4)+'Calculs 3D'!$C$12-OffsetX)/Ecran)*'Calculs 3D'!$C$32)+(((($C284*$R$4)+'Calculs 3D'!$D$12-OffsetY)/Ecran)*'Calculs 3D'!$D$32)+(((($D284*$R$4)+'Calculs 3D'!$E$12-OffsetZ)/Ecran)*'Calculs 3D'!$E$32)),0)</f>
        <v>4.9129974926447537E-2</v>
      </c>
      <c r="T284" s="105">
        <f>IF(Body8Actif=TRUE,((((($B284*$T$4)+'Calculs 3D'!$C$13-OffsetX)/Ecran)*'Calculs 3D'!$C$31)+(((($C284*$T$4)+'Calculs 3D'!$D$13-OffsetY)/Ecran)*'Calculs 3D'!$D$31)+(((($D284*$T$4)+'Calculs 3D'!$E$13-OffsetZ)/Ecran)*'Calculs 3D'!$E$31)),0)</f>
        <v>0.16841723650439777</v>
      </c>
      <c r="U284" s="105">
        <f>IF(Body8Actif=TRUE,((((($B284*$T$4)+'Calculs 3D'!$C$13-OffsetX)/Ecran)*'Calculs 3D'!$C$32)+(((($C284*$T$4)+'Calculs 3D'!$D$13-OffsetY)/Ecran)*'Calculs 3D'!$D$32)+(((($D284*$T$4)+'Calculs 3D'!$E$13-OffsetZ)/Ecran)*'Calculs 3D'!$E$32)),0)</f>
        <v>-0.13533680497798944</v>
      </c>
      <c r="V284" s="105">
        <f>IF(Body9Actif=TRUE,((((($B284*$V$4)+'Calculs 3D'!$C$14-OffsetX)/Ecran)*'Calculs 3D'!$C$31)+(((($C284*$V$4)+'Calculs 3D'!$D$14-OffsetY)/Ecran)*'Calculs 3D'!$D$31)+(((($D284*$V$4)+'Calculs 3D'!$E$14-OffsetZ)/Ecran)*'Calculs 3D'!$E$31)),0)</f>
        <v>-0.17731698015988545</v>
      </c>
      <c r="W284" s="105">
        <f>IF(Body9Actif=TRUE,((((($B284*$V$4)+'Calculs 3D'!$C$14-OffsetX)/Ecran)*'Calculs 3D'!$C$32)+(((($C284*$V$4)+'Calculs 3D'!$D$14-OffsetY)/Ecran)*'Calculs 3D'!$D$32)+(((($D284*$V$4)+'Calculs 3D'!$E$14-OffsetZ)/Ecran)*'Calculs 3D'!$E$32)),0)</f>
        <v>0.28206037132786566</v>
      </c>
      <c r="X284" s="105">
        <f>IF(Body10Actif=TRUE,((((($B284*$X$4)+'Calculs 3D'!$C$15-OffsetX)/Ecran)*'Calculs 3D'!$C$31)+(((($C284*$X$4)+'Calculs 3D'!$D$15-OffsetY)/Ecran)*'Calculs 3D'!$D$31)+(((($D284*$X$4)+'Calculs 3D'!$E$15-OffsetZ)/Ecran)*'Calculs 3D'!$E$31)),0)</f>
        <v>-1.4926345137618022E-2</v>
      </c>
      <c r="Y284" s="105">
        <f>IF(Body10Actif=TRUE,((((($B284*$X$4)+'Calculs 3D'!$C$15-OffsetX)/Ecran)*'Calculs 3D'!$C$32)+(((($C284*$X$4)+'Calculs 3D'!$D$15-OffsetY)/Ecran)*'Calculs 3D'!$D$32)+(((($D284*$X$4)+'Calculs 3D'!$E$15-OffsetZ)/Ecran)*'Calculs 3D'!$E$32)),0)</f>
        <v>0.28256223135025837</v>
      </c>
    </row>
    <row r="285" spans="2:25" x14ac:dyDescent="0.3">
      <c r="B285" s="102">
        <v>1.2994661706391593E-16</v>
      </c>
      <c r="C285" s="102">
        <v>-1.2994661706391596E-16</v>
      </c>
      <c r="D285" s="102">
        <v>-1</v>
      </c>
      <c r="F285" s="105">
        <f>IF(Body1Actif=TRUE,((((($B285*$F$4)+'Calculs 3D'!$C$6-OffsetX)/Ecran)*'Calculs 3D'!$C$31)+(((($C285*$F$4)+'Calculs 3D'!$D$6-OffsetY)/Ecran)*'Calculs 3D'!$D$31)+(((($D285*$F$4)+'Calculs 3D'!$E$6-OffsetZ)/Ecran)*'Calculs 3D'!$E$31)),0)</f>
        <v>5.0579175247860285E-2</v>
      </c>
      <c r="G285" s="105">
        <f>IF(Body1Actif=TRUE,((((($B285*$F$4)+'Calculs 3D'!$C$6-OffsetX)/Ecran)*'Calculs 3D'!$C$32)+(((($C285*$F$4)+'Calculs 3D'!$D$6-OffsetY)/Ecran)*'Calculs 3D'!$D$32)+(((($D285*$F$4)+'Calculs 3D'!$E$6-OffsetZ)/Ecran)*'Calculs 3D'!$E$32)),0)</f>
        <v>0.26097997068756451</v>
      </c>
      <c r="H285" s="105">
        <f>IF(Body2Actif=TRUE,((((($B285*$H$4)+'Calculs 3D'!$C$7-OffsetX)/Ecran)*'Calculs 3D'!$C$31)+(((($C285*$H$4)+'Calculs 3D'!$D$7-OffsetY)/Ecran)*'Calculs 3D'!$D$31)+(((($D285*$H$4)+'Calculs 3D'!$E$7-OffsetZ)/Ecran)*'Calculs 3D'!$E$31)),0)</f>
        <v>2.5248184344877585E-2</v>
      </c>
      <c r="I285" s="105">
        <f>IF(Body2Actif=TRUE,((((($B285*$H$4)+'Calculs 3D'!$C$7-OffsetX)/Ecran)*'Calculs 3D'!$C$32)+(((($C285*$H$4)+'Calculs 3D'!$D$7-OffsetY)/Ecran)*'Calculs 3D'!$D$32)+(((($D285*$H$4)+'Calculs 3D'!$E$7-OffsetZ)/Ecran)*'Calculs 3D'!$E$32)),0)</f>
        <v>1.9082037263434885E-2</v>
      </c>
      <c r="J285" s="105">
        <f>IF(Body3Actif=TRUE,((((($B285*$J$4)+'Calculs 3D'!$C$8-OffsetX)/Ecran)*'Calculs 3D'!$C$31)+(((($C285*$J$4)+'Calculs 3D'!$D$8-OffsetY)/Ecran)*'Calculs 3D'!$D$31)+(((($D285*$J$4)+'Calculs 3D'!$E$8-OffsetZ)/Ecran)*'Calculs 3D'!$E$31)),0)</f>
        <v>0.21866003387220898</v>
      </c>
      <c r="K285" s="105">
        <f>IF(Body3Actif=TRUE,((((($B285*$J$4)+'Calculs 3D'!$C$8-OffsetX)/Ecran)*'Calculs 3D'!$C$32)+(((($C285*$J$4)+'Calculs 3D'!$D$8-OffsetY)/Ecran)*'Calculs 3D'!$D$32)+(((($D285*$J$4)+'Calculs 3D'!$E$8-OffsetZ)/Ecran)*'Calculs 3D'!$E$32)),0)</f>
        <v>-8.5861620153050128E-2</v>
      </c>
      <c r="L285" s="105">
        <f>IF(Body4Actif=TRUE,((((($B285*$L$4)+'Calculs 3D'!$C$9-OffsetX)/Ecran)*'Calculs 3D'!$C$31)+(((($C285*$L$4)+'Calculs 3D'!$D$9-OffsetY)/Ecran)*'Calculs 3D'!$D$31)+(((($D285*$L$4)+'Calculs 3D'!$E$9-OffsetZ)/Ecran)*'Calculs 3D'!$E$31)),0)</f>
        <v>-9.4525992808345366E-2</v>
      </c>
      <c r="M285" s="105">
        <f>IF(Body4Actif=TRUE,((((($B285*$L$4)+'Calculs 3D'!$C$9-OffsetX)/Ecran)*'Calculs 3D'!$C$32)+(((($C285*$L$4)+'Calculs 3D'!$D$9-OffsetY)/Ecran)*'Calculs 3D'!$D$32)+(((($D285*$L$4)+'Calculs 3D'!$E$9-OffsetZ)/Ecran)*'Calculs 3D'!$E$32)),0)</f>
        <v>-0.17860397241508841</v>
      </c>
      <c r="N285" s="105">
        <f>IF(Body5Actif=TRUE,((((($B285*$N$4)+'Calculs 3D'!$C$10-OffsetX)/Ecran)*'Calculs 3D'!$C$31)+(((($C285*$N$4)+'Calculs 3D'!$D$10-OffsetY)/Ecran)*'Calculs 3D'!$D$31)+(((($D285*$N$4)+'Calculs 3D'!$E$10-OffsetZ)/Ecran)*'Calculs 3D'!$E$31)),0)</f>
        <v>8.557340724558533E-4</v>
      </c>
      <c r="O285" s="105">
        <f>IF(Body5Actif=TRUE,((((($B285*$N$4)+'Calculs 3D'!$C$10-OffsetX)/Ecran)*'Calculs 3D'!$C$32)+(((($C285*$N$4)+'Calculs 3D'!$D$10-OffsetY)/Ecran)*'Calculs 3D'!$D$32)+(((($D285*$N$4)+'Calculs 3D'!$E$10-OffsetZ)/Ecran)*'Calculs 3D'!$E$32)),0)</f>
        <v>-1.260932628564349E-2</v>
      </c>
      <c r="P285" s="105">
        <f>IF(Body6Actif=TRUE,((((($B285*$P$4)+'Calculs 3D'!$C$11-OffsetX)/Ecran)*'Calculs 3D'!$C$31)+(((($C285*$P$4)+'Calculs 3D'!$D$11-OffsetY)/Ecran)*'Calculs 3D'!$D$31)+(((($D285*$P$4)+'Calculs 3D'!$E$11-OffsetZ)/Ecran)*'Calculs 3D'!$E$31)),0)</f>
        <v>0.1706767325982842</v>
      </c>
      <c r="Q285" s="105">
        <f>IF(Body6Actif=TRUE,((((($B285*$P$4)+'Calculs 3D'!$C$11-OffsetX)/Ecran)*'Calculs 3D'!$C$32)+(((($C285*$P$4)+'Calculs 3D'!$D$11-OffsetY)/Ecran)*'Calculs 3D'!$D$32)+(((($D285*$P$4)+'Calculs 3D'!$E$11-OffsetZ)/Ecran)*'Calculs 3D'!$E$32)),0)</f>
        <v>0.12199918426530344</v>
      </c>
      <c r="R285" s="105">
        <f>IF(Body7Actif=TRUE,((((($B285*$R$4)+'Calculs 3D'!$C$12-OffsetX)/Ecran)*'Calculs 3D'!$C$31)+(((($C285*$R$4)+'Calculs 3D'!$D$12-OffsetY)/Ecran)*'Calculs 3D'!$D$31)+(((($D285*$R$4)+'Calculs 3D'!$E$12-OffsetZ)/Ecran)*'Calculs 3D'!$E$31)),0)</f>
        <v>-0.28073836751385717</v>
      </c>
      <c r="S285" s="105">
        <f>IF(Body7Actif=TRUE,((((($B285*$R$4)+'Calculs 3D'!$C$12-OffsetX)/Ecran)*'Calculs 3D'!$C$32)+(((($C285*$R$4)+'Calculs 3D'!$D$12-OffsetY)/Ecran)*'Calculs 3D'!$D$32)+(((($D285*$R$4)+'Calculs 3D'!$E$12-OffsetZ)/Ecran)*'Calculs 3D'!$E$32)),0)</f>
        <v>5.1240777098528811E-2</v>
      </c>
      <c r="T285" s="105">
        <f>IF(Body8Actif=TRUE,((((($B285*$T$4)+'Calculs 3D'!$C$13-OffsetX)/Ecran)*'Calculs 3D'!$C$31)+(((($C285*$T$4)+'Calculs 3D'!$D$13-OffsetY)/Ecran)*'Calculs 3D'!$D$31)+(((($D285*$T$4)+'Calculs 3D'!$E$13-OffsetZ)/Ecran)*'Calculs 3D'!$E$31)),0)</f>
        <v>0.16817081081111579</v>
      </c>
      <c r="U285" s="105">
        <f>IF(Body8Actif=TRUE,((((($B285*$T$4)+'Calculs 3D'!$C$13-OffsetX)/Ecran)*'Calculs 3D'!$C$32)+(((($C285*$T$4)+'Calculs 3D'!$D$13-OffsetY)/Ecran)*'Calculs 3D'!$D$32)+(((($D285*$T$4)+'Calculs 3D'!$E$13-OffsetZ)/Ecran)*'Calculs 3D'!$E$32)),0)</f>
        <v>-0.13457552204292733</v>
      </c>
      <c r="V285" s="105">
        <f>IF(Body9Actif=TRUE,((((($B285*$V$4)+'Calculs 3D'!$C$14-OffsetX)/Ecran)*'Calculs 3D'!$C$31)+(((($C285*$V$4)+'Calculs 3D'!$D$14-OffsetY)/Ecran)*'Calculs 3D'!$D$31)+(((($D285*$V$4)+'Calculs 3D'!$E$14-OffsetZ)/Ecran)*'Calculs 3D'!$E$31)),0)</f>
        <v>-0.17765889973758367</v>
      </c>
      <c r="W285" s="105">
        <f>IF(Body9Actif=TRUE,((((($B285*$V$4)+'Calculs 3D'!$C$14-OffsetX)/Ecran)*'Calculs 3D'!$C$32)+(((($C285*$V$4)+'Calculs 3D'!$D$14-OffsetY)/Ecran)*'Calculs 3D'!$D$32)+(((($D285*$V$4)+'Calculs 3D'!$E$14-OffsetZ)/Ecran)*'Calculs 3D'!$E$32)),0)</f>
        <v>0.28311666353586784</v>
      </c>
      <c r="X285" s="105">
        <f>IF(Body10Actif=TRUE,((((($B285*$X$4)+'Calculs 3D'!$C$15-OffsetX)/Ecran)*'Calculs 3D'!$C$31)+(((($C285*$X$4)+'Calculs 3D'!$D$15-OffsetY)/Ecran)*'Calculs 3D'!$D$31)+(((($D285*$X$4)+'Calculs 3D'!$E$15-OffsetZ)/Ecran)*'Calculs 3D'!$E$31)),0)</f>
        <v>-1.5442457044756913E-2</v>
      </c>
      <c r="Y285" s="105">
        <f>IF(Body10Actif=TRUE,((((($B285*$X$4)+'Calculs 3D'!$C$15-OffsetX)/Ecran)*'Calculs 3D'!$C$32)+(((($C285*$X$4)+'Calculs 3D'!$D$15-OffsetY)/Ecran)*'Calculs 3D'!$D$32)+(((($D285*$X$4)+'Calculs 3D'!$E$15-OffsetZ)/Ecran)*'Calculs 3D'!$E$32)),0)</f>
        <v>0.28415665595044626</v>
      </c>
    </row>
    <row r="286" spans="2:25" x14ac:dyDescent="0.3">
      <c r="B286" s="102">
        <v>-0.21850801222441038</v>
      </c>
      <c r="C286" s="102">
        <v>0.21850801222441041</v>
      </c>
      <c r="D286" s="102">
        <v>-0.95105651629515364</v>
      </c>
      <c r="F286" s="105">
        <f>IF(Body1Actif=TRUE,((((($B286*$F$4)+'Calculs 3D'!$C$6-OffsetX)/Ecran)*'Calculs 3D'!$C$31)+(((($C286*$F$4)+'Calculs 3D'!$D$6-OffsetY)/Ecran)*'Calculs 3D'!$D$31)+(((($D286*$F$4)+'Calculs 3D'!$E$6-OffsetZ)/Ecran)*'Calculs 3D'!$E$31)),0)</f>
        <v>5.0396598932976655E-2</v>
      </c>
      <c r="G286" s="105">
        <f>IF(Body1Actif=TRUE,((((($B286*$F$4)+'Calculs 3D'!$C$6-OffsetX)/Ecran)*'Calculs 3D'!$C$32)+(((($C286*$F$4)+'Calculs 3D'!$D$6-OffsetY)/Ecran)*'Calculs 3D'!$D$32)+(((($D286*$F$4)+'Calculs 3D'!$E$6-OffsetZ)/Ecran)*'Calculs 3D'!$E$32)),0)</f>
        <v>0.26183533469396691</v>
      </c>
      <c r="H286" s="105">
        <f>IF(Body2Actif=TRUE,((((($B286*$H$4)+'Calculs 3D'!$C$7-OffsetX)/Ecran)*'Calculs 3D'!$C$31)+(((($C286*$H$4)+'Calculs 3D'!$D$7-OffsetY)/Ecran)*'Calculs 3D'!$D$31)+(((($D286*$H$4)+'Calculs 3D'!$E$7-OffsetZ)/Ecran)*'Calculs 3D'!$E$31)),0)</f>
        <v>2.4536524428289068E-2</v>
      </c>
      <c r="I286" s="105">
        <f>IF(Body2Actif=TRUE,((((($B286*$H$4)+'Calculs 3D'!$C$7-OffsetX)/Ecran)*'Calculs 3D'!$C$32)+(((($C286*$H$4)+'Calculs 3D'!$D$7-OffsetY)/Ecran)*'Calculs 3D'!$D$32)+(((($D286*$H$4)+'Calculs 3D'!$E$7-OffsetZ)/Ecran)*'Calculs 3D'!$E$32)),0)</f>
        <v>2.2416140473027632E-2</v>
      </c>
      <c r="J286" s="105">
        <f>IF(Body3Actif=TRUE,((((($B286*$J$4)+'Calculs 3D'!$C$8-OffsetX)/Ecran)*'Calculs 3D'!$C$31)+(((($C286*$J$4)+'Calculs 3D'!$D$8-OffsetY)/Ecran)*'Calculs 3D'!$D$31)+(((($D286*$J$4)+'Calculs 3D'!$E$8-OffsetZ)/Ecran)*'Calculs 3D'!$E$31)),0)</f>
        <v>0.21834375639672457</v>
      </c>
      <c r="K286" s="105">
        <f>IF(Body3Actif=TRUE,((((($B286*$J$4)+'Calculs 3D'!$C$8-OffsetX)/Ecran)*'Calculs 3D'!$C$32)+(((($C286*$J$4)+'Calculs 3D'!$D$8-OffsetY)/Ecran)*'Calculs 3D'!$D$32)+(((($D286*$J$4)+'Calculs 3D'!$E$8-OffsetZ)/Ecran)*'Calculs 3D'!$E$32)),0)</f>
        <v>-8.4379870624160719E-2</v>
      </c>
      <c r="L286" s="105">
        <f>IF(Body4Actif=TRUE,((((($B286*$L$4)+'Calculs 3D'!$C$9-OffsetX)/Ecran)*'Calculs 3D'!$C$31)+(((($C286*$L$4)+'Calculs 3D'!$D$9-OffsetY)/Ecran)*'Calculs 3D'!$D$31)+(((($D286*$L$4)+'Calculs 3D'!$E$9-OffsetZ)/Ecran)*'Calculs 3D'!$E$31)),0)</f>
        <v>-9.4937246066791686E-2</v>
      </c>
      <c r="M286" s="105">
        <f>IF(Body4Actif=TRUE,((((($B286*$L$4)+'Calculs 3D'!$C$9-OffsetX)/Ecran)*'Calculs 3D'!$C$32)+(((($C286*$L$4)+'Calculs 3D'!$D$9-OffsetY)/Ecran)*'Calculs 3D'!$D$32)+(((($D286*$L$4)+'Calculs 3D'!$E$9-OffsetZ)/Ecran)*'Calculs 3D'!$E$32)),0)</f>
        <v>-0.17667726447920476</v>
      </c>
      <c r="N286" s="105">
        <f>IF(Body5Actif=TRUE,((((($B286*$N$4)+'Calculs 3D'!$C$10-OffsetX)/Ecran)*'Calculs 3D'!$C$31)+(((($C286*$N$4)+'Calculs 3D'!$D$10-OffsetY)/Ecran)*'Calculs 3D'!$D$31)+(((($D286*$N$4)+'Calculs 3D'!$E$10-OffsetZ)/Ecran)*'Calculs 3D'!$E$31)),0)</f>
        <v>3.8625072378368E-4</v>
      </c>
      <c r="O286" s="105">
        <f>IF(Body5Actif=TRUE,((((($B286*$N$4)+'Calculs 3D'!$C$10-OffsetX)/Ecran)*'Calculs 3D'!$C$32)+(((($C286*$N$4)+'Calculs 3D'!$D$10-OffsetY)/Ecran)*'Calculs 3D'!$D$32)+(((($D286*$N$4)+'Calculs 3D'!$E$10-OffsetZ)/Ecran)*'Calculs 3D'!$E$32)),0)</f>
        <v>-1.0409812299859612E-2</v>
      </c>
      <c r="P286" s="105">
        <f>IF(Body6Actif=TRUE,((((($B286*$P$4)+'Calculs 3D'!$C$11-OffsetX)/Ecran)*'Calculs 3D'!$C$31)+(((($C286*$P$4)+'Calculs 3D'!$D$11-OffsetY)/Ecran)*'Calculs 3D'!$D$31)+(((($D286*$P$4)+'Calculs 3D'!$E$11-OffsetZ)/Ecran)*'Calculs 3D'!$E$31)),0)</f>
        <v>0.16999637107630616</v>
      </c>
      <c r="Q286" s="105">
        <f>IF(Body6Actif=TRUE,((((($B286*$P$4)+'Calculs 3D'!$C$11-OffsetX)/Ecran)*'Calculs 3D'!$C$32)+(((($C286*$P$4)+'Calculs 3D'!$D$11-OffsetY)/Ecran)*'Calculs 3D'!$D$32)+(((($D286*$P$4)+'Calculs 3D'!$E$11-OffsetZ)/Ecran)*'Calculs 3D'!$E$32)),0)</f>
        <v>0.12518665552964608</v>
      </c>
      <c r="R286" s="105">
        <f>IF(Body7Actif=TRUE,((((($B286*$R$4)+'Calculs 3D'!$C$12-OffsetX)/Ecran)*'Calculs 3D'!$C$31)+(((($C286*$R$4)+'Calculs 3D'!$D$12-OffsetY)/Ecran)*'Calculs 3D'!$D$31)+(((($D286*$R$4)+'Calculs 3D'!$E$12-OffsetZ)/Ecran)*'Calculs 3D'!$E$31)),0)</f>
        <v>-0.28142162976062457</v>
      </c>
      <c r="S286" s="105">
        <f>IF(Body7Actif=TRUE,((((($B286*$R$4)+'Calculs 3D'!$C$12-OffsetX)/Ecran)*'Calculs 3D'!$C$32)+(((($C286*$R$4)+'Calculs 3D'!$D$12-OffsetY)/Ecran)*'Calculs 3D'!$D$32)+(((($D286*$R$4)+'Calculs 3D'!$E$12-OffsetZ)/Ecran)*'Calculs 3D'!$E$32)),0)</f>
        <v>5.4441838162725409E-2</v>
      </c>
      <c r="T286" s="105">
        <f>IF(Body8Actif=TRUE,((((($B286*$T$4)+'Calculs 3D'!$C$13-OffsetX)/Ecran)*'Calculs 3D'!$C$31)+(((($C286*$T$4)+'Calculs 3D'!$D$13-OffsetY)/Ecran)*'Calculs 3D'!$D$31)+(((($D286*$T$4)+'Calculs 3D'!$E$13-OffsetZ)/Ecran)*'Calculs 3D'!$E$31)),0)</f>
        <v>0.16792438511783381</v>
      </c>
      <c r="U286" s="105">
        <f>IF(Body8Actif=TRUE,((((($B286*$T$4)+'Calculs 3D'!$C$13-OffsetX)/Ecran)*'Calculs 3D'!$C$32)+(((($C286*$T$4)+'Calculs 3D'!$D$13-OffsetY)/Ecran)*'Calculs 3D'!$D$32)+(((($D286*$T$4)+'Calculs 3D'!$E$13-OffsetZ)/Ecran)*'Calculs 3D'!$E$32)),0)</f>
        <v>-0.13342102580709017</v>
      </c>
      <c r="V286" s="105">
        <f>IF(Body9Actif=TRUE,((((($B286*$V$4)+'Calculs 3D'!$C$14-OffsetX)/Ecran)*'Calculs 3D'!$C$31)+(((($C286*$V$4)+'Calculs 3D'!$D$14-OffsetY)/Ecran)*'Calculs 3D'!$D$31)+(((($D286*$V$4)+'Calculs 3D'!$E$14-OffsetZ)/Ecran)*'Calculs 3D'!$E$31)),0)</f>
        <v>-0.17800081931528189</v>
      </c>
      <c r="W286" s="105">
        <f>IF(Body9Actif=TRUE,((((($B286*$V$4)+'Calculs 3D'!$C$14-OffsetX)/Ecran)*'Calculs 3D'!$C$32)+(((($C286*$V$4)+'Calculs 3D'!$D$14-OffsetY)/Ecran)*'Calculs 3D'!$D$32)+(((($D286*$V$4)+'Calculs 3D'!$E$14-OffsetZ)/Ecran)*'Calculs 3D'!$E$32)),0)</f>
        <v>0.28471854546690445</v>
      </c>
      <c r="X286" s="105">
        <f>IF(Body10Actif=TRUE,((((($B286*$X$4)+'Calculs 3D'!$C$15-OffsetX)/Ecran)*'Calculs 3D'!$C$31)+(((($C286*$X$4)+'Calculs 3D'!$D$15-OffsetY)/Ecran)*'Calculs 3D'!$D$31)+(((($D286*$X$4)+'Calculs 3D'!$E$15-OffsetZ)/Ecran)*'Calculs 3D'!$E$31)),0)</f>
        <v>-1.5958568951895791E-2</v>
      </c>
      <c r="Y286" s="105">
        <f>IF(Body10Actif=TRUE,((((($B286*$X$4)+'Calculs 3D'!$C$15-OffsetX)/Ecran)*'Calculs 3D'!$C$32)+(((($C286*$X$4)+'Calculs 3D'!$D$15-OffsetY)/Ecran)*'Calculs 3D'!$D$32)+(((($D286*$X$4)+'Calculs 3D'!$E$15-OffsetZ)/Ecran)*'Calculs 3D'!$E$32)),0)</f>
        <v>0.28657462319293137</v>
      </c>
    </row>
    <row r="287" spans="2:25" x14ac:dyDescent="0.3">
      <c r="B287" s="102">
        <v>-0.41562693777745324</v>
      </c>
      <c r="C287" s="102">
        <v>0.4156269377774533</v>
      </c>
      <c r="D287" s="102">
        <v>-0.80901699437494756</v>
      </c>
      <c r="F287" s="105">
        <f>IF(Body1Actif=TRUE,((((($B287*$F$4)+'Calculs 3D'!$C$6-OffsetX)/Ecran)*'Calculs 3D'!$C$31)+(((($C287*$F$4)+'Calculs 3D'!$D$6-OffsetY)/Ecran)*'Calculs 3D'!$D$31)+(((($D287*$F$4)+'Calculs 3D'!$E$6-OffsetZ)/Ecran)*'Calculs 3D'!$E$31)),0)</f>
        <v>5.0231894459877822E-2</v>
      </c>
      <c r="G287" s="105">
        <f>IF(Body1Actif=TRUE,((((($B287*$F$4)+'Calculs 3D'!$C$6-OffsetX)/Ecran)*'Calculs 3D'!$C$32)+(((($C287*$F$4)+'Calculs 3D'!$D$6-OffsetY)/Ecran)*'Calculs 3D'!$D$32)+(((($D287*$F$4)+'Calculs 3D'!$E$6-OffsetZ)/Ecran)*'Calculs 3D'!$E$32)),0)</f>
        <v>0.26289830067835035</v>
      </c>
      <c r="H287" s="105">
        <f>IF(Body2Actif=TRUE,((((($B287*$H$4)+'Calculs 3D'!$C$7-OffsetX)/Ecran)*'Calculs 3D'!$C$31)+(((($C287*$H$4)+'Calculs 3D'!$D$7-OffsetY)/Ecran)*'Calculs 3D'!$D$31)+(((($D287*$H$4)+'Calculs 3D'!$E$7-OffsetZ)/Ecran)*'Calculs 3D'!$E$31)),0)</f>
        <v>2.3894526742762427E-2</v>
      </c>
      <c r="I287" s="105">
        <f>IF(Body2Actif=TRUE,((((($B287*$H$4)+'Calculs 3D'!$C$7-OffsetX)/Ecran)*'Calculs 3D'!$C$32)+(((($C287*$H$4)+'Calculs 3D'!$D$7-OffsetY)/Ecran)*'Calculs 3D'!$D$32)+(((($D287*$H$4)+'Calculs 3D'!$E$7-OffsetZ)/Ecran)*'Calculs 3D'!$E$32)),0)</f>
        <v>2.6559450541833261E-2</v>
      </c>
      <c r="J287" s="105">
        <f>IF(Body3Actif=TRUE,((((($B287*$J$4)+'Calculs 3D'!$C$8-OffsetX)/Ecran)*'Calculs 3D'!$C$31)+(((($C287*$J$4)+'Calculs 3D'!$D$8-OffsetY)/Ecran)*'Calculs 3D'!$D$31)+(((($D287*$J$4)+'Calculs 3D'!$E$8-OffsetZ)/Ecran)*'Calculs 3D'!$E$31)),0)</f>
        <v>0.21805843836417532</v>
      </c>
      <c r="K287" s="105">
        <f>IF(Body3Actif=TRUE,((((($B287*$J$4)+'Calculs 3D'!$C$8-OffsetX)/Ecran)*'Calculs 3D'!$C$32)+(((($C287*$J$4)+'Calculs 3D'!$D$8-OffsetY)/Ecran)*'Calculs 3D'!$D$32)+(((($D287*$J$4)+'Calculs 3D'!$E$8-OffsetZ)/Ecran)*'Calculs 3D'!$E$32)),0)</f>
        <v>-8.2538491591612695E-2</v>
      </c>
      <c r="L287" s="105">
        <f>IF(Body4Actif=TRUE,((((($B287*$L$4)+'Calculs 3D'!$C$9-OffsetX)/Ecran)*'Calculs 3D'!$C$31)+(((($C287*$L$4)+'Calculs 3D'!$D$9-OffsetY)/Ecran)*'Calculs 3D'!$D$31)+(((($D287*$L$4)+'Calculs 3D'!$E$9-OffsetZ)/Ecran)*'Calculs 3D'!$E$31)),0)</f>
        <v>-9.5308242990931352E-2</v>
      </c>
      <c r="M287" s="105">
        <f>IF(Body4Actif=TRUE,((((($B287*$L$4)+'Calculs 3D'!$C$9-OffsetX)/Ecran)*'Calculs 3D'!$C$32)+(((($C287*$L$4)+'Calculs 3D'!$D$9-OffsetY)/Ecran)*'Calculs 3D'!$D$32)+(((($D287*$L$4)+'Calculs 3D'!$E$9-OffsetZ)/Ecran)*'Calculs 3D'!$E$32)),0)</f>
        <v>-0.17428293296378369</v>
      </c>
      <c r="N287" s="105">
        <f>IF(Body5Actif=TRUE,((((($B287*$N$4)+'Calculs 3D'!$C$10-OffsetX)/Ecran)*'Calculs 3D'!$C$31)+(((($C287*$N$4)+'Calculs 3D'!$D$10-OffsetY)/Ecran)*'Calculs 3D'!$D$31)+(((($D287*$N$4)+'Calculs 3D'!$E$10-OffsetZ)/Ecran)*'Calculs 3D'!$E$31)),0)</f>
        <v>-3.7276323637628131E-5</v>
      </c>
      <c r="O287" s="105">
        <f>IF(Body5Actif=TRUE,((((($B287*$N$4)+'Calculs 3D'!$C$10-OffsetX)/Ecran)*'Calculs 3D'!$C$32)+(((($C287*$N$4)+'Calculs 3D'!$D$10-OffsetY)/Ecran)*'Calculs 3D'!$D$32)+(((($D287*$N$4)+'Calculs 3D'!$E$10-OffsetZ)/Ecran)*'Calculs 3D'!$E$32)),0)</f>
        <v>-7.6764630689309388E-3</v>
      </c>
      <c r="P287" s="105">
        <f>IF(Body6Actif=TRUE,((((($B287*$P$4)+'Calculs 3D'!$C$11-OffsetX)/Ecran)*'Calculs 3D'!$C$31)+(((($C287*$P$4)+'Calculs 3D'!$D$11-OffsetY)/Ecran)*'Calculs 3D'!$D$31)+(((($D287*$P$4)+'Calculs 3D'!$E$11-OffsetZ)/Ecran)*'Calculs 3D'!$E$31)),0)</f>
        <v>0.1693826080804568</v>
      </c>
      <c r="Q287" s="105">
        <f>IF(Body6Actif=TRUE,((((($B287*$P$4)+'Calculs 3D'!$C$11-OffsetX)/Ecran)*'Calculs 3D'!$C$32)+(((($C287*$P$4)+'Calculs 3D'!$D$11-OffsetY)/Ecran)*'Calculs 3D'!$D$32)+(((($D287*$P$4)+'Calculs 3D'!$E$11-OffsetZ)/Ecran)*'Calculs 3D'!$E$32)),0)</f>
        <v>0.12914774520005029</v>
      </c>
      <c r="R287" s="105">
        <f>IF(Body7Actif=TRUE,((((($B287*$R$4)+'Calculs 3D'!$C$12-OffsetX)/Ecran)*'Calculs 3D'!$C$31)+(((($C287*$R$4)+'Calculs 3D'!$D$12-OffsetY)/Ecran)*'Calculs 3D'!$D$31)+(((($D287*$R$4)+'Calculs 3D'!$E$12-OffsetZ)/Ecran)*'Calculs 3D'!$E$31)),0)</f>
        <v>-0.28203800953811048</v>
      </c>
      <c r="S287" s="105">
        <f>IF(Body7Actif=TRUE,((((($B287*$R$4)+'Calculs 3D'!$C$12-OffsetX)/Ecran)*'Calculs 3D'!$C$32)+(((($C287*$R$4)+'Calculs 3D'!$D$12-OffsetY)/Ecran)*'Calculs 3D'!$D$32)+(((($D287*$R$4)+'Calculs 3D'!$E$12-OffsetZ)/Ecran)*'Calculs 3D'!$E$32)),0)</f>
        <v>5.8419815958969945E-2</v>
      </c>
      <c r="T287" s="105">
        <f>IF(Body8Actif=TRUE,((((($B287*$T$4)+'Calculs 3D'!$C$13-OffsetX)/Ecran)*'Calculs 3D'!$C$31)+(((($C287*$T$4)+'Calculs 3D'!$D$13-OffsetY)/Ecran)*'Calculs 3D'!$D$31)+(((($D287*$T$4)+'Calculs 3D'!$E$13-OffsetZ)/Ecran)*'Calculs 3D'!$E$31)),0)</f>
        <v>0.16770208128835895</v>
      </c>
      <c r="U287" s="105">
        <f>IF(Body8Actif=TRUE,((((($B287*$T$4)+'Calculs 3D'!$C$13-OffsetX)/Ecran)*'Calculs 3D'!$C$32)+(((($C287*$T$4)+'Calculs 3D'!$D$13-OffsetY)/Ecran)*'Calculs 3D'!$D$32)+(((($D287*$T$4)+'Calculs 3D'!$E$13-OffsetZ)/Ecran)*'Calculs 3D'!$E$32)),0)</f>
        <v>-0.13198632640589003</v>
      </c>
      <c r="V287" s="105">
        <f>IF(Body9Actif=TRUE,((((($B287*$V$4)+'Calculs 3D'!$C$14-OffsetX)/Ecran)*'Calculs 3D'!$C$31)+(((($C287*$V$4)+'Calculs 3D'!$D$14-OffsetY)/Ecran)*'Calculs 3D'!$D$31)+(((($D287*$V$4)+'Calculs 3D'!$E$14-OffsetZ)/Ecran)*'Calculs 3D'!$E$31)),0)</f>
        <v>-0.1783092694224212</v>
      </c>
      <c r="W287" s="105">
        <f>IF(Body9Actif=TRUE,((((($B287*$V$4)+'Calculs 3D'!$C$14-OffsetX)/Ecran)*'Calculs 3D'!$C$32)+(((($C287*$V$4)+'Calculs 3D'!$D$14-OffsetY)/Ecran)*'Calculs 3D'!$D$32)+(((($D287*$V$4)+'Calculs 3D'!$E$14-OffsetZ)/Ecran)*'Calculs 3D'!$E$32)),0)</f>
        <v>0.28670921375659808</v>
      </c>
      <c r="X287" s="105">
        <f>IF(Body10Actif=TRUE,((((($B287*$X$4)+'Calculs 3D'!$C$15-OffsetX)/Ecran)*'Calculs 3D'!$C$31)+(((($C287*$X$4)+'Calculs 3D'!$D$15-OffsetY)/Ecran)*'Calculs 3D'!$D$31)+(((($D287*$X$4)+'Calculs 3D'!$E$15-OffsetZ)/Ecran)*'Calculs 3D'!$E$31)),0)</f>
        <v>-1.6424160229600776E-2</v>
      </c>
      <c r="Y287" s="105">
        <f>IF(Body10Actif=TRUE,((((($B287*$X$4)+'Calculs 3D'!$C$15-OffsetX)/Ecran)*'Calculs 3D'!$C$32)+(((($C287*$X$4)+'Calculs 3D'!$D$15-OffsetY)/Ecran)*'Calculs 3D'!$D$32)+(((($D287*$X$4)+'Calculs 3D'!$E$15-OffsetZ)/Ecran)*'Calculs 3D'!$E$32)),0)</f>
        <v>0.28957944559705079</v>
      </c>
    </row>
    <row r="288" spans="2:25" x14ac:dyDescent="0.3">
      <c r="B288" s="102">
        <v>-0.57206140281768414</v>
      </c>
      <c r="C288" s="102">
        <v>0.57206140281768425</v>
      </c>
      <c r="D288" s="102">
        <v>-0.58778525229247336</v>
      </c>
      <c r="F288" s="105">
        <f>IF(Body1Actif=TRUE,((((($B288*$F$4)+'Calculs 3D'!$C$6-OffsetX)/Ecran)*'Calculs 3D'!$C$31)+(((($C288*$F$4)+'Calculs 3D'!$D$6-OffsetY)/Ecran)*'Calculs 3D'!$D$31)+(((($D288*$F$4)+'Calculs 3D'!$E$6-OffsetZ)/Ecran)*'Calculs 3D'!$E$31)),0)</f>
        <v>5.0101184249954238E-2</v>
      </c>
      <c r="G288" s="105">
        <f>IF(Body1Actif=TRUE,((((($B288*$F$4)+'Calculs 3D'!$C$6-OffsetX)/Ecran)*'Calculs 3D'!$C$32)+(((($C288*$F$4)+'Calculs 3D'!$D$6-OffsetY)/Ecran)*'Calculs 3D'!$D$32)+(((($D288*$F$4)+'Calculs 3D'!$E$6-OffsetZ)/Ecran)*'Calculs 3D'!$E$32)),0)</f>
        <v>0.26406481812404398</v>
      </c>
      <c r="H288" s="105">
        <f>IF(Body2Actif=TRUE,((((($B288*$H$4)+'Calculs 3D'!$C$7-OffsetX)/Ecran)*'Calculs 3D'!$C$31)+(((($C288*$H$4)+'Calculs 3D'!$D$7-OffsetY)/Ecran)*'Calculs 3D'!$D$31)+(((($D288*$H$4)+'Calculs 3D'!$E$7-OffsetZ)/Ecran)*'Calculs 3D'!$E$31)),0)</f>
        <v>2.3385034494817922E-2</v>
      </c>
      <c r="I288" s="105">
        <f>IF(Body2Actif=TRUE,((((($B288*$H$4)+'Calculs 3D'!$C$7-OffsetX)/Ecran)*'Calculs 3D'!$C$32)+(((($C288*$H$4)+'Calculs 3D'!$D$7-OffsetY)/Ecran)*'Calculs 3D'!$D$32)+(((($D288*$H$4)+'Calculs 3D'!$E$7-OffsetZ)/Ecran)*'Calculs 3D'!$E$32)),0)</f>
        <v>3.1106391412178334E-2</v>
      </c>
      <c r="J288" s="105">
        <f>IF(Body3Actif=TRUE,((((($B288*$J$4)+'Calculs 3D'!$C$8-OffsetX)/Ecran)*'Calculs 3D'!$C$31)+(((($C288*$J$4)+'Calculs 3D'!$D$8-OffsetY)/Ecran)*'Calculs 3D'!$D$31)+(((($D288*$J$4)+'Calculs 3D'!$E$8-OffsetZ)/Ecran)*'Calculs 3D'!$E$31)),0)</f>
        <v>0.21783200869151476</v>
      </c>
      <c r="K288" s="105">
        <f>IF(Body3Actif=TRUE,((((($B288*$J$4)+'Calculs 3D'!$C$8-OffsetX)/Ecran)*'Calculs 3D'!$C$32)+(((($C288*$J$4)+'Calculs 3D'!$D$8-OffsetY)/Ecran)*'Calculs 3D'!$D$32)+(((($D288*$J$4)+'Calculs 3D'!$E$8-OffsetZ)/Ecran)*'Calculs 3D'!$E$32)),0)</f>
        <v>-8.0517730064753879E-2</v>
      </c>
      <c r="L288" s="105">
        <f>IF(Body4Actif=TRUE,((((($B288*$L$4)+'Calculs 3D'!$C$9-OffsetX)/Ecran)*'Calculs 3D'!$C$31)+(((($C288*$L$4)+'Calculs 3D'!$D$9-OffsetY)/Ecran)*'Calculs 3D'!$D$31)+(((($D288*$L$4)+'Calculs 3D'!$E$9-OffsetZ)/Ecran)*'Calculs 3D'!$E$31)),0)</f>
        <v>-9.5602667816942016E-2</v>
      </c>
      <c r="M288" s="105">
        <f>IF(Body4Actif=TRUE,((((($B288*$L$4)+'Calculs 3D'!$C$9-OffsetX)/Ecran)*'Calculs 3D'!$C$32)+(((($C288*$L$4)+'Calculs 3D'!$D$9-OffsetY)/Ecran)*'Calculs 3D'!$D$32)+(((($D288*$L$4)+'Calculs 3D'!$E$9-OffsetZ)/Ecran)*'Calculs 3D'!$E$32)),0)</f>
        <v>-0.17165535171984322</v>
      </c>
      <c r="N288" s="105">
        <f>IF(Body5Actif=TRUE,((((($B288*$N$4)+'Calculs 3D'!$C$10-OffsetX)/Ecran)*'Calculs 3D'!$C$31)+(((($C288*$N$4)+'Calculs 3D'!$D$10-OffsetY)/Ecran)*'Calculs 3D'!$D$31)+(((($D288*$N$4)+'Calculs 3D'!$E$10-OffsetZ)/Ecran)*'Calculs 3D'!$E$31)),0)</f>
        <v>-3.7338929152001821E-4</v>
      </c>
      <c r="O288" s="105">
        <f>IF(Body5Actif=TRUE,((((($B288*$N$4)+'Calculs 3D'!$C$10-OffsetX)/Ecran)*'Calculs 3D'!$C$32)+(((($C288*$N$4)+'Calculs 3D'!$D$10-OffsetY)/Ecran)*'Calculs 3D'!$D$32)+(((($D288*$N$4)+'Calculs 3D'!$E$10-OffsetZ)/Ecran)*'Calculs 3D'!$E$32)),0)</f>
        <v>-4.6768378599447019E-3</v>
      </c>
      <c r="P288" s="105">
        <f>IF(Body6Actif=TRUE,((((($B288*$P$4)+'Calculs 3D'!$C$11-OffsetX)/Ecran)*'Calculs 3D'!$C$31)+(((($C288*$P$4)+'Calculs 3D'!$D$11-OffsetY)/Ecran)*'Calculs 3D'!$D$31)+(((($D288*$P$4)+'Calculs 3D'!$E$11-OffsetZ)/Ecran)*'Calculs 3D'!$E$31)),0)</f>
        <v>0.16889552300910804</v>
      </c>
      <c r="Q288" s="105">
        <f>IF(Body6Actif=TRUE,((((($B288*$P$4)+'Calculs 3D'!$C$11-OffsetX)/Ecran)*'Calculs 3D'!$C$32)+(((($C288*$P$4)+'Calculs 3D'!$D$11-OffsetY)/Ecran)*'Calculs 3D'!$D$32)+(((($D288*$P$4)+'Calculs 3D'!$E$11-OffsetZ)/Ecran)*'Calculs 3D'!$E$32)),0)</f>
        <v>0.13349471422104242</v>
      </c>
      <c r="R288" s="105">
        <f>IF(Body7Actif=TRUE,((((($B288*$R$4)+'Calculs 3D'!$C$12-OffsetX)/Ecran)*'Calculs 3D'!$C$31)+(((($C288*$R$4)+'Calculs 3D'!$D$12-OffsetY)/Ecran)*'Calculs 3D'!$D$31)+(((($D288*$R$4)+'Calculs 3D'!$E$12-OffsetZ)/Ecran)*'Calculs 3D'!$E$31)),0)</f>
        <v>-0.28252717129912397</v>
      </c>
      <c r="S288" s="105">
        <f>IF(Body7Actif=TRUE,((((($B288*$R$4)+'Calculs 3D'!$C$12-OffsetX)/Ecran)*'Calculs 3D'!$C$32)+(((($C288*$R$4)+'Calculs 3D'!$D$12-OffsetY)/Ecran)*'Calculs 3D'!$D$32)+(((($D288*$R$4)+'Calculs 3D'!$E$12-OffsetZ)/Ecran)*'Calculs 3D'!$E$32)),0)</f>
        <v>6.2785318304364859E-2</v>
      </c>
      <c r="T288" s="105">
        <f>IF(Body8Actif=TRUE,((((($B288*$T$4)+'Calculs 3D'!$C$13-OffsetX)/Ecran)*'Calculs 3D'!$C$31)+(((($C288*$T$4)+'Calculs 3D'!$D$13-OffsetY)/Ecran)*'Calculs 3D'!$D$31)+(((($D288*$T$4)+'Calculs 3D'!$E$13-OffsetZ)/Ecran)*'Calculs 3D'!$E$31)),0)</f>
        <v>0.16752565997040225</v>
      </c>
      <c r="U288" s="105">
        <f>IF(Body8Actif=TRUE,((((($B288*$T$4)+'Calculs 3D'!$C$13-OffsetX)/Ecran)*'Calculs 3D'!$C$32)+(((($C288*$T$4)+'Calculs 3D'!$D$13-OffsetY)/Ecran)*'Calculs 3D'!$D$32)+(((($D288*$T$4)+'Calculs 3D'!$E$13-OffsetZ)/Ecran)*'Calculs 3D'!$E$32)),0)</f>
        <v>-0.13041186221285483</v>
      </c>
      <c r="V288" s="105">
        <f>IF(Body9Actif=TRUE,((((($B288*$V$4)+'Calculs 3D'!$C$14-OffsetX)/Ecran)*'Calculs 3D'!$C$31)+(((($C288*$V$4)+'Calculs 3D'!$D$14-OffsetY)/Ecran)*'Calculs 3D'!$D$31)+(((($D288*$V$4)+'Calculs 3D'!$E$14-OffsetZ)/Ecran)*'Calculs 3D'!$E$31)),0)</f>
        <v>-0.17855405681341663</v>
      </c>
      <c r="W288" s="105">
        <f>IF(Body9Actif=TRUE,((((($B288*$V$4)+'Calculs 3D'!$C$14-OffsetX)/Ecran)*'Calculs 3D'!$C$32)+(((($C288*$V$4)+'Calculs 3D'!$D$14-OffsetY)/Ecran)*'Calculs 3D'!$D$32)+(((($D288*$V$4)+'Calculs 3D'!$E$14-OffsetZ)/Ecran)*'Calculs 3D'!$E$32)),0)</f>
        <v>0.28889380792295188</v>
      </c>
      <c r="X288" s="105">
        <f>IF(Body10Actif=TRUE,((((($B288*$X$4)+'Calculs 3D'!$C$15-OffsetX)/Ecran)*'Calculs 3D'!$C$31)+(((($C288*$X$4)+'Calculs 3D'!$D$15-OffsetY)/Ecran)*'Calculs 3D'!$D$31)+(((($D288*$X$4)+'Calculs 3D'!$E$15-OffsetZ)/Ecran)*'Calculs 3D'!$E$31)),0)</f>
        <v>-1.679365555964496E-2</v>
      </c>
      <c r="Y288" s="105">
        <f>IF(Body10Actif=TRUE,((((($B288*$X$4)+'Calculs 3D'!$C$15-OffsetX)/Ecran)*'Calculs 3D'!$C$32)+(((($C288*$X$4)+'Calculs 3D'!$D$15-OffsetY)/Ecran)*'Calculs 3D'!$D$32)+(((($D288*$X$4)+'Calculs 3D'!$E$15-OffsetZ)/Ecran)*'Calculs 3D'!$E$32)),0)</f>
        <v>0.29287699021006053</v>
      </c>
    </row>
    <row r="289" spans="2:25" x14ac:dyDescent="0.3">
      <c r="B289" s="102">
        <v>-0.67249851196395727</v>
      </c>
      <c r="C289" s="102">
        <v>0.67249851196395738</v>
      </c>
      <c r="D289" s="102">
        <v>-0.30901699437494762</v>
      </c>
      <c r="F289" s="105">
        <f>IF(Body1Actif=TRUE,((((($B289*$F$4)+'Calculs 3D'!$C$6-OffsetX)/Ecran)*'Calculs 3D'!$C$31)+(((($C289*$F$4)+'Calculs 3D'!$D$6-OffsetY)/Ecran)*'Calculs 3D'!$D$31)+(((($D289*$F$4)+'Calculs 3D'!$E$6-OffsetZ)/Ecran)*'Calculs 3D'!$E$31)),0)</f>
        <v>5.00172631292648E-2</v>
      </c>
      <c r="G289" s="105">
        <f>IF(Body1Actif=TRUE,((((($B289*$F$4)+'Calculs 3D'!$C$6-OffsetX)/Ecran)*'Calculs 3D'!$C$32)+(((($C289*$F$4)+'Calculs 3D'!$D$6-OffsetY)/Ecran)*'Calculs 3D'!$D$32)+(((($D289*$F$4)+'Calculs 3D'!$E$6-OffsetZ)/Ecran)*'Calculs 3D'!$E$32)),0)</f>
        <v>0.26522070017585825</v>
      </c>
      <c r="H289" s="105">
        <f>IF(Body2Actif=TRUE,((((($B289*$H$4)+'Calculs 3D'!$C$7-OffsetX)/Ecran)*'Calculs 3D'!$C$31)+(((($C289*$H$4)+'Calculs 3D'!$D$7-OffsetY)/Ecran)*'Calculs 3D'!$D$31)+(((($D289*$H$4)+'Calculs 3D'!$E$7-OffsetZ)/Ecran)*'Calculs 3D'!$E$31)),0)</f>
        <v>2.3057920335525575E-2</v>
      </c>
      <c r="I289" s="105">
        <f>IF(Body2Actif=TRUE,((((($B289*$H$4)+'Calculs 3D'!$C$7-OffsetX)/Ecran)*'Calculs 3D'!$C$32)+(((($C289*$H$4)+'Calculs 3D'!$D$7-OffsetY)/Ecran)*'Calculs 3D'!$D$32)+(((($D289*$H$4)+'Calculs 3D'!$E$7-OffsetZ)/Ecran)*'Calculs 3D'!$E$32)),0)</f>
        <v>3.5611876831273599E-2</v>
      </c>
      <c r="J289" s="105">
        <f>IF(Body3Actif=TRUE,((((($B289*$J$4)+'Calculs 3D'!$C$8-OffsetX)/Ecran)*'Calculs 3D'!$C$31)+(((($C289*$J$4)+'Calculs 3D'!$D$8-OffsetY)/Ecran)*'Calculs 3D'!$D$31)+(((($D289*$J$4)+'Calculs 3D'!$E$8-OffsetZ)/Ecran)*'Calculs 3D'!$E$31)),0)</f>
        <v>0.21768663189273121</v>
      </c>
      <c r="K289" s="105">
        <f>IF(Body3Actif=TRUE,((((($B289*$J$4)+'Calculs 3D'!$C$8-OffsetX)/Ecran)*'Calculs 3D'!$C$32)+(((($C289*$J$4)+'Calculs 3D'!$D$8-OffsetY)/Ecran)*'Calculs 3D'!$D$32)+(((($D289*$J$4)+'Calculs 3D'!$E$8-OffsetZ)/Ecran)*'Calculs 3D'!$E$32)),0)</f>
        <v>-7.8515392261306674E-2</v>
      </c>
      <c r="L289" s="105">
        <f>IF(Body4Actif=TRUE,((((($B289*$L$4)+'Calculs 3D'!$C$9-OffsetX)/Ecran)*'Calculs 3D'!$C$31)+(((($C289*$L$4)+'Calculs 3D'!$D$9-OffsetY)/Ecran)*'Calculs 3D'!$D$31)+(((($D289*$L$4)+'Calculs 3D'!$E$9-OffsetZ)/Ecran)*'Calculs 3D'!$E$31)),0)</f>
        <v>-9.5791700191475315E-2</v>
      </c>
      <c r="M289" s="105">
        <f>IF(Body4Actif=TRUE,((((($B289*$L$4)+'Calculs 3D'!$C$9-OffsetX)/Ecran)*'Calculs 3D'!$C$32)+(((($C289*$L$4)+'Calculs 3D'!$D$9-OffsetY)/Ecran)*'Calculs 3D'!$D$32)+(((($D289*$L$4)+'Calculs 3D'!$E$9-OffsetZ)/Ecran)*'Calculs 3D'!$E$32)),0)</f>
        <v>-0.16905172670697532</v>
      </c>
      <c r="N289" s="105">
        <f>IF(Body5Actif=TRUE,((((($B289*$N$4)+'Calculs 3D'!$C$10-OffsetX)/Ecran)*'Calculs 3D'!$C$31)+(((($C289*$N$4)+'Calculs 3D'!$D$10-OffsetY)/Ecran)*'Calculs 3D'!$D$31)+(((($D289*$N$4)+'Calculs 3D'!$E$10-OffsetZ)/Ecran)*'Calculs 3D'!$E$31)),0)</f>
        <v>-5.8918710073040809E-4</v>
      </c>
      <c r="O289" s="105">
        <f>IF(Body5Actif=TRUE,((((($B289*$N$4)+'Calculs 3D'!$C$10-OffsetX)/Ecran)*'Calculs 3D'!$C$32)+(((($C289*$N$4)+'Calculs 3D'!$D$10-OffsetY)/Ecran)*'Calculs 3D'!$D$32)+(((($D289*$N$4)+'Calculs 3D'!$E$10-OffsetZ)/Ecran)*'Calculs 3D'!$E$32)),0)</f>
        <v>-1.7045608879742366E-3</v>
      </c>
      <c r="P289" s="105">
        <f>IF(Body6Actif=TRUE,((((($B289*$P$4)+'Calculs 3D'!$C$11-OffsetX)/Ecran)*'Calculs 3D'!$C$31)+(((($C289*$P$4)+'Calculs 3D'!$D$11-OffsetY)/Ecran)*'Calculs 3D'!$D$31)+(((($D289*$P$4)+'Calculs 3D'!$E$11-OffsetZ)/Ecran)*'Calculs 3D'!$E$31)),0)</f>
        <v>0.16858279514276486</v>
      </c>
      <c r="Q289" s="105">
        <f>IF(Body6Actif=TRUE,((((($B289*$P$4)+'Calculs 3D'!$C$11-OffsetX)/Ecran)*'Calculs 3D'!$C$32)+(((($C289*$P$4)+'Calculs 3D'!$D$11-OffsetY)/Ecran)*'Calculs 3D'!$D$32)+(((($D289*$P$4)+'Calculs 3D'!$E$11-OffsetZ)/Ecran)*'Calculs 3D'!$E$32)),0)</f>
        <v>0.13780205097773357</v>
      </c>
      <c r="R289" s="105">
        <f>IF(Body7Actif=TRUE,((((($B289*$R$4)+'Calculs 3D'!$C$12-OffsetX)/Ecran)*'Calculs 3D'!$C$31)+(((($C289*$R$4)+'Calculs 3D'!$D$12-OffsetY)/Ecran)*'Calculs 3D'!$D$31)+(((($D289*$R$4)+'Calculs 3D'!$E$12-OffsetZ)/Ecran)*'Calculs 3D'!$E$31)),0)</f>
        <v>-0.28284123248230675</v>
      </c>
      <c r="S289" s="105">
        <f>IF(Body7Actif=TRUE,((((($B289*$R$4)+'Calculs 3D'!$C$12-OffsetX)/Ecran)*'Calculs 3D'!$C$32)+(((($C289*$R$4)+'Calculs 3D'!$D$12-OffsetY)/Ecran)*'Calculs 3D'!$D$32)+(((($D289*$R$4)+'Calculs 3D'!$E$12-OffsetZ)/Ecran)*'Calculs 3D'!$E$32)),0)</f>
        <v>6.7111019413099549E-2</v>
      </c>
      <c r="T289" s="105">
        <f>IF(Body8Actif=TRUE,((((($B289*$T$4)+'Calculs 3D'!$C$13-OffsetX)/Ecran)*'Calculs 3D'!$C$31)+(((($C289*$T$4)+'Calculs 3D'!$D$13-OffsetY)/Ecran)*'Calculs 3D'!$D$31)+(((($D289*$T$4)+'Calculs 3D'!$E$13-OffsetZ)/Ecran)*'Calculs 3D'!$E$31)),0)</f>
        <v>0.16741239051176474</v>
      </c>
      <c r="U289" s="105">
        <f>IF(Body8Actif=TRUE,((((($B289*$T$4)+'Calculs 3D'!$C$13-OffsetX)/Ecran)*'Calculs 3D'!$C$32)+(((($C289*$T$4)+'Calculs 3D'!$D$13-OffsetY)/Ecran)*'Calculs 3D'!$D$32)+(((($D289*$T$4)+'Calculs 3D'!$E$13-OffsetZ)/Ecran)*'Calculs 3D'!$E$32)),0)</f>
        <v>-0.12885175275313596</v>
      </c>
      <c r="V289" s="105">
        <f>IF(Body9Actif=TRUE,((((($B289*$V$4)+'Calculs 3D'!$C$14-OffsetX)/Ecran)*'Calculs 3D'!$C$31)+(((($C289*$V$4)+'Calculs 3D'!$D$14-OffsetY)/Ecran)*'Calculs 3D'!$D$31)+(((($D289*$V$4)+'Calculs 3D'!$E$14-OffsetZ)/Ecran)*'Calculs 3D'!$E$31)),0)</f>
        <v>-0.17871121999290338</v>
      </c>
      <c r="W289" s="105">
        <f>IF(Body9Actif=TRUE,((((($B289*$V$4)+'Calculs 3D'!$C$14-OffsetX)/Ecran)*'Calculs 3D'!$C$32)+(((($C289*$V$4)+'Calculs 3D'!$D$14-OffsetY)/Ecran)*'Calculs 3D'!$D$32)+(((($D289*$V$4)+'Calculs 3D'!$E$14-OffsetZ)/Ecran)*'Calculs 3D'!$E$32)),0)</f>
        <v>0.29105848466800061</v>
      </c>
      <c r="X289" s="105">
        <f>IF(Body10Actif=TRUE,((((($B289*$X$4)+'Calculs 3D'!$C$15-OffsetX)/Ecran)*'Calculs 3D'!$C$31)+(((($C289*$X$4)+'Calculs 3D'!$D$15-OffsetY)/Ecran)*'Calculs 3D'!$D$31)+(((($D289*$X$4)+'Calculs 3D'!$E$15-OffsetZ)/Ecran)*'Calculs 3D'!$E$31)),0)</f>
        <v>-1.7030886164698333E-2</v>
      </c>
      <c r="Y289" s="105">
        <f>IF(Body10Actif=TRUE,((((($B289*$X$4)+'Calculs 3D'!$C$15-OffsetX)/Ecran)*'Calculs 3D'!$C$32)+(((($C289*$X$4)+'Calculs 3D'!$D$15-OffsetY)/Ecran)*'Calculs 3D'!$D$32)+(((($D289*$X$4)+'Calculs 3D'!$E$15-OffsetZ)/Ecran)*'Calculs 3D'!$E$32)),0)</f>
        <v>0.29614447038989489</v>
      </c>
    </row>
    <row r="290" spans="2:25" x14ac:dyDescent="0.3">
      <c r="B290" s="103">
        <v>-0.70710678118654746</v>
      </c>
      <c r="C290" s="103">
        <v>0.70710678118654757</v>
      </c>
      <c r="D290" s="103">
        <v>-2.45029690981724E-16</v>
      </c>
      <c r="F290" s="105">
        <f>IF(Body1Actif=TRUE,((((($B290*$F$4)+'Calculs 3D'!$C$6-OffsetX)/Ecran)*'Calculs 3D'!$C$31)+(((($C290*$F$4)+'Calculs 3D'!$D$6-OffsetY)/Ecran)*'Calculs 3D'!$D$31)+(((($D290*$F$4)+'Calculs 3D'!$E$6-OffsetZ)/Ecran)*'Calculs 3D'!$E$31)),0)</f>
        <v>4.9988345881815444E-2</v>
      </c>
      <c r="G290" s="105">
        <f>IF(Body1Actif=TRUE,((((($B290*$F$4)+'Calculs 3D'!$C$6-OffsetX)/Ecran)*'Calculs 3D'!$C$32)+(((($C290*$F$4)+'Calculs 3D'!$D$6-OffsetY)/Ecran)*'Calculs 3D'!$D$32)+(((($D290*$F$4)+'Calculs 3D'!$E$6-OffsetZ)/Ecran)*'Calculs 3D'!$E$32)),0)</f>
        <v>0.26625280104505789</v>
      </c>
      <c r="H290" s="105">
        <f>IF(Body2Actif=TRUE,((((($B290*$H$4)+'Calculs 3D'!$C$7-OffsetX)/Ecran)*'Calculs 3D'!$C$31)+(((($C290*$H$4)+'Calculs 3D'!$D$7-OffsetY)/Ecran)*'Calculs 3D'!$D$31)+(((($D290*$H$4)+'Calculs 3D'!$E$7-OffsetZ)/Ecran)*'Calculs 3D'!$E$31)),0)</f>
        <v>2.2945204477935299E-2</v>
      </c>
      <c r="I290" s="105">
        <f>IF(Body2Actif=TRUE,((((($B290*$H$4)+'Calculs 3D'!$C$7-OffsetX)/Ecran)*'Calculs 3D'!$C$32)+(((($C290*$H$4)+'Calculs 3D'!$D$7-OffsetY)/Ecran)*'Calculs 3D'!$D$32)+(((($D290*$H$4)+'Calculs 3D'!$E$7-OffsetZ)/Ecran)*'Calculs 3D'!$E$32)),0)</f>
        <v>3.963487849473521E-2</v>
      </c>
      <c r="J290" s="105">
        <f>IF(Body3Actif=TRUE,((((($B290*$J$4)+'Calculs 3D'!$C$8-OffsetX)/Ecran)*'Calculs 3D'!$C$31)+(((($C290*$J$4)+'Calculs 3D'!$D$8-OffsetY)/Ecran)*'Calculs 3D'!$D$31)+(((($D290*$J$4)+'Calculs 3D'!$E$8-OffsetZ)/Ecran)*'Calculs 3D'!$E$31)),0)</f>
        <v>0.21763653846178938</v>
      </c>
      <c r="K290" s="105">
        <f>IF(Body3Actif=TRUE,((((($B290*$J$4)+'Calculs 3D'!$C$8-OffsetX)/Ecran)*'Calculs 3D'!$C$32)+(((($C290*$J$4)+'Calculs 3D'!$D$8-OffsetY)/Ecran)*'Calculs 3D'!$D$32)+(((($D290*$J$4)+'Calculs 3D'!$E$8-OffsetZ)/Ecran)*'Calculs 3D'!$E$32)),0)</f>
        <v>-7.6727480956580343E-2</v>
      </c>
      <c r="L290" s="105">
        <f>IF(Body4Actif=TRUE,((((($B290*$L$4)+'Calculs 3D'!$C$9-OffsetX)/Ecran)*'Calculs 3D'!$C$31)+(((($C290*$L$4)+'Calculs 3D'!$D$9-OffsetY)/Ecran)*'Calculs 3D'!$D$31)+(((($D290*$L$4)+'Calculs 3D'!$E$9-OffsetZ)/Ecran)*'Calculs 3D'!$E$31)),0)</f>
        <v>-9.5856836308645998E-2</v>
      </c>
      <c r="M290" s="105">
        <f>IF(Body4Actif=TRUE,((((($B290*$L$4)+'Calculs 3D'!$C$9-OffsetX)/Ecran)*'Calculs 3D'!$C$32)+(((($C290*$L$4)+'Calculs 3D'!$D$9-OffsetY)/Ecran)*'Calculs 3D'!$D$32)+(((($D290*$L$4)+'Calculs 3D'!$E$9-OffsetZ)/Ecran)*'Calculs 3D'!$E$32)),0)</f>
        <v>-0.16672691888196159</v>
      </c>
      <c r="N290" s="105">
        <f>IF(Body5Actif=TRUE,((((($B290*$N$4)+'Calculs 3D'!$C$10-OffsetX)/Ecran)*'Calculs 3D'!$C$31)+(((($C290*$N$4)+'Calculs 3D'!$D$10-OffsetY)/Ecran)*'Calculs 3D'!$D$31)+(((($D290*$N$4)+'Calculs 3D'!$E$10-OffsetZ)/Ecran)*'Calculs 3D'!$E$31)),0)</f>
        <v>-6.6354595815153704E-4</v>
      </c>
      <c r="O290" s="105">
        <f>IF(Body5Actif=TRUE,((((($B290*$N$4)+'Calculs 3D'!$C$10-OffsetX)/Ecran)*'Calculs 3D'!$C$32)+(((($C290*$N$4)+'Calculs 3D'!$D$10-OffsetY)/Ecran)*'Calculs 3D'!$D$32)+(((($D290*$N$4)+'Calculs 3D'!$E$10-OffsetZ)/Ecran)*'Calculs 3D'!$E$32)),0)</f>
        <v>9.4942066789261911E-4</v>
      </c>
      <c r="P290" s="105">
        <f>IF(Body6Actif=TRUE,((((($B290*$P$4)+'Calculs 3D'!$C$11-OffsetX)/Ecran)*'Calculs 3D'!$C$31)+(((($C290*$P$4)+'Calculs 3D'!$D$11-OffsetY)/Ecran)*'Calculs 3D'!$D$31)+(((($D290*$P$4)+'Calculs 3D'!$E$11-OffsetZ)/Ecran)*'Calculs 3D'!$E$31)),0)</f>
        <v>0.16847503646388803</v>
      </c>
      <c r="Q290" s="105">
        <f>IF(Body6Actif=TRUE,((((($B290*$P$4)+'Calculs 3D'!$C$11-OffsetX)/Ecran)*'Calculs 3D'!$C$32)+(((($C290*$P$4)+'Calculs 3D'!$D$11-OffsetY)/Ecran)*'Calculs 3D'!$D$32)+(((($D290*$P$4)+'Calculs 3D'!$E$11-OffsetZ)/Ecran)*'Calculs 3D'!$E$32)),0)</f>
        <v>0.14164812333739898</v>
      </c>
      <c r="R290" s="105">
        <f>IF(Body7Actif=TRUE,((((($B290*$R$4)+'Calculs 3D'!$C$12-OffsetX)/Ecran)*'Calculs 3D'!$C$31)+(((($C290*$R$4)+'Calculs 3D'!$D$12-OffsetY)/Ecran)*'Calculs 3D'!$D$31)+(((($D290*$R$4)+'Calculs 3D'!$E$12-OffsetZ)/Ecran)*'Calculs 3D'!$E$31)),0)</f>
        <v>-0.28294945059085586</v>
      </c>
      <c r="S290" s="105">
        <f>IF(Body7Actif=TRUE,((((($B290*$R$4)+'Calculs 3D'!$C$12-OffsetX)/Ecran)*'Calculs 3D'!$C$32)+(((($C290*$R$4)+'Calculs 3D'!$D$12-OffsetY)/Ecran)*'Calculs 3D'!$D$32)+(((($D290*$R$4)+'Calculs 3D'!$E$12-OffsetZ)/Ecran)*'Calculs 3D'!$E$32)),0)</f>
        <v>7.0973489521719335E-2</v>
      </c>
      <c r="T290" s="105">
        <f>IF(Body8Actif=TRUE,((((($B290*$T$4)+'Calculs 3D'!$C$13-OffsetX)/Ecran)*'Calculs 3D'!$C$31)+(((($C290*$T$4)+'Calculs 3D'!$D$13-OffsetY)/Ecran)*'Calculs 3D'!$D$31)+(((($D290*$T$4)+'Calculs 3D'!$E$13-OffsetZ)/Ecran)*'Calculs 3D'!$E$31)),0)</f>
        <v>0.16737336051625271</v>
      </c>
      <c r="U290" s="105">
        <f>IF(Body8Actif=TRUE,((((($B290*$T$4)+'Calculs 3D'!$C$13-OffsetX)/Ecran)*'Calculs 3D'!$C$32)+(((($C290*$T$4)+'Calculs 3D'!$D$13-OffsetY)/Ecran)*'Calculs 3D'!$D$32)+(((($D290*$T$4)+'Calculs 3D'!$E$13-OffsetZ)/Ecran)*'Calculs 3D'!$E$32)),0)</f>
        <v>-0.12745871241057252</v>
      </c>
      <c r="V290" s="105">
        <f>IF(Body9Actif=TRUE,((((($B290*$V$4)+'Calculs 3D'!$C$14-OffsetX)/Ecran)*'Calculs 3D'!$C$31)+(((($C290*$V$4)+'Calculs 3D'!$D$14-OffsetY)/Ecran)*'Calculs 3D'!$D$31)+(((($D290*$V$4)+'Calculs 3D'!$E$14-OffsetZ)/Ecran)*'Calculs 3D'!$E$31)),0)</f>
        <v>-0.17876537473385309</v>
      </c>
      <c r="W290" s="105">
        <f>IF(Body9Actif=TRUE,((((($B290*$V$4)+'Calculs 3D'!$C$14-OffsetX)/Ecran)*'Calculs 3D'!$C$32)+(((($C290*$V$4)+'Calculs 3D'!$D$14-OffsetY)/Ecran)*'Calculs 3D'!$D$32)+(((($D290*$V$4)+'Calculs 3D'!$E$14-OffsetZ)/Ecran)*'Calculs 3D'!$E$32)),0)</f>
        <v>0.2929913503497491</v>
      </c>
      <c r="X290" s="105">
        <f>IF(Body10Actif=TRUE,((((($B290*$X$4)+'Calculs 3D'!$C$15-OffsetX)/Ecran)*'Calculs 3D'!$C$31)+(((($C290*$X$4)+'Calculs 3D'!$D$15-OffsetY)/Ecran)*'Calculs 3D'!$D$31)+(((($D290*$X$4)+'Calculs 3D'!$E$15-OffsetZ)/Ecran)*'Calculs 3D'!$E$31)),0)</f>
        <v>-1.7112630260255335E-2</v>
      </c>
      <c r="Y290" s="105">
        <f>IF(Body10Actif=TRUE,((((($B290*$X$4)+'Calculs 3D'!$C$15-OffsetX)/Ecran)*'Calculs 3D'!$C$32)+(((($C290*$X$4)+'Calculs 3D'!$D$15-OffsetY)/Ecran)*'Calculs 3D'!$D$32)+(((($D290*$X$4)+'Calculs 3D'!$E$15-OffsetZ)/Ecran)*'Calculs 3D'!$E$32)),0)</f>
        <v>0.29906204241067863</v>
      </c>
    </row>
  </sheetData>
  <mergeCells count="21">
    <mergeCell ref="X4:Y4"/>
    <mergeCell ref="N3:O3"/>
    <mergeCell ref="P3:Q3"/>
    <mergeCell ref="R3:S3"/>
    <mergeCell ref="T3:U3"/>
    <mergeCell ref="V3:W3"/>
    <mergeCell ref="X3:Y3"/>
    <mergeCell ref="N4:O4"/>
    <mergeCell ref="P4:Q4"/>
    <mergeCell ref="R4:S4"/>
    <mergeCell ref="T4:U4"/>
    <mergeCell ref="V4:W4"/>
    <mergeCell ref="B3:D4"/>
    <mergeCell ref="F3:G3"/>
    <mergeCell ref="H3:I3"/>
    <mergeCell ref="J3:K3"/>
    <mergeCell ref="L3:M3"/>
    <mergeCell ref="F4:G4"/>
    <mergeCell ref="H4:I4"/>
    <mergeCell ref="J4:K4"/>
    <mergeCell ref="L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B2:AB56"/>
  <sheetViews>
    <sheetView zoomScale="50" zoomScaleNormal="50" workbookViewId="0">
      <selection activeCell="Q43" sqref="Q43"/>
    </sheetView>
  </sheetViews>
  <sheetFormatPr defaultColWidth="11.5546875" defaultRowHeight="14.4" x14ac:dyDescent="0.3"/>
  <sheetData>
    <row r="2" spans="2:28" x14ac:dyDescent="0.3">
      <c r="B2" s="155" t="s">
        <v>124</v>
      </c>
      <c r="C2" s="155"/>
      <c r="D2" s="155"/>
      <c r="P2" s="155" t="s">
        <v>125</v>
      </c>
      <c r="Q2" s="155"/>
      <c r="R2" s="155"/>
      <c r="S2" s="25"/>
      <c r="T2" s="25"/>
      <c r="U2" s="25"/>
      <c r="V2" s="25"/>
      <c r="W2" s="25"/>
      <c r="X2" s="25"/>
      <c r="Y2" s="25"/>
      <c r="Z2" s="25"/>
      <c r="AA2" s="25"/>
      <c r="AB2" s="25"/>
    </row>
    <row r="3" spans="2:28" x14ac:dyDescent="0.3"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</row>
    <row r="4" spans="2:28" ht="15" thickBot="1" x14ac:dyDescent="0.35">
      <c r="B4" s="60" t="s">
        <v>73</v>
      </c>
      <c r="C4" s="60" t="s">
        <v>76</v>
      </c>
      <c r="D4" s="57" t="s">
        <v>68</v>
      </c>
      <c r="E4" s="57" t="s">
        <v>67</v>
      </c>
      <c r="F4" s="57" t="s">
        <v>91</v>
      </c>
      <c r="G4" s="57" t="s">
        <v>69</v>
      </c>
      <c r="H4" s="57" t="s">
        <v>70</v>
      </c>
      <c r="I4" s="57" t="s">
        <v>92</v>
      </c>
      <c r="J4" s="57" t="s">
        <v>71</v>
      </c>
      <c r="K4" s="57" t="s">
        <v>72</v>
      </c>
      <c r="L4" s="57" t="s">
        <v>93</v>
      </c>
      <c r="M4" s="57" t="s">
        <v>38</v>
      </c>
      <c r="N4" s="57" t="s">
        <v>75</v>
      </c>
      <c r="O4" s="46"/>
      <c r="P4" s="57" t="s">
        <v>73</v>
      </c>
      <c r="Q4" s="57" t="s">
        <v>76</v>
      </c>
      <c r="R4" s="57" t="s">
        <v>68</v>
      </c>
      <c r="S4" s="57" t="s">
        <v>67</v>
      </c>
      <c r="T4" s="57" t="s">
        <v>91</v>
      </c>
      <c r="U4" s="57" t="s">
        <v>69</v>
      </c>
      <c r="V4" s="57" t="s">
        <v>70</v>
      </c>
      <c r="W4" s="57" t="s">
        <v>92</v>
      </c>
      <c r="X4" s="57" t="s">
        <v>71</v>
      </c>
      <c r="Y4" s="57" t="s">
        <v>72</v>
      </c>
      <c r="Z4" s="57" t="s">
        <v>93</v>
      </c>
      <c r="AA4" s="57" t="s">
        <v>38</v>
      </c>
      <c r="AB4" s="57" t="s">
        <v>75</v>
      </c>
    </row>
    <row r="5" spans="2:28" x14ac:dyDescent="0.3">
      <c r="B5" s="58" t="s">
        <v>55</v>
      </c>
      <c r="C5" s="80" t="b">
        <v>1</v>
      </c>
      <c r="D5" s="85">
        <v>0</v>
      </c>
      <c r="E5" s="86">
        <v>0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7">
        <v>50000</v>
      </c>
      <c r="N5" s="88">
        <v>1</v>
      </c>
      <c r="O5" s="46"/>
      <c r="P5" s="57" t="s">
        <v>55</v>
      </c>
      <c r="Q5" s="57" t="b">
        <v>1</v>
      </c>
      <c r="R5" s="57">
        <f t="shared" ref="R5:T14" ca="1" si="0">RAND()*($Q$17-$R$17)+$R$17</f>
        <v>-79279.963200677041</v>
      </c>
      <c r="S5" s="57">
        <f t="shared" ca="1" si="0"/>
        <v>72876.417650445626</v>
      </c>
      <c r="T5" s="57">
        <f t="shared" ca="1" si="0"/>
        <v>-69576.81298456763</v>
      </c>
      <c r="U5" s="57">
        <f t="shared" ref="U5:W14" ca="1" si="1">RAND()*($Q$18-$R$18)+$R$18</f>
        <v>-1894.6294791742321</v>
      </c>
      <c r="V5" s="57">
        <f t="shared" ca="1" si="1"/>
        <v>-1369.5006177883556</v>
      </c>
      <c r="W5" s="57">
        <f t="shared" ca="1" si="1"/>
        <v>-1662.8050215582298</v>
      </c>
      <c r="X5" s="57">
        <f t="shared" ref="X5:Z14" ca="1" si="2">RAND()*($Q$19-$R$19)+$R$19</f>
        <v>0</v>
      </c>
      <c r="Y5" s="57">
        <f t="shared" ca="1" si="2"/>
        <v>0</v>
      </c>
      <c r="Z5" s="57">
        <f t="shared" ca="1" si="2"/>
        <v>0</v>
      </c>
      <c r="AA5" s="57">
        <f t="shared" ref="AA5:AA14" ca="1" si="3">RAND()*($Q$20-$R$20)+$R$20</f>
        <v>6424.6888660884206</v>
      </c>
      <c r="AB5" s="57">
        <f t="shared" ref="AB5:AB14" ca="1" si="4">RAND()*($Q$21-$R$21)+$R$21</f>
        <v>1</v>
      </c>
    </row>
    <row r="6" spans="2:28" x14ac:dyDescent="0.3">
      <c r="B6" s="58" t="s">
        <v>56</v>
      </c>
      <c r="C6" s="80" t="b">
        <v>1</v>
      </c>
      <c r="D6" s="89">
        <v>0</v>
      </c>
      <c r="E6" s="17">
        <v>500000</v>
      </c>
      <c r="F6" s="17">
        <v>0</v>
      </c>
      <c r="G6" s="17">
        <v>31000</v>
      </c>
      <c r="H6" s="17">
        <v>0</v>
      </c>
      <c r="I6" s="17">
        <v>10000</v>
      </c>
      <c r="J6" s="17">
        <v>0</v>
      </c>
      <c r="K6" s="17">
        <v>0</v>
      </c>
      <c r="L6" s="17">
        <v>0</v>
      </c>
      <c r="M6" s="18">
        <v>5000</v>
      </c>
      <c r="N6" s="90">
        <v>1</v>
      </c>
      <c r="O6" s="46"/>
      <c r="P6" s="58" t="s">
        <v>56</v>
      </c>
      <c r="Q6" s="58" t="b">
        <v>1</v>
      </c>
      <c r="R6" s="58">
        <f t="shared" ca="1" si="0"/>
        <v>98449.02982656745</v>
      </c>
      <c r="S6" s="58">
        <f t="shared" ca="1" si="0"/>
        <v>60408.369930037908</v>
      </c>
      <c r="T6" s="58">
        <f t="shared" ca="1" si="0"/>
        <v>43745.523478416828</v>
      </c>
      <c r="U6" s="58">
        <f t="shared" ca="1" si="1"/>
        <v>181.80557492547268</v>
      </c>
      <c r="V6" s="58">
        <f t="shared" ca="1" si="1"/>
        <v>96.658078944506542</v>
      </c>
      <c r="W6" s="58">
        <f t="shared" ca="1" si="1"/>
        <v>1574.2978033532725</v>
      </c>
      <c r="X6" s="58">
        <f t="shared" ca="1" si="2"/>
        <v>0</v>
      </c>
      <c r="Y6" s="58">
        <f t="shared" ca="1" si="2"/>
        <v>0</v>
      </c>
      <c r="Z6" s="58">
        <f t="shared" ca="1" si="2"/>
        <v>0</v>
      </c>
      <c r="AA6" s="58">
        <f t="shared" ca="1" si="3"/>
        <v>5420.9627318744269</v>
      </c>
      <c r="AB6" s="58">
        <f t="shared" ca="1" si="4"/>
        <v>1</v>
      </c>
    </row>
    <row r="7" spans="2:28" x14ac:dyDescent="0.3">
      <c r="B7" s="58" t="s">
        <v>57</v>
      </c>
      <c r="C7" s="80" t="b">
        <v>1</v>
      </c>
      <c r="D7" s="89">
        <v>0</v>
      </c>
      <c r="E7" s="17">
        <v>515000</v>
      </c>
      <c r="F7" s="17">
        <v>0</v>
      </c>
      <c r="G7" s="17">
        <v>37000</v>
      </c>
      <c r="H7" s="17">
        <v>0</v>
      </c>
      <c r="I7" s="17">
        <v>10000</v>
      </c>
      <c r="J7" s="17">
        <v>0</v>
      </c>
      <c r="K7" s="17">
        <v>0</v>
      </c>
      <c r="L7" s="17">
        <v>0</v>
      </c>
      <c r="M7" s="18">
        <v>2000</v>
      </c>
      <c r="N7" s="90">
        <v>0.5</v>
      </c>
      <c r="O7" s="46"/>
      <c r="P7" s="58" t="s">
        <v>57</v>
      </c>
      <c r="Q7" s="58" t="b">
        <v>1</v>
      </c>
      <c r="R7" s="58">
        <f t="shared" ca="1" si="0"/>
        <v>65129.689022423823</v>
      </c>
      <c r="S7" s="58">
        <f t="shared" ca="1" si="0"/>
        <v>497.71464037979604</v>
      </c>
      <c r="T7" s="58">
        <f t="shared" ca="1" si="0"/>
        <v>-10388.148203415156</v>
      </c>
      <c r="U7" s="58">
        <f t="shared" ca="1" si="1"/>
        <v>-1489.2305745869194</v>
      </c>
      <c r="V7" s="58">
        <f t="shared" ca="1" si="1"/>
        <v>1690.61467593205</v>
      </c>
      <c r="W7" s="58">
        <f t="shared" ca="1" si="1"/>
        <v>879.11440585488435</v>
      </c>
      <c r="X7" s="58">
        <f t="shared" ca="1" si="2"/>
        <v>0</v>
      </c>
      <c r="Y7" s="58">
        <f t="shared" ca="1" si="2"/>
        <v>0</v>
      </c>
      <c r="Z7" s="58">
        <f t="shared" ca="1" si="2"/>
        <v>0</v>
      </c>
      <c r="AA7" s="58">
        <f t="shared" ca="1" si="3"/>
        <v>6770.1457844059769</v>
      </c>
      <c r="AB7" s="58">
        <f t="shared" ca="1" si="4"/>
        <v>1</v>
      </c>
    </row>
    <row r="8" spans="2:28" x14ac:dyDescent="0.3">
      <c r="B8" s="58" t="s">
        <v>60</v>
      </c>
      <c r="C8" s="80" t="b">
        <v>0</v>
      </c>
      <c r="D8" s="89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8">
        <v>5000</v>
      </c>
      <c r="N8" s="90">
        <v>1</v>
      </c>
      <c r="O8" s="26"/>
      <c r="P8" s="58" t="s">
        <v>60</v>
      </c>
      <c r="Q8" s="58" t="b">
        <v>1</v>
      </c>
      <c r="R8" s="58">
        <f t="shared" ca="1" si="0"/>
        <v>66978.50606720832</v>
      </c>
      <c r="S8" s="58">
        <f t="shared" ca="1" si="0"/>
        <v>87021.987014367696</v>
      </c>
      <c r="T8" s="58">
        <f t="shared" ca="1" si="0"/>
        <v>31011.90515733698</v>
      </c>
      <c r="U8" s="58">
        <f t="shared" ca="1" si="1"/>
        <v>406.79447988052925</v>
      </c>
      <c r="V8" s="58">
        <f t="shared" ca="1" si="1"/>
        <v>746.78214107625422</v>
      </c>
      <c r="W8" s="58">
        <f t="shared" ca="1" si="1"/>
        <v>665.87026342350441</v>
      </c>
      <c r="X8" s="58">
        <f t="shared" ca="1" si="2"/>
        <v>0</v>
      </c>
      <c r="Y8" s="58">
        <f t="shared" ca="1" si="2"/>
        <v>0</v>
      </c>
      <c r="Z8" s="58">
        <f t="shared" ca="1" si="2"/>
        <v>0</v>
      </c>
      <c r="AA8" s="58">
        <f t="shared" ca="1" si="3"/>
        <v>2131.0920660282645</v>
      </c>
      <c r="AB8" s="58">
        <f t="shared" ca="1" si="4"/>
        <v>1</v>
      </c>
    </row>
    <row r="9" spans="2:28" x14ac:dyDescent="0.3">
      <c r="B9" s="58" t="s">
        <v>61</v>
      </c>
      <c r="C9" s="80" t="b">
        <v>0</v>
      </c>
      <c r="D9" s="89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8">
        <v>5000</v>
      </c>
      <c r="N9" s="90">
        <v>1</v>
      </c>
      <c r="O9" s="26"/>
      <c r="P9" s="58" t="s">
        <v>61</v>
      </c>
      <c r="Q9" s="58" t="b">
        <v>1</v>
      </c>
      <c r="R9" s="58">
        <f t="shared" ca="1" si="0"/>
        <v>21189.273574811567</v>
      </c>
      <c r="S9" s="58">
        <f t="shared" ca="1" si="0"/>
        <v>-2800.1229179199727</v>
      </c>
      <c r="T9" s="58">
        <f t="shared" ca="1" si="0"/>
        <v>-23836.891500801838</v>
      </c>
      <c r="U9" s="58">
        <f t="shared" ca="1" si="1"/>
        <v>413.2297910566524</v>
      </c>
      <c r="V9" s="58">
        <f t="shared" ca="1" si="1"/>
        <v>1301.5244424875596</v>
      </c>
      <c r="W9" s="58">
        <f t="shared" ca="1" si="1"/>
        <v>-1117.9074686199192</v>
      </c>
      <c r="X9" s="58">
        <f t="shared" ca="1" si="2"/>
        <v>0</v>
      </c>
      <c r="Y9" s="58">
        <f t="shared" ca="1" si="2"/>
        <v>0</v>
      </c>
      <c r="Z9" s="58">
        <f t="shared" ca="1" si="2"/>
        <v>0</v>
      </c>
      <c r="AA9" s="58">
        <f t="shared" ca="1" si="3"/>
        <v>6982.468876210035</v>
      </c>
      <c r="AB9" s="58">
        <f t="shared" ca="1" si="4"/>
        <v>1</v>
      </c>
    </row>
    <row r="10" spans="2:28" x14ac:dyDescent="0.3">
      <c r="B10" s="58" t="s">
        <v>62</v>
      </c>
      <c r="C10" s="80" t="b">
        <v>0</v>
      </c>
      <c r="D10" s="89">
        <v>0</v>
      </c>
      <c r="E10" s="17">
        <v>0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8">
        <v>5000</v>
      </c>
      <c r="N10" s="90">
        <v>1</v>
      </c>
      <c r="O10" s="26"/>
      <c r="P10" s="58" t="s">
        <v>62</v>
      </c>
      <c r="Q10" s="58" t="b">
        <v>1</v>
      </c>
      <c r="R10" s="58">
        <f t="shared" ca="1" si="0"/>
        <v>-53807.675099635584</v>
      </c>
      <c r="S10" s="58">
        <f t="shared" ca="1" si="0"/>
        <v>34270.761302661136</v>
      </c>
      <c r="T10" s="58">
        <f t="shared" ca="1" si="0"/>
        <v>-87146.269966446358</v>
      </c>
      <c r="U10" s="58">
        <f t="shared" ca="1" si="1"/>
        <v>767.00504895252448</v>
      </c>
      <c r="V10" s="58">
        <f t="shared" ca="1" si="1"/>
        <v>-849.75400275373795</v>
      </c>
      <c r="W10" s="58">
        <f t="shared" ca="1" si="1"/>
        <v>-987.89486444210934</v>
      </c>
      <c r="X10" s="58">
        <f t="shared" ca="1" si="2"/>
        <v>0</v>
      </c>
      <c r="Y10" s="58">
        <f t="shared" ca="1" si="2"/>
        <v>0</v>
      </c>
      <c r="Z10" s="58">
        <f t="shared" ca="1" si="2"/>
        <v>0</v>
      </c>
      <c r="AA10" s="58">
        <f t="shared" ca="1" si="3"/>
        <v>5491.2755146188902</v>
      </c>
      <c r="AB10" s="58">
        <f t="shared" ca="1" si="4"/>
        <v>1</v>
      </c>
    </row>
    <row r="11" spans="2:28" x14ac:dyDescent="0.3">
      <c r="B11" s="58" t="s">
        <v>63</v>
      </c>
      <c r="C11" s="80" t="b">
        <v>0</v>
      </c>
      <c r="D11" s="89">
        <v>0</v>
      </c>
      <c r="E11" s="17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17">
        <v>0</v>
      </c>
      <c r="L11" s="17">
        <v>0</v>
      </c>
      <c r="M11" s="18">
        <v>5000</v>
      </c>
      <c r="N11" s="90">
        <v>1</v>
      </c>
      <c r="O11" s="26"/>
      <c r="P11" s="58" t="s">
        <v>63</v>
      </c>
      <c r="Q11" s="58" t="b">
        <v>1</v>
      </c>
      <c r="R11" s="58">
        <f t="shared" ca="1" si="0"/>
        <v>-42278.175658016611</v>
      </c>
      <c r="S11" s="58">
        <f t="shared" ca="1" si="0"/>
        <v>72758.903683170734</v>
      </c>
      <c r="T11" s="58">
        <f t="shared" ca="1" si="0"/>
        <v>97640.491724262873</v>
      </c>
      <c r="U11" s="58">
        <f t="shared" ca="1" si="1"/>
        <v>1659.9575218712102</v>
      </c>
      <c r="V11" s="58">
        <f t="shared" ca="1" si="1"/>
        <v>276.05126145129634</v>
      </c>
      <c r="W11" s="58">
        <f t="shared" ca="1" si="1"/>
        <v>902.88474008062008</v>
      </c>
      <c r="X11" s="58">
        <f t="shared" ca="1" si="2"/>
        <v>0</v>
      </c>
      <c r="Y11" s="58">
        <f t="shared" ca="1" si="2"/>
        <v>0</v>
      </c>
      <c r="Z11" s="58">
        <f t="shared" ca="1" si="2"/>
        <v>0</v>
      </c>
      <c r="AA11" s="58">
        <f t="shared" ca="1" si="3"/>
        <v>1766.0409956319272</v>
      </c>
      <c r="AB11" s="58">
        <f t="shared" ca="1" si="4"/>
        <v>1</v>
      </c>
    </row>
    <row r="12" spans="2:28" x14ac:dyDescent="0.3">
      <c r="B12" s="58" t="s">
        <v>64</v>
      </c>
      <c r="C12" s="80" t="b">
        <v>0</v>
      </c>
      <c r="D12" s="89">
        <v>0</v>
      </c>
      <c r="E12" s="17">
        <v>0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8">
        <v>5000</v>
      </c>
      <c r="N12" s="90">
        <v>1</v>
      </c>
      <c r="O12" s="26"/>
      <c r="P12" s="58" t="s">
        <v>64</v>
      </c>
      <c r="Q12" s="58" t="b">
        <v>1</v>
      </c>
      <c r="R12" s="58">
        <f t="shared" ca="1" si="0"/>
        <v>22755.933503626104</v>
      </c>
      <c r="S12" s="58">
        <f t="shared" ca="1" si="0"/>
        <v>-78605.774655645539</v>
      </c>
      <c r="T12" s="58">
        <f t="shared" ca="1" si="0"/>
        <v>86289.786941724306</v>
      </c>
      <c r="U12" s="58">
        <f t="shared" ca="1" si="1"/>
        <v>1090.7750912660786</v>
      </c>
      <c r="V12" s="58">
        <f t="shared" ca="1" si="1"/>
        <v>1567.0374498172239</v>
      </c>
      <c r="W12" s="58">
        <f t="shared" ca="1" si="1"/>
        <v>-1213.6658698486913</v>
      </c>
      <c r="X12" s="58">
        <f t="shared" ca="1" si="2"/>
        <v>0</v>
      </c>
      <c r="Y12" s="58">
        <f t="shared" ca="1" si="2"/>
        <v>0</v>
      </c>
      <c r="Z12" s="58">
        <f t="shared" ca="1" si="2"/>
        <v>0</v>
      </c>
      <c r="AA12" s="58">
        <f t="shared" ca="1" si="3"/>
        <v>1605.0979075399619</v>
      </c>
      <c r="AB12" s="58">
        <f t="shared" ca="1" si="4"/>
        <v>1</v>
      </c>
    </row>
    <row r="13" spans="2:28" x14ac:dyDescent="0.3">
      <c r="B13" s="58" t="s">
        <v>65</v>
      </c>
      <c r="C13" s="80" t="b">
        <v>0</v>
      </c>
      <c r="D13" s="89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8">
        <v>5000</v>
      </c>
      <c r="N13" s="90">
        <v>1</v>
      </c>
      <c r="P13" s="58" t="s">
        <v>65</v>
      </c>
      <c r="Q13" s="58" t="b">
        <v>1</v>
      </c>
      <c r="R13" s="58">
        <f t="shared" ca="1" si="0"/>
        <v>38167.513823445341</v>
      </c>
      <c r="S13" s="58">
        <f t="shared" ca="1" si="0"/>
        <v>724.07467529721907</v>
      </c>
      <c r="T13" s="58">
        <f t="shared" ca="1" si="0"/>
        <v>94893.092216657358</v>
      </c>
      <c r="U13" s="58">
        <f t="shared" ca="1" si="1"/>
        <v>-772.31860666829743</v>
      </c>
      <c r="V13" s="58">
        <f t="shared" ca="1" si="1"/>
        <v>1814.9928907295032</v>
      </c>
      <c r="W13" s="58">
        <f t="shared" ca="1" si="1"/>
        <v>-91.166848327537537</v>
      </c>
      <c r="X13" s="58">
        <f t="shared" ca="1" si="2"/>
        <v>0</v>
      </c>
      <c r="Y13" s="58">
        <f t="shared" ca="1" si="2"/>
        <v>0</v>
      </c>
      <c r="Z13" s="58">
        <f t="shared" ca="1" si="2"/>
        <v>0</v>
      </c>
      <c r="AA13" s="58">
        <f t="shared" ca="1" si="3"/>
        <v>2559.3652840399036</v>
      </c>
      <c r="AB13" s="58">
        <f t="shared" ca="1" si="4"/>
        <v>1</v>
      </c>
    </row>
    <row r="14" spans="2:28" ht="15" thickBot="1" x14ac:dyDescent="0.35">
      <c r="B14" s="59" t="s">
        <v>66</v>
      </c>
      <c r="C14" s="81" t="b">
        <v>0</v>
      </c>
      <c r="D14" s="91">
        <v>0</v>
      </c>
      <c r="E14" s="92">
        <v>0</v>
      </c>
      <c r="F14" s="92">
        <v>0</v>
      </c>
      <c r="G14" s="92">
        <v>0</v>
      </c>
      <c r="H14" s="92">
        <v>0</v>
      </c>
      <c r="I14" s="92">
        <v>0</v>
      </c>
      <c r="J14" s="92">
        <v>0</v>
      </c>
      <c r="K14" s="92">
        <v>0</v>
      </c>
      <c r="L14" s="92">
        <v>0</v>
      </c>
      <c r="M14" s="93">
        <v>5000</v>
      </c>
      <c r="N14" s="94">
        <v>1</v>
      </c>
      <c r="P14" s="59" t="s">
        <v>66</v>
      </c>
      <c r="Q14" s="59" t="b">
        <v>1</v>
      </c>
      <c r="R14" s="59">
        <f t="shared" ca="1" si="0"/>
        <v>83566.998208291319</v>
      </c>
      <c r="S14" s="59">
        <f t="shared" ca="1" si="0"/>
        <v>16691.498238258544</v>
      </c>
      <c r="T14" s="59">
        <f t="shared" ca="1" si="0"/>
        <v>-22554.276236912381</v>
      </c>
      <c r="U14" s="59">
        <f t="shared" ca="1" si="1"/>
        <v>681.49186824665094</v>
      </c>
      <c r="V14" s="59">
        <f t="shared" ca="1" si="1"/>
        <v>-1577.7635671424691</v>
      </c>
      <c r="W14" s="59">
        <f t="shared" ca="1" si="1"/>
        <v>-816.53994278636674</v>
      </c>
      <c r="X14" s="59">
        <f t="shared" ca="1" si="2"/>
        <v>0</v>
      </c>
      <c r="Y14" s="59">
        <f t="shared" ca="1" si="2"/>
        <v>0</v>
      </c>
      <c r="Z14" s="59">
        <f t="shared" ca="1" si="2"/>
        <v>0</v>
      </c>
      <c r="AA14" s="59">
        <f t="shared" ca="1" si="3"/>
        <v>2523.4672106297739</v>
      </c>
      <c r="AB14" s="59">
        <f t="shared" ca="1" si="4"/>
        <v>1</v>
      </c>
    </row>
    <row r="16" spans="2:28" x14ac:dyDescent="0.3">
      <c r="B16" s="155" t="s">
        <v>131</v>
      </c>
      <c r="C16" s="155"/>
      <c r="D16" s="155"/>
      <c r="P16" s="99"/>
      <c r="Q16" s="60" t="s">
        <v>129</v>
      </c>
      <c r="R16" s="60" t="s">
        <v>130</v>
      </c>
    </row>
    <row r="17" spans="2:18" x14ac:dyDescent="0.3">
      <c r="P17" s="100" t="s">
        <v>126</v>
      </c>
      <c r="Q17" s="14">
        <v>-100000</v>
      </c>
      <c r="R17" s="14">
        <v>100000</v>
      </c>
    </row>
    <row r="18" spans="2:18" ht="15" thickBot="1" x14ac:dyDescent="0.35">
      <c r="B18" s="60" t="s">
        <v>73</v>
      </c>
      <c r="C18" s="60" t="s">
        <v>76</v>
      </c>
      <c r="D18" s="57" t="s">
        <v>68</v>
      </c>
      <c r="E18" s="57" t="s">
        <v>67</v>
      </c>
      <c r="F18" s="57" t="s">
        <v>91</v>
      </c>
      <c r="G18" s="57" t="s">
        <v>69</v>
      </c>
      <c r="H18" s="57" t="s">
        <v>70</v>
      </c>
      <c r="I18" s="57" t="s">
        <v>92</v>
      </c>
      <c r="J18" s="57" t="s">
        <v>71</v>
      </c>
      <c r="K18" s="57" t="s">
        <v>72</v>
      </c>
      <c r="L18" s="57" t="s">
        <v>93</v>
      </c>
      <c r="M18" s="57" t="s">
        <v>38</v>
      </c>
      <c r="N18" s="57" t="s">
        <v>75</v>
      </c>
      <c r="P18" s="100" t="s">
        <v>127</v>
      </c>
      <c r="Q18" s="14">
        <v>-2000</v>
      </c>
      <c r="R18" s="14">
        <v>2000</v>
      </c>
    </row>
    <row r="19" spans="2:18" x14ac:dyDescent="0.3">
      <c r="B19" s="57" t="s">
        <v>55</v>
      </c>
      <c r="C19" s="79" t="b">
        <v>1</v>
      </c>
      <c r="D19" s="85">
        <v>-50000</v>
      </c>
      <c r="E19" s="86">
        <v>0</v>
      </c>
      <c r="F19" s="86">
        <v>0</v>
      </c>
      <c r="G19" s="86">
        <v>0</v>
      </c>
      <c r="H19" s="86">
        <v>17000</v>
      </c>
      <c r="I19" s="86">
        <v>0</v>
      </c>
      <c r="J19" s="86">
        <v>0</v>
      </c>
      <c r="K19" s="86">
        <v>0</v>
      </c>
      <c r="L19" s="86">
        <v>0</v>
      </c>
      <c r="M19" s="87">
        <v>25000</v>
      </c>
      <c r="N19" s="88">
        <v>1</v>
      </c>
      <c r="P19" s="100" t="s">
        <v>128</v>
      </c>
      <c r="Q19" s="14">
        <v>0</v>
      </c>
      <c r="R19" s="14">
        <v>0</v>
      </c>
    </row>
    <row r="20" spans="2:18" x14ac:dyDescent="0.3">
      <c r="B20" s="58" t="s">
        <v>56</v>
      </c>
      <c r="C20" s="80" t="b">
        <v>1</v>
      </c>
      <c r="D20" s="89">
        <v>50000</v>
      </c>
      <c r="E20" s="17">
        <v>0</v>
      </c>
      <c r="F20" s="17">
        <v>0</v>
      </c>
      <c r="G20" s="17">
        <v>0</v>
      </c>
      <c r="H20" s="17">
        <v>-17000</v>
      </c>
      <c r="I20" s="17">
        <v>0</v>
      </c>
      <c r="J20" s="17">
        <v>0</v>
      </c>
      <c r="K20" s="17">
        <v>0</v>
      </c>
      <c r="L20" s="17">
        <v>0</v>
      </c>
      <c r="M20" s="18">
        <v>25000</v>
      </c>
      <c r="N20" s="90">
        <v>1</v>
      </c>
      <c r="P20" s="100" t="s">
        <v>38</v>
      </c>
      <c r="Q20" s="14">
        <v>1000</v>
      </c>
      <c r="R20" s="14">
        <v>7500</v>
      </c>
    </row>
    <row r="21" spans="2:18" x14ac:dyDescent="0.3">
      <c r="B21" s="58" t="s">
        <v>57</v>
      </c>
      <c r="C21" s="80" t="b">
        <v>1</v>
      </c>
      <c r="D21" s="89">
        <v>0</v>
      </c>
      <c r="E21" s="17">
        <v>450000</v>
      </c>
      <c r="F21" s="17">
        <v>0</v>
      </c>
      <c r="G21" s="17">
        <v>-17000</v>
      </c>
      <c r="H21" s="17">
        <v>0</v>
      </c>
      <c r="I21" s="17">
        <v>5000</v>
      </c>
      <c r="J21" s="17">
        <v>0</v>
      </c>
      <c r="K21" s="17">
        <v>0</v>
      </c>
      <c r="L21" s="17">
        <v>0</v>
      </c>
      <c r="M21" s="18">
        <v>5000</v>
      </c>
      <c r="N21" s="90">
        <v>1</v>
      </c>
      <c r="P21" s="100" t="s">
        <v>75</v>
      </c>
      <c r="Q21" s="14">
        <v>1</v>
      </c>
      <c r="R21" s="14">
        <v>1</v>
      </c>
    </row>
    <row r="22" spans="2:18" x14ac:dyDescent="0.3">
      <c r="B22" s="58" t="s">
        <v>60</v>
      </c>
      <c r="C22" s="80" t="b">
        <v>1</v>
      </c>
      <c r="D22" s="89">
        <v>0</v>
      </c>
      <c r="E22" s="17">
        <v>250000</v>
      </c>
      <c r="F22" s="17">
        <v>0</v>
      </c>
      <c r="G22" s="17">
        <v>23000</v>
      </c>
      <c r="H22" s="17">
        <v>0</v>
      </c>
      <c r="I22" s="17">
        <v>-5000</v>
      </c>
      <c r="J22" s="17">
        <v>0</v>
      </c>
      <c r="K22" s="17">
        <v>0</v>
      </c>
      <c r="L22" s="17">
        <v>0</v>
      </c>
      <c r="M22" s="18">
        <v>5000</v>
      </c>
      <c r="N22" s="90">
        <v>1</v>
      </c>
      <c r="P22" s="99"/>
    </row>
    <row r="23" spans="2:18" x14ac:dyDescent="0.3">
      <c r="B23" s="58" t="s">
        <v>61</v>
      </c>
      <c r="C23" s="80" t="b">
        <v>0</v>
      </c>
      <c r="D23" s="89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8">
        <v>5000</v>
      </c>
      <c r="N23" s="90">
        <v>1</v>
      </c>
      <c r="P23" s="99"/>
    </row>
    <row r="24" spans="2:18" x14ac:dyDescent="0.3">
      <c r="B24" s="58" t="s">
        <v>62</v>
      </c>
      <c r="C24" s="80" t="b">
        <v>0</v>
      </c>
      <c r="D24" s="89">
        <v>0</v>
      </c>
      <c r="E24" s="17">
        <v>0</v>
      </c>
      <c r="F24" s="17">
        <v>0</v>
      </c>
      <c r="G24" s="17">
        <v>0</v>
      </c>
      <c r="H24" s="17">
        <v>0</v>
      </c>
      <c r="I24" s="17">
        <v>0</v>
      </c>
      <c r="J24" s="17">
        <v>0</v>
      </c>
      <c r="K24" s="17">
        <v>0</v>
      </c>
      <c r="L24" s="17">
        <v>0</v>
      </c>
      <c r="M24" s="18">
        <v>5000</v>
      </c>
      <c r="N24" s="90">
        <v>1</v>
      </c>
      <c r="P24" s="99"/>
    </row>
    <row r="25" spans="2:18" x14ac:dyDescent="0.3">
      <c r="B25" s="58" t="s">
        <v>63</v>
      </c>
      <c r="C25" s="80" t="b">
        <v>0</v>
      </c>
      <c r="D25" s="89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8">
        <v>5000</v>
      </c>
      <c r="N25" s="90">
        <v>1</v>
      </c>
    </row>
    <row r="26" spans="2:18" x14ac:dyDescent="0.3">
      <c r="B26" s="58" t="s">
        <v>64</v>
      </c>
      <c r="C26" s="80" t="b">
        <v>0</v>
      </c>
      <c r="D26" s="89">
        <v>0</v>
      </c>
      <c r="E26" s="17">
        <v>0</v>
      </c>
      <c r="F26" s="17">
        <v>0</v>
      </c>
      <c r="G26" s="17">
        <v>0</v>
      </c>
      <c r="H26" s="17">
        <v>0</v>
      </c>
      <c r="I26" s="17">
        <v>0</v>
      </c>
      <c r="J26" s="17">
        <v>0</v>
      </c>
      <c r="K26" s="17">
        <v>0</v>
      </c>
      <c r="L26" s="17">
        <v>0</v>
      </c>
      <c r="M26" s="18">
        <v>5000</v>
      </c>
      <c r="N26" s="90">
        <v>1</v>
      </c>
    </row>
    <row r="27" spans="2:18" x14ac:dyDescent="0.3">
      <c r="B27" s="58" t="s">
        <v>65</v>
      </c>
      <c r="C27" s="80" t="b">
        <v>0</v>
      </c>
      <c r="D27" s="89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8">
        <v>5000</v>
      </c>
      <c r="N27" s="90">
        <v>1</v>
      </c>
    </row>
    <row r="28" spans="2:18" ht="15" thickBot="1" x14ac:dyDescent="0.35">
      <c r="B28" s="59" t="s">
        <v>66</v>
      </c>
      <c r="C28" s="81" t="b">
        <v>0</v>
      </c>
      <c r="D28" s="91">
        <v>0</v>
      </c>
      <c r="E28" s="92">
        <v>0</v>
      </c>
      <c r="F28" s="92">
        <v>0</v>
      </c>
      <c r="G28" s="92">
        <v>0</v>
      </c>
      <c r="H28" s="92">
        <v>0</v>
      </c>
      <c r="I28" s="92">
        <v>0</v>
      </c>
      <c r="J28" s="92">
        <v>0</v>
      </c>
      <c r="K28" s="92">
        <v>0</v>
      </c>
      <c r="L28" s="92">
        <v>0</v>
      </c>
      <c r="M28" s="93">
        <v>5000</v>
      </c>
      <c r="N28" s="94">
        <v>1</v>
      </c>
    </row>
    <row r="30" spans="2:18" x14ac:dyDescent="0.3">
      <c r="B30" s="155" t="s">
        <v>132</v>
      </c>
      <c r="C30" s="155"/>
      <c r="D30" s="155"/>
      <c r="E30" s="25"/>
      <c r="F30" s="25"/>
      <c r="G30" s="25"/>
      <c r="H30" s="25"/>
      <c r="I30" s="25"/>
      <c r="J30" s="25"/>
      <c r="K30" s="25"/>
      <c r="L30" s="25"/>
      <c r="M30" s="25"/>
      <c r="N30" s="25"/>
    </row>
    <row r="31" spans="2:18" x14ac:dyDescent="0.3"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  <row r="32" spans="2:18" ht="15" thickBot="1" x14ac:dyDescent="0.35">
      <c r="B32" s="60" t="s">
        <v>73</v>
      </c>
      <c r="C32" s="60" t="s">
        <v>76</v>
      </c>
      <c r="D32" s="57" t="s">
        <v>68</v>
      </c>
      <c r="E32" s="57" t="s">
        <v>67</v>
      </c>
      <c r="F32" s="57" t="s">
        <v>91</v>
      </c>
      <c r="G32" s="57" t="s">
        <v>69</v>
      </c>
      <c r="H32" s="57" t="s">
        <v>70</v>
      </c>
      <c r="I32" s="57" t="s">
        <v>92</v>
      </c>
      <c r="J32" s="57" t="s">
        <v>71</v>
      </c>
      <c r="K32" s="57" t="s">
        <v>72</v>
      </c>
      <c r="L32" s="57" t="s">
        <v>93</v>
      </c>
      <c r="M32" s="57" t="s">
        <v>38</v>
      </c>
      <c r="N32" s="57" t="s">
        <v>75</v>
      </c>
    </row>
    <row r="33" spans="2:14" x14ac:dyDescent="0.3">
      <c r="B33" s="57" t="s">
        <v>55</v>
      </c>
      <c r="C33" s="79" t="b">
        <v>1</v>
      </c>
      <c r="D33" s="85">
        <v>0</v>
      </c>
      <c r="E33" s="86">
        <v>0</v>
      </c>
      <c r="F33" s="86">
        <v>0</v>
      </c>
      <c r="G33" s="86">
        <v>0</v>
      </c>
      <c r="H33" s="86">
        <v>0</v>
      </c>
      <c r="I33" s="86">
        <v>0</v>
      </c>
      <c r="J33" s="86">
        <v>0</v>
      </c>
      <c r="K33" s="86">
        <v>0</v>
      </c>
      <c r="L33" s="86">
        <v>0</v>
      </c>
      <c r="M33" s="87">
        <v>7000</v>
      </c>
      <c r="N33" s="88">
        <v>50</v>
      </c>
    </row>
    <row r="34" spans="2:14" x14ac:dyDescent="0.3">
      <c r="B34" s="58" t="s">
        <v>56</v>
      </c>
      <c r="C34" s="80" t="b">
        <v>1</v>
      </c>
      <c r="D34" s="89">
        <v>0</v>
      </c>
      <c r="E34" s="17">
        <v>100000</v>
      </c>
      <c r="F34" s="17">
        <v>0</v>
      </c>
      <c r="G34" s="17">
        <v>26000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8">
        <v>5000</v>
      </c>
      <c r="N34" s="90">
        <v>0.1</v>
      </c>
    </row>
    <row r="35" spans="2:14" x14ac:dyDescent="0.3">
      <c r="B35" s="58" t="s">
        <v>57</v>
      </c>
      <c r="C35" s="80" t="b">
        <v>1</v>
      </c>
      <c r="D35" s="89">
        <v>0</v>
      </c>
      <c r="E35" s="17">
        <v>-100000</v>
      </c>
      <c r="F35" s="17">
        <v>0</v>
      </c>
      <c r="G35" s="17">
        <v>0</v>
      </c>
      <c r="H35" s="17">
        <v>0</v>
      </c>
      <c r="I35" s="17">
        <v>26000</v>
      </c>
      <c r="J35" s="17">
        <v>0</v>
      </c>
      <c r="K35" s="17">
        <v>0</v>
      </c>
      <c r="L35" s="17">
        <v>0</v>
      </c>
      <c r="M35" s="18">
        <v>5000</v>
      </c>
      <c r="N35" s="90">
        <v>0.1</v>
      </c>
    </row>
    <row r="36" spans="2:14" x14ac:dyDescent="0.3">
      <c r="B36" s="58" t="s">
        <v>60</v>
      </c>
      <c r="C36" s="80" t="b">
        <v>1</v>
      </c>
      <c r="D36" s="89">
        <v>100000</v>
      </c>
      <c r="E36" s="17">
        <v>0</v>
      </c>
      <c r="F36" s="17">
        <v>0</v>
      </c>
      <c r="G36" s="17">
        <v>0</v>
      </c>
      <c r="H36" s="17">
        <v>20000</v>
      </c>
      <c r="I36" s="17">
        <v>-20000</v>
      </c>
      <c r="J36" s="17">
        <v>0</v>
      </c>
      <c r="K36" s="17">
        <v>0</v>
      </c>
      <c r="L36" s="17">
        <v>0</v>
      </c>
      <c r="M36" s="18">
        <v>5000</v>
      </c>
      <c r="N36" s="90">
        <v>0.1</v>
      </c>
    </row>
    <row r="37" spans="2:14" x14ac:dyDescent="0.3">
      <c r="B37" s="58" t="s">
        <v>61</v>
      </c>
      <c r="C37" s="80" t="b">
        <v>1</v>
      </c>
      <c r="D37" s="89">
        <v>-100000</v>
      </c>
      <c r="E37" s="17">
        <v>0</v>
      </c>
      <c r="F37" s="17">
        <v>0</v>
      </c>
      <c r="G37" s="17">
        <v>0</v>
      </c>
      <c r="H37" s="17">
        <v>20000</v>
      </c>
      <c r="I37" s="17">
        <v>20000</v>
      </c>
      <c r="J37" s="17">
        <v>0</v>
      </c>
      <c r="K37" s="17">
        <v>0</v>
      </c>
      <c r="L37" s="17">
        <v>0</v>
      </c>
      <c r="M37" s="18">
        <v>5000</v>
      </c>
      <c r="N37" s="90">
        <v>0.1</v>
      </c>
    </row>
    <row r="38" spans="2:14" x14ac:dyDescent="0.3">
      <c r="B38" s="58" t="s">
        <v>62</v>
      </c>
      <c r="C38" s="80" t="b">
        <v>0</v>
      </c>
      <c r="D38" s="89">
        <v>0</v>
      </c>
      <c r="E38" s="17">
        <v>0</v>
      </c>
      <c r="F38" s="17">
        <v>0</v>
      </c>
      <c r="G38" s="17">
        <v>0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  <c r="M38" s="18">
        <v>5000</v>
      </c>
      <c r="N38" s="90">
        <v>1</v>
      </c>
    </row>
    <row r="39" spans="2:14" x14ac:dyDescent="0.3">
      <c r="B39" s="58" t="s">
        <v>63</v>
      </c>
      <c r="C39" s="80" t="b">
        <v>0</v>
      </c>
      <c r="D39" s="89">
        <v>0</v>
      </c>
      <c r="E39" s="17">
        <v>0</v>
      </c>
      <c r="F39" s="17">
        <v>0</v>
      </c>
      <c r="G39" s="17">
        <v>0</v>
      </c>
      <c r="H39" s="17">
        <v>0</v>
      </c>
      <c r="I39" s="17">
        <v>0</v>
      </c>
      <c r="J39" s="17">
        <v>0</v>
      </c>
      <c r="K39" s="17">
        <v>0</v>
      </c>
      <c r="L39" s="17">
        <v>0</v>
      </c>
      <c r="M39" s="18">
        <v>5000</v>
      </c>
      <c r="N39" s="90">
        <v>1</v>
      </c>
    </row>
    <row r="40" spans="2:14" x14ac:dyDescent="0.3">
      <c r="B40" s="58" t="s">
        <v>64</v>
      </c>
      <c r="C40" s="80" t="b">
        <v>0</v>
      </c>
      <c r="D40" s="89">
        <v>0</v>
      </c>
      <c r="E40" s="17">
        <v>0</v>
      </c>
      <c r="F40" s="17"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  <c r="M40" s="18">
        <v>5000</v>
      </c>
      <c r="N40" s="90">
        <v>1</v>
      </c>
    </row>
    <row r="41" spans="2:14" x14ac:dyDescent="0.3">
      <c r="B41" s="58" t="s">
        <v>65</v>
      </c>
      <c r="C41" s="80" t="b">
        <v>0</v>
      </c>
      <c r="D41" s="89">
        <v>0</v>
      </c>
      <c r="E41" s="17">
        <v>0</v>
      </c>
      <c r="F41" s="17">
        <v>0</v>
      </c>
      <c r="G41" s="17">
        <v>0</v>
      </c>
      <c r="H41" s="17">
        <v>0</v>
      </c>
      <c r="I41" s="17">
        <v>0</v>
      </c>
      <c r="J41" s="17">
        <v>0</v>
      </c>
      <c r="K41" s="17">
        <v>0</v>
      </c>
      <c r="L41" s="17">
        <v>0</v>
      </c>
      <c r="M41" s="18">
        <v>5000</v>
      </c>
      <c r="N41" s="90">
        <v>1</v>
      </c>
    </row>
    <row r="42" spans="2:14" ht="15" thickBot="1" x14ac:dyDescent="0.35">
      <c r="B42" s="59" t="s">
        <v>66</v>
      </c>
      <c r="C42" s="81" t="b">
        <v>0</v>
      </c>
      <c r="D42" s="91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3">
        <v>5000</v>
      </c>
      <c r="N42" s="94">
        <v>1</v>
      </c>
    </row>
    <row r="44" spans="2:14" x14ac:dyDescent="0.3">
      <c r="B44" s="155" t="s">
        <v>158</v>
      </c>
      <c r="C44" s="155"/>
      <c r="D44" s="155"/>
      <c r="E44" s="25"/>
      <c r="F44" s="25"/>
      <c r="G44" s="25"/>
      <c r="H44" s="25"/>
      <c r="I44" s="25"/>
      <c r="J44" s="25"/>
      <c r="K44" s="25"/>
      <c r="L44" s="25"/>
      <c r="M44" s="25"/>
      <c r="N44" s="25"/>
    </row>
    <row r="45" spans="2:14" x14ac:dyDescent="0.3"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</row>
    <row r="46" spans="2:14" ht="15" thickBot="1" x14ac:dyDescent="0.35">
      <c r="B46" s="60" t="s">
        <v>73</v>
      </c>
      <c r="C46" s="60" t="s">
        <v>76</v>
      </c>
      <c r="D46" s="57" t="s">
        <v>68</v>
      </c>
      <c r="E46" s="57" t="s">
        <v>67</v>
      </c>
      <c r="F46" s="57" t="s">
        <v>91</v>
      </c>
      <c r="G46" s="57" t="s">
        <v>69</v>
      </c>
      <c r="H46" s="57" t="s">
        <v>70</v>
      </c>
      <c r="I46" s="57" t="s">
        <v>92</v>
      </c>
      <c r="J46" s="57" t="s">
        <v>71</v>
      </c>
      <c r="K46" s="57" t="s">
        <v>72</v>
      </c>
      <c r="L46" s="57" t="s">
        <v>93</v>
      </c>
      <c r="M46" s="57" t="s">
        <v>38</v>
      </c>
      <c r="N46" s="57" t="s">
        <v>75</v>
      </c>
    </row>
    <row r="47" spans="2:14" x14ac:dyDescent="0.3">
      <c r="B47" s="57" t="s">
        <v>55</v>
      </c>
      <c r="C47" s="79" t="b">
        <v>0</v>
      </c>
      <c r="D47" s="85">
        <v>0</v>
      </c>
      <c r="E47" s="86">
        <v>0</v>
      </c>
      <c r="F47" s="86">
        <v>0</v>
      </c>
      <c r="G47" s="86">
        <v>0</v>
      </c>
      <c r="H47" s="86">
        <v>0</v>
      </c>
      <c r="I47" s="86">
        <v>0</v>
      </c>
      <c r="J47" s="86">
        <v>0</v>
      </c>
      <c r="K47" s="86">
        <v>0</v>
      </c>
      <c r="L47" s="86">
        <v>0</v>
      </c>
      <c r="M47" s="87">
        <v>5000</v>
      </c>
      <c r="N47" s="88">
        <v>1</v>
      </c>
    </row>
    <row r="48" spans="2:14" x14ac:dyDescent="0.3">
      <c r="B48" s="58" t="s">
        <v>56</v>
      </c>
      <c r="C48" s="80" t="b">
        <v>0</v>
      </c>
      <c r="D48" s="89">
        <v>0</v>
      </c>
      <c r="E48" s="17">
        <v>0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0</v>
      </c>
      <c r="L48" s="17">
        <v>0</v>
      </c>
      <c r="M48" s="18">
        <v>5000</v>
      </c>
      <c r="N48" s="90">
        <v>1</v>
      </c>
    </row>
    <row r="49" spans="2:14" x14ac:dyDescent="0.3">
      <c r="B49" s="58" t="s">
        <v>57</v>
      </c>
      <c r="C49" s="80" t="b">
        <v>0</v>
      </c>
      <c r="D49" s="89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0</v>
      </c>
      <c r="K49" s="17">
        <v>0</v>
      </c>
      <c r="L49" s="17">
        <v>0</v>
      </c>
      <c r="M49" s="18">
        <v>5000</v>
      </c>
      <c r="N49" s="90">
        <v>1</v>
      </c>
    </row>
    <row r="50" spans="2:14" x14ac:dyDescent="0.3">
      <c r="B50" s="58" t="s">
        <v>60</v>
      </c>
      <c r="C50" s="80" t="b">
        <v>0</v>
      </c>
      <c r="D50" s="89">
        <v>0</v>
      </c>
      <c r="E50" s="17">
        <v>0</v>
      </c>
      <c r="F50" s="17">
        <v>0</v>
      </c>
      <c r="G50" s="17">
        <v>0</v>
      </c>
      <c r="H50" s="17">
        <v>0</v>
      </c>
      <c r="I50" s="17">
        <v>0</v>
      </c>
      <c r="J50" s="17">
        <v>0</v>
      </c>
      <c r="K50" s="17">
        <v>0</v>
      </c>
      <c r="L50" s="17">
        <v>0</v>
      </c>
      <c r="M50" s="18">
        <v>5000</v>
      </c>
      <c r="N50" s="90">
        <v>1</v>
      </c>
    </row>
    <row r="51" spans="2:14" x14ac:dyDescent="0.3">
      <c r="B51" s="58" t="s">
        <v>61</v>
      </c>
      <c r="C51" s="80" t="b">
        <v>0</v>
      </c>
      <c r="D51" s="89">
        <v>0</v>
      </c>
      <c r="E51" s="17">
        <v>0</v>
      </c>
      <c r="F51" s="17">
        <v>0</v>
      </c>
      <c r="G51" s="17">
        <v>0</v>
      </c>
      <c r="H51" s="17">
        <v>0</v>
      </c>
      <c r="I51" s="17">
        <v>0</v>
      </c>
      <c r="J51" s="17">
        <v>0</v>
      </c>
      <c r="K51" s="17">
        <v>0</v>
      </c>
      <c r="L51" s="17">
        <v>0</v>
      </c>
      <c r="M51" s="18">
        <v>5000</v>
      </c>
      <c r="N51" s="90">
        <v>1</v>
      </c>
    </row>
    <row r="52" spans="2:14" x14ac:dyDescent="0.3">
      <c r="B52" s="58" t="s">
        <v>62</v>
      </c>
      <c r="C52" s="80" t="b">
        <v>0</v>
      </c>
      <c r="D52" s="89">
        <v>0</v>
      </c>
      <c r="E52" s="17">
        <v>0</v>
      </c>
      <c r="F52" s="17">
        <v>0</v>
      </c>
      <c r="G52" s="17">
        <v>0</v>
      </c>
      <c r="H52" s="17">
        <v>0</v>
      </c>
      <c r="I52" s="17">
        <v>0</v>
      </c>
      <c r="J52" s="17">
        <v>0</v>
      </c>
      <c r="K52" s="17">
        <v>0</v>
      </c>
      <c r="L52" s="17">
        <v>0</v>
      </c>
      <c r="M52" s="18">
        <v>5000</v>
      </c>
      <c r="N52" s="90">
        <v>1</v>
      </c>
    </row>
    <row r="53" spans="2:14" x14ac:dyDescent="0.3">
      <c r="B53" s="58" t="s">
        <v>63</v>
      </c>
      <c r="C53" s="80" t="b">
        <v>0</v>
      </c>
      <c r="D53" s="89">
        <v>0</v>
      </c>
      <c r="E53" s="17">
        <v>0</v>
      </c>
      <c r="F53" s="17">
        <v>0</v>
      </c>
      <c r="G53" s="17">
        <v>0</v>
      </c>
      <c r="H53" s="17">
        <v>0</v>
      </c>
      <c r="I53" s="17">
        <v>0</v>
      </c>
      <c r="J53" s="17">
        <v>0</v>
      </c>
      <c r="K53" s="17">
        <v>0</v>
      </c>
      <c r="L53" s="17">
        <v>0</v>
      </c>
      <c r="M53" s="18">
        <v>5000</v>
      </c>
      <c r="N53" s="90">
        <v>1</v>
      </c>
    </row>
    <row r="54" spans="2:14" x14ac:dyDescent="0.3">
      <c r="B54" s="58" t="s">
        <v>64</v>
      </c>
      <c r="C54" s="80" t="b">
        <v>0</v>
      </c>
      <c r="D54" s="89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8">
        <v>5000</v>
      </c>
      <c r="N54" s="90">
        <v>1</v>
      </c>
    </row>
    <row r="55" spans="2:14" x14ac:dyDescent="0.3">
      <c r="B55" s="58" t="s">
        <v>65</v>
      </c>
      <c r="C55" s="80" t="b">
        <v>0</v>
      </c>
      <c r="D55" s="89">
        <v>0</v>
      </c>
      <c r="E55" s="17">
        <v>0</v>
      </c>
      <c r="F55" s="17">
        <v>0</v>
      </c>
      <c r="G55" s="17">
        <v>0</v>
      </c>
      <c r="H55" s="17">
        <v>0</v>
      </c>
      <c r="I55" s="17">
        <v>0</v>
      </c>
      <c r="J55" s="17">
        <v>0</v>
      </c>
      <c r="K55" s="17">
        <v>0</v>
      </c>
      <c r="L55" s="17">
        <v>0</v>
      </c>
      <c r="M55" s="18">
        <v>5000</v>
      </c>
      <c r="N55" s="90">
        <v>1</v>
      </c>
    </row>
    <row r="56" spans="2:14" ht="15" thickBot="1" x14ac:dyDescent="0.35">
      <c r="B56" s="59" t="s">
        <v>66</v>
      </c>
      <c r="C56" s="81" t="b">
        <v>0</v>
      </c>
      <c r="D56" s="91">
        <v>0</v>
      </c>
      <c r="E56" s="92">
        <v>0</v>
      </c>
      <c r="F56" s="92">
        <v>0</v>
      </c>
      <c r="G56" s="92">
        <v>0</v>
      </c>
      <c r="H56" s="92">
        <v>0</v>
      </c>
      <c r="I56" s="92">
        <v>0</v>
      </c>
      <c r="J56" s="92">
        <v>0</v>
      </c>
      <c r="K56" s="92">
        <v>0</v>
      </c>
      <c r="L56" s="92">
        <v>0</v>
      </c>
      <c r="M56" s="93">
        <v>5000</v>
      </c>
      <c r="N56" s="94">
        <v>1</v>
      </c>
    </row>
  </sheetData>
  <mergeCells count="5">
    <mergeCell ref="B2:D2"/>
    <mergeCell ref="B16:D16"/>
    <mergeCell ref="B30:D30"/>
    <mergeCell ref="B44:D44"/>
    <mergeCell ref="P2:R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Feuil1</vt:lpstr>
      <vt:lpstr>Visualisation</vt:lpstr>
      <vt:lpstr>Valeurs Initiales</vt:lpstr>
      <vt:lpstr>Calculs 3D</vt:lpstr>
      <vt:lpstr>Simulation n-body</vt:lpstr>
      <vt:lpstr>Planètes</vt:lpstr>
      <vt:lpstr>Situations</vt:lpstr>
      <vt:lpstr>AccData</vt:lpstr>
      <vt:lpstr>AccInit</vt:lpstr>
      <vt:lpstr>AnimationStatus</vt:lpstr>
      <vt:lpstr>AutoFocus</vt:lpstr>
      <vt:lpstr>BaseTemps</vt:lpstr>
      <vt:lpstr>Body10Actif</vt:lpstr>
      <vt:lpstr>Body1Actif</vt:lpstr>
      <vt:lpstr>Body2Actif</vt:lpstr>
      <vt:lpstr>Body3Actif</vt:lpstr>
      <vt:lpstr>Body4Actif</vt:lpstr>
      <vt:lpstr>Body5Actif</vt:lpstr>
      <vt:lpstr>Body6Actif</vt:lpstr>
      <vt:lpstr>Body7Actif</vt:lpstr>
      <vt:lpstr>Body8Actif</vt:lpstr>
      <vt:lpstr>Body9Actif</vt:lpstr>
      <vt:lpstr>DataSet</vt:lpstr>
      <vt:lpstr>DefaultZoom</vt:lpstr>
      <vt:lpstr>Ecran</vt:lpstr>
      <vt:lpstr>EcranMax</vt:lpstr>
      <vt:lpstr>Frame</vt:lpstr>
      <vt:lpstr>Lignes</vt:lpstr>
      <vt:lpstr>MaxFrame</vt:lpstr>
      <vt:lpstr>OffsetX</vt:lpstr>
      <vt:lpstr>OffsetY</vt:lpstr>
      <vt:lpstr>OffsetZ</vt:lpstr>
      <vt:lpstr>PlanetScale</vt:lpstr>
      <vt:lpstr>RatioAarseth</vt:lpstr>
      <vt:lpstr>SimCalc</vt:lpstr>
      <vt:lpstr>SimData</vt:lpstr>
      <vt:lpstr>SimInit</vt:lpstr>
      <vt:lpstr>SimReInit</vt:lpstr>
      <vt:lpstr>Situation1</vt:lpstr>
      <vt:lpstr>Situation2</vt:lpstr>
      <vt:lpstr>Situation3</vt:lpstr>
      <vt:lpstr>Situation4</vt:lpstr>
      <vt:lpstr>SituationAlea</vt:lpstr>
      <vt:lpstr>Target</vt:lpstr>
      <vt:lpstr>ZoomFactor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François Marchand</cp:lastModifiedBy>
  <dcterms:created xsi:type="dcterms:W3CDTF">2014-04-16T14:13:01Z</dcterms:created>
  <dcterms:modified xsi:type="dcterms:W3CDTF">2019-07-21T20:46:21Z</dcterms:modified>
</cp:coreProperties>
</file>